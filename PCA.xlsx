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eri Kuliah\TA\Data Abell 2124\"/>
    </mc:Choice>
  </mc:AlternateContent>
  <xr:revisionPtr revIDLastSave="0" documentId="13_ncr:1_{38388FA4-2CDF-4671-A106-C709C44FCCCB}" xr6:coauthVersionLast="47" xr6:coauthVersionMax="47" xr10:uidLastSave="{00000000-0000-0000-0000-000000000000}"/>
  <bookViews>
    <workbookView xWindow="-120" yWindow="-120" windowWidth="20730" windowHeight="11040" activeTab="2" xr2:uid="{4DE50F85-228A-4D5A-9CAA-36835E5BEB16}"/>
  </bookViews>
  <sheets>
    <sheet name="sample" sheetId="1" r:id="rId1"/>
    <sheet name="standard" sheetId="13" r:id="rId2"/>
    <sheet name="eigen" sheetId="18" r:id="rId3"/>
    <sheet name="pca" sheetId="8" r:id="rId4"/>
    <sheet name="2 pc" sheetId="12" r:id="rId5"/>
    <sheet name="3 pc" sheetId="9" r:id="rId6"/>
    <sheet name="3 pc plot" sheetId="20" r:id="rId7"/>
    <sheet name="final plot" sheetId="21" r:id="rId8"/>
  </sheets>
  <definedNames>
    <definedName name="solver_adj" localSheetId="2" hidden="1">eigen!$B$17</definedName>
    <definedName name="solver_cvg" localSheetId="2" hidden="1">"""""""""""""""""""""""""""""""0,0001"""""""""""""""""""""""""""""""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eigen!$B$17</definedName>
    <definedName name="solver_lhs2" localSheetId="2" hidden="1">eigen!$B$19</definedName>
    <definedName name="solver_mip" localSheetId="2" hidden="1">2147483647</definedName>
    <definedName name="solver_mni" localSheetId="2" hidden="1">30</definedName>
    <definedName name="solver_mrt" localSheetId="2" hidden="1">"""""""""""""""""""""""""""""""0,075"""""""""""""""""""""""""""""""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eigen!$B$19</definedName>
    <definedName name="solver_pre" localSheetId="2" hidden="1">"""""""""""""""""""""""""""""""0,000001"""""""""""""""""""""""""""""""</definedName>
    <definedName name="solver_rbv" localSheetId="2" hidden="1">1</definedName>
    <definedName name="solver_rel1" localSheetId="2" hidden="1">3</definedName>
    <definedName name="solver_rel2" localSheetId="2" hidden="1">3</definedName>
    <definedName name="solver_rhs1" localSheetId="2" hidden="1">8</definedName>
    <definedName name="solver_rhs2" localSheetId="2" hidden="1">8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1</definedName>
    <definedName name="solver_typ" localSheetId="2" hidden="1">3</definedName>
    <definedName name="solver_val" localSheetId="2" hidden="1">0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3" i="8" l="1"/>
  <c r="AG3" i="8"/>
  <c r="AH3" i="8"/>
  <c r="AI3" i="8"/>
  <c r="AJ3" i="8"/>
  <c r="AK3" i="8"/>
  <c r="AL3" i="8"/>
  <c r="AM3" i="8"/>
  <c r="AN3" i="8"/>
  <c r="AO3" i="8"/>
  <c r="AP3" i="8"/>
  <c r="AF3" i="8"/>
  <c r="P19" i="18" l="1"/>
  <c r="Q19" i="18"/>
  <c r="R19" i="18"/>
  <c r="S19" i="18"/>
  <c r="T19" i="18"/>
  <c r="U19" i="18"/>
  <c r="V19" i="18"/>
  <c r="W19" i="18"/>
  <c r="X19" i="18"/>
  <c r="Y19" i="18"/>
  <c r="Z19" i="18"/>
  <c r="AA19" i="18"/>
  <c r="AB19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P18" i="18"/>
  <c r="B19" i="18" l="1"/>
  <c r="AC23" i="8" l="1" a="1"/>
  <c r="AC25" i="8" s="1"/>
  <c r="AC23" i="8"/>
  <c r="AC24" i="8"/>
  <c r="AC27" i="8"/>
  <c r="AC28" i="8"/>
  <c r="AC30" i="8"/>
  <c r="AC31" i="8"/>
  <c r="AC32" i="8"/>
  <c r="AC35" i="8"/>
  <c r="AC36" i="8"/>
  <c r="AC38" i="8"/>
  <c r="AC39" i="8"/>
  <c r="AC40" i="8"/>
  <c r="AC43" i="8"/>
  <c r="AC44" i="8"/>
  <c r="AC46" i="8"/>
  <c r="AC47" i="8"/>
  <c r="AC48" i="8"/>
  <c r="AC51" i="8"/>
  <c r="AC52" i="8"/>
  <c r="AC54" i="8"/>
  <c r="AC55" i="8"/>
  <c r="AC56" i="8"/>
  <c r="AC59" i="8"/>
  <c r="AC60" i="8"/>
  <c r="AC62" i="8"/>
  <c r="AC63" i="8"/>
  <c r="AC64" i="8"/>
  <c r="AC67" i="8"/>
  <c r="AC68" i="8"/>
  <c r="AC70" i="8"/>
  <c r="AC71" i="8"/>
  <c r="AC72" i="8"/>
  <c r="AC75" i="8"/>
  <c r="AC76" i="8"/>
  <c r="AC78" i="8"/>
  <c r="AC79" i="8"/>
  <c r="AC80" i="8"/>
  <c r="AC83" i="8"/>
  <c r="AC84" i="8"/>
  <c r="AC86" i="8"/>
  <c r="AC87" i="8"/>
  <c r="AC88" i="8"/>
  <c r="AC91" i="8"/>
  <c r="AC92" i="8"/>
  <c r="AC94" i="8"/>
  <c r="AC95" i="8"/>
  <c r="AC96" i="8"/>
  <c r="AC99" i="8"/>
  <c r="AC100" i="8"/>
  <c r="AC102" i="8"/>
  <c r="AC103" i="8"/>
  <c r="AC104" i="8"/>
  <c r="AC107" i="8"/>
  <c r="AC108" i="8"/>
  <c r="AC110" i="8"/>
  <c r="AC111" i="8"/>
  <c r="AC112" i="8"/>
  <c r="AC115" i="8"/>
  <c r="AC116" i="8"/>
  <c r="AC118" i="8"/>
  <c r="AC119" i="8"/>
  <c r="AC120" i="8"/>
  <c r="AC123" i="8"/>
  <c r="AC124" i="8"/>
  <c r="AC126" i="8"/>
  <c r="AC127" i="8"/>
  <c r="AC128" i="8"/>
  <c r="AC131" i="8"/>
  <c r="AC132" i="8"/>
  <c r="AC134" i="8"/>
  <c r="AC135" i="8"/>
  <c r="AC136" i="8"/>
  <c r="AC139" i="8"/>
  <c r="AC140" i="8"/>
  <c r="AC142" i="8"/>
  <c r="AC143" i="8"/>
  <c r="AC144" i="8"/>
  <c r="AC146" i="8"/>
  <c r="AC147" i="8"/>
  <c r="AC148" i="8"/>
  <c r="AC150" i="8"/>
  <c r="AC151" i="8"/>
  <c r="AC152" i="8"/>
  <c r="AC154" i="8"/>
  <c r="AC155" i="8"/>
  <c r="AC156" i="8"/>
  <c r="AC158" i="8"/>
  <c r="AC159" i="8"/>
  <c r="AC160" i="8"/>
  <c r="AC162" i="8"/>
  <c r="AC163" i="8"/>
  <c r="AC164" i="8"/>
  <c r="AC166" i="8"/>
  <c r="AC167" i="8"/>
  <c r="AC168" i="8"/>
  <c r="AC170" i="8"/>
  <c r="AC171" i="8"/>
  <c r="AC172" i="8"/>
  <c r="AC174" i="8"/>
  <c r="AC175" i="8"/>
  <c r="AC176" i="8"/>
  <c r="AC178" i="8"/>
  <c r="AC179" i="8"/>
  <c r="AC180" i="8"/>
  <c r="AC182" i="8"/>
  <c r="AC183" i="8"/>
  <c r="AC184" i="8"/>
  <c r="AC186" i="8"/>
  <c r="AC187" i="8"/>
  <c r="AC188" i="8"/>
  <c r="AC190" i="8"/>
  <c r="AC191" i="8"/>
  <c r="AC192" i="8"/>
  <c r="AC194" i="8"/>
  <c r="AC195" i="8"/>
  <c r="AC196" i="8"/>
  <c r="AC198" i="8"/>
  <c r="AC199" i="8"/>
  <c r="AC200" i="8"/>
  <c r="AC202" i="8"/>
  <c r="AC203" i="8"/>
  <c r="AC204" i="8"/>
  <c r="AC206" i="8"/>
  <c r="AC207" i="8"/>
  <c r="AC208" i="8"/>
  <c r="AC210" i="8"/>
  <c r="AC211" i="8"/>
  <c r="AC212" i="8"/>
  <c r="AC214" i="8"/>
  <c r="AC215" i="8"/>
  <c r="AC216" i="8"/>
  <c r="AC218" i="8"/>
  <c r="AC219" i="8"/>
  <c r="AC220" i="8"/>
  <c r="AC222" i="8"/>
  <c r="AC223" i="8"/>
  <c r="AC224" i="8"/>
  <c r="AC226" i="8"/>
  <c r="AC227" i="8"/>
  <c r="AC228" i="8"/>
  <c r="AC230" i="8"/>
  <c r="AC231" i="8"/>
  <c r="AC232" i="8"/>
  <c r="AC234" i="8"/>
  <c r="AC235" i="8"/>
  <c r="AC236" i="8"/>
  <c r="AC238" i="8"/>
  <c r="AC239" i="8"/>
  <c r="AC240" i="8"/>
  <c r="AC242" i="8"/>
  <c r="AC243" i="8"/>
  <c r="AC244" i="8"/>
  <c r="AC246" i="8"/>
  <c r="AC247" i="8"/>
  <c r="AC248" i="8"/>
  <c r="AC250" i="8"/>
  <c r="AC251" i="8"/>
  <c r="AC252" i="8"/>
  <c r="AC254" i="8"/>
  <c r="AC255" i="8"/>
  <c r="AC256" i="8"/>
  <c r="AC258" i="8"/>
  <c r="AC259" i="8"/>
  <c r="AC260" i="8"/>
  <c r="AC262" i="8"/>
  <c r="AC263" i="8"/>
  <c r="AC264" i="8"/>
  <c r="AC266" i="8"/>
  <c r="AC267" i="8"/>
  <c r="AC268" i="8"/>
  <c r="AC270" i="8"/>
  <c r="AC271" i="8"/>
  <c r="AC272" i="8"/>
  <c r="AC274" i="8"/>
  <c r="AC275" i="8"/>
  <c r="AC276" i="8"/>
  <c r="AC278" i="8"/>
  <c r="AC279" i="8"/>
  <c r="AC280" i="8"/>
  <c r="AC282" i="8"/>
  <c r="AC283" i="8"/>
  <c r="AC284" i="8"/>
  <c r="AC286" i="8"/>
  <c r="AC287" i="8"/>
  <c r="AC288" i="8"/>
  <c r="AC290" i="8"/>
  <c r="AC291" i="8"/>
  <c r="AC292" i="8"/>
  <c r="AC294" i="8"/>
  <c r="AC295" i="8"/>
  <c r="AC296" i="8"/>
  <c r="AC298" i="8"/>
  <c r="AC299" i="8"/>
  <c r="AC300" i="8"/>
  <c r="AC302" i="8"/>
  <c r="AC303" i="8"/>
  <c r="AC304" i="8"/>
  <c r="AC306" i="8"/>
  <c r="AC307" i="8"/>
  <c r="AC308" i="8"/>
  <c r="AC310" i="8"/>
  <c r="AC311" i="8"/>
  <c r="AC312" i="8"/>
  <c r="AC314" i="8"/>
  <c r="AC315" i="8"/>
  <c r="AC316" i="8"/>
  <c r="AC318" i="8"/>
  <c r="AC319" i="8"/>
  <c r="AC320" i="8"/>
  <c r="AC322" i="8"/>
  <c r="AC323" i="8"/>
  <c r="AC324" i="8"/>
  <c r="AC326" i="8"/>
  <c r="AC327" i="8"/>
  <c r="AC328" i="8"/>
  <c r="AC330" i="8"/>
  <c r="AC331" i="8"/>
  <c r="AC332" i="8"/>
  <c r="AC334" i="8"/>
  <c r="AC335" i="8"/>
  <c r="AC336" i="8"/>
  <c r="AC338" i="8"/>
  <c r="AC339" i="8"/>
  <c r="AC340" i="8"/>
  <c r="AC342" i="8"/>
  <c r="AC343" i="8"/>
  <c r="AC344" i="8"/>
  <c r="AC346" i="8"/>
  <c r="AC347" i="8"/>
  <c r="AC348" i="8"/>
  <c r="AC350" i="8"/>
  <c r="AC351" i="8"/>
  <c r="AC352" i="8"/>
  <c r="AC354" i="8"/>
  <c r="AC355" i="8"/>
  <c r="AC356" i="8"/>
  <c r="AC358" i="8"/>
  <c r="AC359" i="8"/>
  <c r="AC360" i="8"/>
  <c r="AC362" i="8"/>
  <c r="AC363" i="8"/>
  <c r="AC364" i="8"/>
  <c r="AC366" i="8"/>
  <c r="AC367" i="8"/>
  <c r="AC368" i="8"/>
  <c r="AC370" i="8"/>
  <c r="AC371" i="8"/>
  <c r="AC372" i="8"/>
  <c r="AC374" i="8"/>
  <c r="AC375" i="8"/>
  <c r="AC376" i="8"/>
  <c r="AC378" i="8"/>
  <c r="AC379" i="8"/>
  <c r="AC380" i="8"/>
  <c r="AC382" i="8"/>
  <c r="AC383" i="8"/>
  <c r="AC384" i="8"/>
  <c r="AC386" i="8"/>
  <c r="AC387" i="8"/>
  <c r="AC388" i="8"/>
  <c r="AC390" i="8"/>
  <c r="AC391" i="8"/>
  <c r="AC392" i="8"/>
  <c r="AC394" i="8"/>
  <c r="AC395" i="8"/>
  <c r="AC396" i="8"/>
  <c r="AC398" i="8"/>
  <c r="AC399" i="8"/>
  <c r="AC400" i="8"/>
  <c r="AC402" i="8"/>
  <c r="AC403" i="8"/>
  <c r="AC404" i="8"/>
  <c r="AC406" i="8"/>
  <c r="AC407" i="8"/>
  <c r="AC408" i="8"/>
  <c r="AC410" i="8"/>
  <c r="AC411" i="8"/>
  <c r="AC412" i="8"/>
  <c r="AC414" i="8"/>
  <c r="AC415" i="8"/>
  <c r="AC416" i="8"/>
  <c r="AC418" i="8"/>
  <c r="AC419" i="8"/>
  <c r="AC420" i="8"/>
  <c r="AC422" i="8"/>
  <c r="AC423" i="8"/>
  <c r="AC424" i="8"/>
  <c r="AC426" i="8"/>
  <c r="AC427" i="8"/>
  <c r="AC428" i="8"/>
  <c r="AC430" i="8"/>
  <c r="AC431" i="8"/>
  <c r="AC432" i="8"/>
  <c r="AC434" i="8"/>
  <c r="AC435" i="8"/>
  <c r="AC436" i="8"/>
  <c r="AC438" i="8"/>
  <c r="AC439" i="8"/>
  <c r="AC440" i="8"/>
  <c r="AC442" i="8"/>
  <c r="AC443" i="8"/>
  <c r="AC444" i="8"/>
  <c r="AC446" i="8"/>
  <c r="AC447" i="8"/>
  <c r="AC448" i="8"/>
  <c r="AC450" i="8"/>
  <c r="AC451" i="8"/>
  <c r="AC452" i="8"/>
  <c r="AC454" i="8"/>
  <c r="AC455" i="8"/>
  <c r="AC456" i="8"/>
  <c r="AC458" i="8"/>
  <c r="AC459" i="8"/>
  <c r="AC460" i="8"/>
  <c r="AC462" i="8"/>
  <c r="AC463" i="8"/>
  <c r="AC464" i="8"/>
  <c r="AC466" i="8"/>
  <c r="AC467" i="8"/>
  <c r="AC468" i="8"/>
  <c r="AC470" i="8"/>
  <c r="AC471" i="8"/>
  <c r="AC472" i="8"/>
  <c r="AC474" i="8"/>
  <c r="AC475" i="8"/>
  <c r="AC476" i="8"/>
  <c r="AC478" i="8"/>
  <c r="AC479" i="8"/>
  <c r="AC480" i="8"/>
  <c r="AC482" i="8"/>
  <c r="AC483" i="8"/>
  <c r="AC484" i="8"/>
  <c r="AC486" i="8"/>
  <c r="AC487" i="8"/>
  <c r="AC488" i="8"/>
  <c r="AC490" i="8"/>
  <c r="AC491" i="8"/>
  <c r="AC492" i="8"/>
  <c r="AC494" i="8"/>
  <c r="AC495" i="8"/>
  <c r="AC496" i="8"/>
  <c r="AB23" i="8" a="1"/>
  <c r="AB26" i="8" s="1"/>
  <c r="AB23" i="8"/>
  <c r="AB24" i="8"/>
  <c r="AB25" i="8"/>
  <c r="AB27" i="8"/>
  <c r="AB28" i="8"/>
  <c r="AB29" i="8"/>
  <c r="AB30" i="8"/>
  <c r="AB31" i="8"/>
  <c r="AB32" i="8"/>
  <c r="AB33" i="8"/>
  <c r="AB35" i="8"/>
  <c r="AB36" i="8"/>
  <c r="AB37" i="8"/>
  <c r="AB38" i="8"/>
  <c r="AB39" i="8"/>
  <c r="AB40" i="8"/>
  <c r="AB41" i="8"/>
  <c r="AB43" i="8"/>
  <c r="AB44" i="8"/>
  <c r="AB45" i="8"/>
  <c r="AB46" i="8"/>
  <c r="AB47" i="8"/>
  <c r="AB48" i="8"/>
  <c r="AB49" i="8"/>
  <c r="AB51" i="8"/>
  <c r="AB52" i="8"/>
  <c r="AB53" i="8"/>
  <c r="AB54" i="8"/>
  <c r="AB55" i="8"/>
  <c r="AB56" i="8"/>
  <c r="AB57" i="8"/>
  <c r="AB59" i="8"/>
  <c r="AB60" i="8"/>
  <c r="AB61" i="8"/>
  <c r="AB62" i="8"/>
  <c r="AB63" i="8"/>
  <c r="AB64" i="8"/>
  <c r="AB65" i="8"/>
  <c r="AB67" i="8"/>
  <c r="AB68" i="8"/>
  <c r="AB69" i="8"/>
  <c r="AB70" i="8"/>
  <c r="AB71" i="8"/>
  <c r="AB72" i="8"/>
  <c r="AB73" i="8"/>
  <c r="AB75" i="8"/>
  <c r="AB76" i="8"/>
  <c r="AB77" i="8"/>
  <c r="AB78" i="8"/>
  <c r="AB79" i="8"/>
  <c r="AB80" i="8"/>
  <c r="AB81" i="8"/>
  <c r="AB83" i="8"/>
  <c r="AB84" i="8"/>
  <c r="AB85" i="8"/>
  <c r="AB86" i="8"/>
  <c r="AB87" i="8"/>
  <c r="AB88" i="8"/>
  <c r="AB89" i="8"/>
  <c r="AB91" i="8"/>
  <c r="AB92" i="8"/>
  <c r="AB93" i="8"/>
  <c r="AB94" i="8"/>
  <c r="AB95" i="8"/>
  <c r="AB96" i="8"/>
  <c r="AB97" i="8"/>
  <c r="AB99" i="8"/>
  <c r="AB100" i="8"/>
  <c r="AB101" i="8"/>
  <c r="AB102" i="8"/>
  <c r="AB103" i="8"/>
  <c r="AB104" i="8"/>
  <c r="AB105" i="8"/>
  <c r="AB107" i="8"/>
  <c r="AB108" i="8"/>
  <c r="AB109" i="8"/>
  <c r="AB110" i="8"/>
  <c r="AB111" i="8"/>
  <c r="AB112" i="8"/>
  <c r="AB113" i="8"/>
  <c r="AB115" i="8"/>
  <c r="AB116" i="8"/>
  <c r="AB117" i="8"/>
  <c r="AB118" i="8"/>
  <c r="AB119" i="8"/>
  <c r="AB120" i="8"/>
  <c r="AB121" i="8"/>
  <c r="AB123" i="8"/>
  <c r="AB124" i="8"/>
  <c r="AB125" i="8"/>
  <c r="AB126" i="8"/>
  <c r="AB127" i="8"/>
  <c r="AB128" i="8"/>
  <c r="AB129" i="8"/>
  <c r="AB131" i="8"/>
  <c r="AB132" i="8"/>
  <c r="AB133" i="8"/>
  <c r="AB134" i="8"/>
  <c r="AB135" i="8"/>
  <c r="AB136" i="8"/>
  <c r="AB137" i="8"/>
  <c r="AB139" i="8"/>
  <c r="AB140" i="8"/>
  <c r="AB141" i="8"/>
  <c r="AB142" i="8"/>
  <c r="AB143" i="8"/>
  <c r="AB144" i="8"/>
  <c r="AB145" i="8"/>
  <c r="AB147" i="8"/>
  <c r="AB148" i="8"/>
  <c r="AB149" i="8"/>
  <c r="AB150" i="8"/>
  <c r="AB151" i="8"/>
  <c r="AB152" i="8"/>
  <c r="AB153" i="8"/>
  <c r="AB155" i="8"/>
  <c r="AB156" i="8"/>
  <c r="AB157" i="8"/>
  <c r="AB158" i="8"/>
  <c r="AB159" i="8"/>
  <c r="AB160" i="8"/>
  <c r="AB161" i="8"/>
  <c r="AB163" i="8"/>
  <c r="AB164" i="8"/>
  <c r="AB165" i="8"/>
  <c r="AB166" i="8"/>
  <c r="AB167" i="8"/>
  <c r="AB168" i="8"/>
  <c r="AB169" i="8"/>
  <c r="AB171" i="8"/>
  <c r="AB172" i="8"/>
  <c r="AB173" i="8"/>
  <c r="AB174" i="8"/>
  <c r="AB175" i="8"/>
  <c r="AB176" i="8"/>
  <c r="AB177" i="8"/>
  <c r="AB179" i="8"/>
  <c r="AB180" i="8"/>
  <c r="AB181" i="8"/>
  <c r="AB182" i="8"/>
  <c r="AB183" i="8"/>
  <c r="AB184" i="8"/>
  <c r="AB185" i="8"/>
  <c r="AB187" i="8"/>
  <c r="AB188" i="8"/>
  <c r="AB189" i="8"/>
  <c r="AB190" i="8"/>
  <c r="AB191" i="8"/>
  <c r="AB192" i="8"/>
  <c r="AB193" i="8"/>
  <c r="AB195" i="8"/>
  <c r="AB196" i="8"/>
  <c r="AB197" i="8"/>
  <c r="AB198" i="8"/>
  <c r="AB199" i="8"/>
  <c r="AB200" i="8"/>
  <c r="AB201" i="8"/>
  <c r="AB203" i="8"/>
  <c r="AB204" i="8"/>
  <c r="AB205" i="8"/>
  <c r="AB206" i="8"/>
  <c r="AB207" i="8"/>
  <c r="AB208" i="8"/>
  <c r="AB209" i="8"/>
  <c r="AB211" i="8"/>
  <c r="AB212" i="8"/>
  <c r="AB213" i="8"/>
  <c r="AB214" i="8"/>
  <c r="AB215" i="8"/>
  <c r="AB216" i="8"/>
  <c r="AB217" i="8"/>
  <c r="AB219" i="8"/>
  <c r="AB220" i="8"/>
  <c r="AB221" i="8"/>
  <c r="AB222" i="8"/>
  <c r="AB223" i="8"/>
  <c r="AB224" i="8"/>
  <c r="AB225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B323" i="8"/>
  <c r="AB324" i="8"/>
  <c r="AB325" i="8"/>
  <c r="AB326" i="8"/>
  <c r="AB327" i="8"/>
  <c r="AB328" i="8"/>
  <c r="AB329" i="8"/>
  <c r="AB330" i="8"/>
  <c r="AB331" i="8"/>
  <c r="AB332" i="8"/>
  <c r="AB333" i="8"/>
  <c r="AB334" i="8"/>
  <c r="AB335" i="8"/>
  <c r="AB336" i="8"/>
  <c r="AB337" i="8"/>
  <c r="AB338" i="8"/>
  <c r="AB339" i="8"/>
  <c r="AB340" i="8"/>
  <c r="AB341" i="8"/>
  <c r="AB342" i="8"/>
  <c r="AB343" i="8"/>
  <c r="AB344" i="8"/>
  <c r="AB345" i="8"/>
  <c r="AB346" i="8"/>
  <c r="AB347" i="8"/>
  <c r="AB348" i="8"/>
  <c r="AB349" i="8"/>
  <c r="AB350" i="8"/>
  <c r="AB351" i="8"/>
  <c r="AB352" i="8"/>
  <c r="AB353" i="8"/>
  <c r="AB354" i="8"/>
  <c r="AB355" i="8"/>
  <c r="AB356" i="8"/>
  <c r="AB357" i="8"/>
  <c r="AB358" i="8"/>
  <c r="AB359" i="8"/>
  <c r="AB360" i="8"/>
  <c r="AB361" i="8"/>
  <c r="AB362" i="8"/>
  <c r="AB363" i="8"/>
  <c r="AB364" i="8"/>
  <c r="AB365" i="8"/>
  <c r="AB366" i="8"/>
  <c r="AB367" i="8"/>
  <c r="AB368" i="8"/>
  <c r="AB369" i="8"/>
  <c r="AB370" i="8"/>
  <c r="AB371" i="8"/>
  <c r="AB372" i="8"/>
  <c r="AB373" i="8"/>
  <c r="AB374" i="8"/>
  <c r="AB375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18" i="8"/>
  <c r="AB419" i="8"/>
  <c r="AB420" i="8"/>
  <c r="AB421" i="8"/>
  <c r="AB422" i="8"/>
  <c r="AB423" i="8"/>
  <c r="AB424" i="8"/>
  <c r="AB425" i="8"/>
  <c r="AB426" i="8"/>
  <c r="AB427" i="8"/>
  <c r="AB428" i="8"/>
  <c r="AB429" i="8"/>
  <c r="AB430" i="8"/>
  <c r="AB431" i="8"/>
  <c r="AB432" i="8"/>
  <c r="AB433" i="8"/>
  <c r="AB434" i="8"/>
  <c r="AB435" i="8"/>
  <c r="AB436" i="8"/>
  <c r="AB437" i="8"/>
  <c r="AB438" i="8"/>
  <c r="AB439" i="8"/>
  <c r="AB440" i="8"/>
  <c r="AB441" i="8"/>
  <c r="AB442" i="8"/>
  <c r="AB443" i="8"/>
  <c r="AB444" i="8"/>
  <c r="AB445" i="8"/>
  <c r="AB446" i="8"/>
  <c r="AB447" i="8"/>
  <c r="AB448" i="8"/>
  <c r="AB449" i="8"/>
  <c r="AB450" i="8"/>
  <c r="AB451" i="8"/>
  <c r="AB452" i="8"/>
  <c r="AB453" i="8"/>
  <c r="AB454" i="8"/>
  <c r="AB455" i="8"/>
  <c r="AB456" i="8"/>
  <c r="AB457" i="8"/>
  <c r="AB458" i="8"/>
  <c r="AB459" i="8"/>
  <c r="AB460" i="8"/>
  <c r="AB461" i="8"/>
  <c r="AB462" i="8"/>
  <c r="AB463" i="8"/>
  <c r="AB464" i="8"/>
  <c r="AB465" i="8"/>
  <c r="AB466" i="8"/>
  <c r="AB467" i="8"/>
  <c r="AB468" i="8"/>
  <c r="AB469" i="8"/>
  <c r="AB470" i="8"/>
  <c r="AB471" i="8"/>
  <c r="AB472" i="8"/>
  <c r="AB473" i="8"/>
  <c r="AB474" i="8"/>
  <c r="AB475" i="8"/>
  <c r="AB476" i="8"/>
  <c r="AB477" i="8"/>
  <c r="AB478" i="8"/>
  <c r="AB479" i="8"/>
  <c r="AB480" i="8"/>
  <c r="AB481" i="8"/>
  <c r="AB482" i="8"/>
  <c r="AB483" i="8"/>
  <c r="AB484" i="8"/>
  <c r="AB485" i="8"/>
  <c r="AB486" i="8"/>
  <c r="AB487" i="8"/>
  <c r="AB488" i="8"/>
  <c r="AB489" i="8"/>
  <c r="AB490" i="8"/>
  <c r="AB491" i="8"/>
  <c r="AB492" i="8"/>
  <c r="AB493" i="8"/>
  <c r="AB494" i="8"/>
  <c r="AB495" i="8"/>
  <c r="AB496" i="8"/>
  <c r="AA23" i="8" a="1"/>
  <c r="AA23" i="8" s="1"/>
  <c r="AA24" i="8"/>
  <c r="AA25" i="8"/>
  <c r="AA28" i="8"/>
  <c r="AA29" i="8"/>
  <c r="AA30" i="8"/>
  <c r="AA32" i="8"/>
  <c r="AA33" i="8"/>
  <c r="AA36" i="8"/>
  <c r="AA37" i="8"/>
  <c r="AA38" i="8"/>
  <c r="AA40" i="8"/>
  <c r="AA41" i="8"/>
  <c r="AA44" i="8"/>
  <c r="AA45" i="8"/>
  <c r="AA46" i="8"/>
  <c r="AA48" i="8"/>
  <c r="AA49" i="8"/>
  <c r="AA52" i="8"/>
  <c r="AA53" i="8"/>
  <c r="AA54" i="8"/>
  <c r="AA56" i="8"/>
  <c r="AA57" i="8"/>
  <c r="AA60" i="8"/>
  <c r="AA61" i="8"/>
  <c r="AA62" i="8"/>
  <c r="AA64" i="8"/>
  <c r="AA65" i="8"/>
  <c r="AA68" i="8"/>
  <c r="AA69" i="8"/>
  <c r="AA70" i="8"/>
  <c r="AA72" i="8"/>
  <c r="AA73" i="8"/>
  <c r="AA76" i="8"/>
  <c r="AA77" i="8"/>
  <c r="AA78" i="8"/>
  <c r="AA80" i="8"/>
  <c r="AA81" i="8"/>
  <c r="AA84" i="8"/>
  <c r="AA85" i="8"/>
  <c r="AA86" i="8"/>
  <c r="AA88" i="8"/>
  <c r="AA89" i="8"/>
  <c r="AA92" i="8"/>
  <c r="AA93" i="8"/>
  <c r="AA94" i="8"/>
  <c r="AA96" i="8"/>
  <c r="AA97" i="8"/>
  <c r="AA100" i="8"/>
  <c r="AA101" i="8"/>
  <c r="AA102" i="8"/>
  <c r="AA104" i="8"/>
  <c r="AA105" i="8"/>
  <c r="AA108" i="8"/>
  <c r="AA109" i="8"/>
  <c r="AA110" i="8"/>
  <c r="AA112" i="8"/>
  <c r="AA113" i="8"/>
  <c r="AA116" i="8"/>
  <c r="AA117" i="8"/>
  <c r="AA118" i="8"/>
  <c r="AA120" i="8"/>
  <c r="AA121" i="8"/>
  <c r="AA124" i="8"/>
  <c r="AA125" i="8"/>
  <c r="AA126" i="8"/>
  <c r="AA128" i="8"/>
  <c r="AA129" i="8"/>
  <c r="AA132" i="8"/>
  <c r="AA133" i="8"/>
  <c r="AA134" i="8"/>
  <c r="AA136" i="8"/>
  <c r="AA137" i="8"/>
  <c r="AA140" i="8"/>
  <c r="AA141" i="8"/>
  <c r="AA142" i="8"/>
  <c r="AA144" i="8"/>
  <c r="AA145" i="8"/>
  <c r="AA148" i="8"/>
  <c r="AA149" i="8"/>
  <c r="AA150" i="8"/>
  <c r="AA152" i="8"/>
  <c r="AA153" i="8"/>
  <c r="AA156" i="8"/>
  <c r="AA157" i="8"/>
  <c r="AA158" i="8"/>
  <c r="AA160" i="8"/>
  <c r="AA161" i="8"/>
  <c r="AA164" i="8"/>
  <c r="AA165" i="8"/>
  <c r="AA166" i="8"/>
  <c r="AA168" i="8"/>
  <c r="AA169" i="8"/>
  <c r="AA172" i="8"/>
  <c r="AA173" i="8"/>
  <c r="AA174" i="8"/>
  <c r="AA176" i="8"/>
  <c r="AA177" i="8"/>
  <c r="AA180" i="8"/>
  <c r="AA181" i="8"/>
  <c r="AA182" i="8"/>
  <c r="AA184" i="8"/>
  <c r="AA185" i="8"/>
  <c r="AA188" i="8"/>
  <c r="AA189" i="8"/>
  <c r="AA190" i="8"/>
  <c r="AA192" i="8"/>
  <c r="AA193" i="8"/>
  <c r="AA196" i="8"/>
  <c r="AA197" i="8"/>
  <c r="AA198" i="8"/>
  <c r="AA200" i="8"/>
  <c r="AA201" i="8"/>
  <c r="AA203" i="8"/>
  <c r="AA204" i="8"/>
  <c r="AA205" i="8"/>
  <c r="AA206" i="8"/>
  <c r="AA208" i="8"/>
  <c r="AA209" i="8"/>
  <c r="AA211" i="8"/>
  <c r="AA212" i="8"/>
  <c r="AA213" i="8"/>
  <c r="AA214" i="8"/>
  <c r="AA215" i="8"/>
  <c r="AA216" i="8"/>
  <c r="AA217" i="8"/>
  <c r="AA219" i="8"/>
  <c r="AA220" i="8"/>
  <c r="AA221" i="8"/>
  <c r="AA222" i="8"/>
  <c r="AA223" i="8"/>
  <c r="AA224" i="8"/>
  <c r="AA225" i="8"/>
  <c r="AA227" i="8"/>
  <c r="AA228" i="8"/>
  <c r="AA229" i="8"/>
  <c r="AA230" i="8"/>
  <c r="AA231" i="8"/>
  <c r="AA232" i="8"/>
  <c r="AA233" i="8"/>
  <c r="AA235" i="8"/>
  <c r="AA236" i="8"/>
  <c r="AA237" i="8"/>
  <c r="AA238" i="8"/>
  <c r="AA239" i="8"/>
  <c r="AA240" i="8"/>
  <c r="AA241" i="8"/>
  <c r="AA243" i="8"/>
  <c r="AA244" i="8"/>
  <c r="AA245" i="8"/>
  <c r="AA246" i="8"/>
  <c r="AA247" i="8"/>
  <c r="AA248" i="8"/>
  <c r="AA249" i="8"/>
  <c r="AA251" i="8"/>
  <c r="AA252" i="8"/>
  <c r="AA253" i="8"/>
  <c r="AA254" i="8"/>
  <c r="AA255" i="8"/>
  <c r="AA256" i="8"/>
  <c r="AA257" i="8"/>
  <c r="AA259" i="8"/>
  <c r="AA260" i="8"/>
  <c r="AA261" i="8"/>
  <c r="AA262" i="8"/>
  <c r="AA263" i="8"/>
  <c r="AA264" i="8"/>
  <c r="AA265" i="8"/>
  <c r="AA267" i="8"/>
  <c r="AA268" i="8"/>
  <c r="AA269" i="8"/>
  <c r="AA270" i="8"/>
  <c r="AA271" i="8"/>
  <c r="AA272" i="8"/>
  <c r="AA273" i="8"/>
  <c r="AA275" i="8"/>
  <c r="AA276" i="8"/>
  <c r="AA277" i="8"/>
  <c r="AA278" i="8"/>
  <c r="AA279" i="8"/>
  <c r="AA280" i="8"/>
  <c r="AA281" i="8"/>
  <c r="AA283" i="8"/>
  <c r="AA284" i="8"/>
  <c r="AA285" i="8"/>
  <c r="AA286" i="8"/>
  <c r="AA287" i="8"/>
  <c r="AA288" i="8"/>
  <c r="AA289" i="8"/>
  <c r="AA291" i="8"/>
  <c r="AA292" i="8"/>
  <c r="AA293" i="8"/>
  <c r="AA294" i="8"/>
  <c r="AA295" i="8"/>
  <c r="AA296" i="8"/>
  <c r="AA297" i="8"/>
  <c r="AA299" i="8"/>
  <c r="AA300" i="8"/>
  <c r="AA301" i="8"/>
  <c r="AA302" i="8"/>
  <c r="AA303" i="8"/>
  <c r="AA304" i="8"/>
  <c r="AA305" i="8"/>
  <c r="AA307" i="8"/>
  <c r="AA308" i="8"/>
  <c r="AA309" i="8"/>
  <c r="AA310" i="8"/>
  <c r="AA311" i="8"/>
  <c r="AA312" i="8"/>
  <c r="AA313" i="8"/>
  <c r="AA315" i="8"/>
  <c r="AA316" i="8"/>
  <c r="AA317" i="8"/>
  <c r="AA318" i="8"/>
  <c r="AA319" i="8"/>
  <c r="AA320" i="8"/>
  <c r="AA321" i="8"/>
  <c r="AA323" i="8"/>
  <c r="AA324" i="8"/>
  <c r="AA325" i="8"/>
  <c r="AA326" i="8"/>
  <c r="AA327" i="8"/>
  <c r="AA328" i="8"/>
  <c r="AA329" i="8"/>
  <c r="AA331" i="8"/>
  <c r="AA332" i="8"/>
  <c r="AA333" i="8"/>
  <c r="AA334" i="8"/>
  <c r="AA335" i="8"/>
  <c r="AA336" i="8"/>
  <c r="AA337" i="8"/>
  <c r="AA339" i="8"/>
  <c r="AA340" i="8"/>
  <c r="AA341" i="8"/>
  <c r="AA342" i="8"/>
  <c r="AA343" i="8"/>
  <c r="AA344" i="8"/>
  <c r="AA345" i="8"/>
  <c r="AA347" i="8"/>
  <c r="AA348" i="8"/>
  <c r="AA349" i="8"/>
  <c r="AA350" i="8"/>
  <c r="AA351" i="8"/>
  <c r="AA352" i="8"/>
  <c r="AA353" i="8"/>
  <c r="AA355" i="8"/>
  <c r="AA356" i="8"/>
  <c r="AA357" i="8"/>
  <c r="AA358" i="8"/>
  <c r="AA359" i="8"/>
  <c r="AA360" i="8"/>
  <c r="AA361" i="8"/>
  <c r="AA363" i="8"/>
  <c r="AA364" i="8"/>
  <c r="AA365" i="8"/>
  <c r="AA366" i="8"/>
  <c r="AA367" i="8"/>
  <c r="AA368" i="8"/>
  <c r="AA369" i="8"/>
  <c r="AA371" i="8"/>
  <c r="AA372" i="8"/>
  <c r="AA373" i="8"/>
  <c r="AA374" i="8"/>
  <c r="AA375" i="8"/>
  <c r="AA376" i="8"/>
  <c r="AA377" i="8"/>
  <c r="AA379" i="8"/>
  <c r="AA380" i="8"/>
  <c r="AA381" i="8"/>
  <c r="AA382" i="8"/>
  <c r="AA383" i="8"/>
  <c r="AA384" i="8"/>
  <c r="AA385" i="8"/>
  <c r="AA387" i="8"/>
  <c r="AA388" i="8"/>
  <c r="AA389" i="8"/>
  <c r="AA390" i="8"/>
  <c r="AA391" i="8"/>
  <c r="AA392" i="8"/>
  <c r="AA393" i="8"/>
  <c r="AA395" i="8"/>
  <c r="AA396" i="8"/>
  <c r="AA397" i="8"/>
  <c r="AA398" i="8"/>
  <c r="AA399" i="8"/>
  <c r="AA400" i="8"/>
  <c r="AA401" i="8"/>
  <c r="AA403" i="8"/>
  <c r="AA404" i="8"/>
  <c r="AA405" i="8"/>
  <c r="AA406" i="8"/>
  <c r="AA407" i="8"/>
  <c r="AA408" i="8"/>
  <c r="AA409" i="8"/>
  <c r="AA411" i="8"/>
  <c r="AA412" i="8"/>
  <c r="AA413" i="8"/>
  <c r="AA414" i="8"/>
  <c r="AA415" i="8"/>
  <c r="AA416" i="8"/>
  <c r="AA417" i="8"/>
  <c r="AA419" i="8"/>
  <c r="AA420" i="8"/>
  <c r="AA421" i="8"/>
  <c r="AA422" i="8"/>
  <c r="AA423" i="8"/>
  <c r="AA424" i="8"/>
  <c r="AA425" i="8"/>
  <c r="AA427" i="8"/>
  <c r="AA428" i="8"/>
  <c r="AA429" i="8"/>
  <c r="AA430" i="8"/>
  <c r="AA431" i="8"/>
  <c r="AA432" i="8"/>
  <c r="AA433" i="8"/>
  <c r="AA435" i="8"/>
  <c r="AA436" i="8"/>
  <c r="AA437" i="8"/>
  <c r="AA438" i="8"/>
  <c r="AA439" i="8"/>
  <c r="AA440" i="8"/>
  <c r="AA441" i="8"/>
  <c r="AA443" i="8"/>
  <c r="AA444" i="8"/>
  <c r="AA445" i="8"/>
  <c r="AA446" i="8"/>
  <c r="AA447" i="8"/>
  <c r="AA448" i="8"/>
  <c r="AA449" i="8"/>
  <c r="AA451" i="8"/>
  <c r="AA452" i="8"/>
  <c r="AA453" i="8"/>
  <c r="AA454" i="8"/>
  <c r="AA455" i="8"/>
  <c r="AA456" i="8"/>
  <c r="AA457" i="8"/>
  <c r="AA459" i="8"/>
  <c r="AA460" i="8"/>
  <c r="AA461" i="8"/>
  <c r="AA462" i="8"/>
  <c r="AA463" i="8"/>
  <c r="AA464" i="8"/>
  <c r="AA465" i="8"/>
  <c r="AA467" i="8"/>
  <c r="AA468" i="8"/>
  <c r="AA469" i="8"/>
  <c r="AA470" i="8"/>
  <c r="AA471" i="8"/>
  <c r="AA472" i="8"/>
  <c r="AA473" i="8"/>
  <c r="AA475" i="8"/>
  <c r="AA476" i="8"/>
  <c r="AA477" i="8"/>
  <c r="AA478" i="8"/>
  <c r="AA479" i="8"/>
  <c r="AA480" i="8"/>
  <c r="AA481" i="8"/>
  <c r="AA483" i="8"/>
  <c r="AA484" i="8"/>
  <c r="AA485" i="8"/>
  <c r="AA486" i="8"/>
  <c r="AA487" i="8"/>
  <c r="AA488" i="8"/>
  <c r="AA489" i="8"/>
  <c r="AA491" i="8"/>
  <c r="AA492" i="8"/>
  <c r="AA493" i="8"/>
  <c r="AA494" i="8"/>
  <c r="AA495" i="8"/>
  <c r="AA496" i="8"/>
  <c r="Z23" i="8" a="1"/>
  <c r="Z32" i="8" s="1"/>
  <c r="Z56" i="8"/>
  <c r="Z86" i="8"/>
  <c r="Z113" i="8"/>
  <c r="Z129" i="8"/>
  <c r="Z140" i="8"/>
  <c r="Z150" i="8"/>
  <c r="Z164" i="8"/>
  <c r="Z178" i="8"/>
  <c r="Z186" i="8"/>
  <c r="Z202" i="8"/>
  <c r="Z213" i="8"/>
  <c r="Z224" i="8"/>
  <c r="Z236" i="8"/>
  <c r="Z248" i="8"/>
  <c r="Z255" i="8"/>
  <c r="Z269" i="8"/>
  <c r="Z279" i="8"/>
  <c r="Z287" i="8"/>
  <c r="Z288" i="8"/>
  <c r="Z300" i="8"/>
  <c r="Z311" i="8"/>
  <c r="Z312" i="8"/>
  <c r="Z319" i="8"/>
  <c r="Z332" i="8"/>
  <c r="Z333" i="8"/>
  <c r="Z343" i="8"/>
  <c r="Z351" i="8"/>
  <c r="Z352" i="8"/>
  <c r="Z364" i="8"/>
  <c r="Z375" i="8"/>
  <c r="Z376" i="8"/>
  <c r="Z383" i="8"/>
  <c r="Z396" i="8"/>
  <c r="Z397" i="8"/>
  <c r="Z407" i="8"/>
  <c r="Z415" i="8"/>
  <c r="Z416" i="8"/>
  <c r="Z428" i="8"/>
  <c r="Z439" i="8"/>
  <c r="Z440" i="8"/>
  <c r="Z447" i="8"/>
  <c r="Z460" i="8"/>
  <c r="Z461" i="8"/>
  <c r="Z471" i="8"/>
  <c r="Z479" i="8"/>
  <c r="Z480" i="8"/>
  <c r="Z492" i="8"/>
  <c r="Y23" i="8" a="1"/>
  <c r="Y23" i="8" s="1"/>
  <c r="Y25" i="8"/>
  <c r="Y26" i="8"/>
  <c r="Y28" i="8"/>
  <c r="Y29" i="8"/>
  <c r="Y30" i="8"/>
  <c r="Y33" i="8"/>
  <c r="Y34" i="8"/>
  <c r="Y36" i="8"/>
  <c r="Y37" i="8"/>
  <c r="Y38" i="8"/>
  <c r="Y41" i="8"/>
  <c r="Y42" i="8"/>
  <c r="Y44" i="8"/>
  <c r="Y45" i="8"/>
  <c r="Y46" i="8"/>
  <c r="Y49" i="8"/>
  <c r="Y50" i="8"/>
  <c r="Y52" i="8"/>
  <c r="Y53" i="8"/>
  <c r="Y54" i="8"/>
  <c r="Y57" i="8"/>
  <c r="Y58" i="8"/>
  <c r="Y60" i="8"/>
  <c r="Y61" i="8"/>
  <c r="Y62" i="8"/>
  <c r="Y65" i="8"/>
  <c r="Y66" i="8"/>
  <c r="Y68" i="8"/>
  <c r="Y69" i="8"/>
  <c r="Y70" i="8"/>
  <c r="Y73" i="8"/>
  <c r="Y74" i="8"/>
  <c r="Y76" i="8"/>
  <c r="Y77" i="8"/>
  <c r="Y78" i="8"/>
  <c r="Y81" i="8"/>
  <c r="Y82" i="8"/>
  <c r="Y84" i="8"/>
  <c r="Y85" i="8"/>
  <c r="Y86" i="8"/>
  <c r="Y89" i="8"/>
  <c r="Y90" i="8"/>
  <c r="Y91" i="8"/>
  <c r="Y92" i="8"/>
  <c r="Y93" i="8"/>
  <c r="Y94" i="8"/>
  <c r="Y97" i="8"/>
  <c r="Y98" i="8"/>
  <c r="Y99" i="8"/>
  <c r="Y100" i="8"/>
  <c r="Y101" i="8"/>
  <c r="Y102" i="8"/>
  <c r="Y105" i="8"/>
  <c r="Y106" i="8"/>
  <c r="Y107" i="8"/>
  <c r="Y108" i="8"/>
  <c r="Y109" i="8"/>
  <c r="Y110" i="8"/>
  <c r="Y113" i="8"/>
  <c r="Y114" i="8"/>
  <c r="Y115" i="8"/>
  <c r="Y116" i="8"/>
  <c r="Y117" i="8"/>
  <c r="Y118" i="8"/>
  <c r="Y121" i="8"/>
  <c r="Y122" i="8"/>
  <c r="Y123" i="8"/>
  <c r="Y124" i="8"/>
  <c r="Y125" i="8"/>
  <c r="Y126" i="8"/>
  <c r="Y129" i="8"/>
  <c r="Y130" i="8"/>
  <c r="Y131" i="8"/>
  <c r="Y132" i="8"/>
  <c r="Y133" i="8"/>
  <c r="Y134" i="8"/>
  <c r="Y137" i="8"/>
  <c r="Y138" i="8"/>
  <c r="Y139" i="8"/>
  <c r="Y140" i="8"/>
  <c r="Y141" i="8"/>
  <c r="Y142" i="8"/>
  <c r="Y145" i="8"/>
  <c r="Y146" i="8"/>
  <c r="Y147" i="8"/>
  <c r="Y148" i="8"/>
  <c r="Y149" i="8"/>
  <c r="Y150" i="8"/>
  <c r="Y153" i="8"/>
  <c r="Y154" i="8"/>
  <c r="Y155" i="8"/>
  <c r="Y156" i="8"/>
  <c r="Y157" i="8"/>
  <c r="Y158" i="8"/>
  <c r="Y161" i="8"/>
  <c r="Y162" i="8"/>
  <c r="Y163" i="8"/>
  <c r="Y164" i="8"/>
  <c r="Y165" i="8"/>
  <c r="Y166" i="8"/>
  <c r="Y169" i="8"/>
  <c r="Y170" i="8"/>
  <c r="Y171" i="8"/>
  <c r="Y172" i="8"/>
  <c r="Y173" i="8"/>
  <c r="Y174" i="8"/>
  <c r="Y177" i="8"/>
  <c r="Y178" i="8"/>
  <c r="Y179" i="8"/>
  <c r="Y180" i="8"/>
  <c r="Y181" i="8"/>
  <c r="Y182" i="8"/>
  <c r="Y185" i="8"/>
  <c r="Y186" i="8"/>
  <c r="Y187" i="8"/>
  <c r="Y188" i="8"/>
  <c r="Y189" i="8"/>
  <c r="Y190" i="8"/>
  <c r="Y193" i="8"/>
  <c r="Y194" i="8"/>
  <c r="Y195" i="8"/>
  <c r="Y196" i="8"/>
  <c r="Y197" i="8"/>
  <c r="Y198" i="8"/>
  <c r="Y201" i="8"/>
  <c r="Y202" i="8"/>
  <c r="Y203" i="8"/>
  <c r="Y204" i="8"/>
  <c r="Y205" i="8"/>
  <c r="Y206" i="8"/>
  <c r="Y209" i="8"/>
  <c r="Y210" i="8"/>
  <c r="Y211" i="8"/>
  <c r="Y212" i="8"/>
  <c r="Y213" i="8"/>
  <c r="Y214" i="8"/>
  <c r="Y217" i="8"/>
  <c r="Y218" i="8"/>
  <c r="Y219" i="8"/>
  <c r="Y220" i="8"/>
  <c r="Y221" i="8"/>
  <c r="Y222" i="8"/>
  <c r="Y225" i="8"/>
  <c r="Y226" i="8"/>
  <c r="Y227" i="8"/>
  <c r="Y228" i="8"/>
  <c r="Y229" i="8"/>
  <c r="Y230" i="8"/>
  <c r="Y233" i="8"/>
  <c r="Y234" i="8"/>
  <c r="Y235" i="8"/>
  <c r="Y236" i="8"/>
  <c r="Y237" i="8"/>
  <c r="Y238" i="8"/>
  <c r="Y241" i="8"/>
  <c r="Y242" i="8"/>
  <c r="Y243" i="8"/>
  <c r="Y244" i="8"/>
  <c r="Y245" i="8"/>
  <c r="Y246" i="8"/>
  <c r="Y249" i="8"/>
  <c r="Y250" i="8"/>
  <c r="Y251" i="8"/>
  <c r="Y252" i="8"/>
  <c r="Y253" i="8"/>
  <c r="Y254" i="8"/>
  <c r="Y256" i="8"/>
  <c r="Y257" i="8"/>
  <c r="Y258" i="8"/>
  <c r="Y259" i="8"/>
  <c r="Y260" i="8"/>
  <c r="Y261" i="8"/>
  <c r="Y262" i="8"/>
  <c r="Y264" i="8"/>
  <c r="Y265" i="8"/>
  <c r="Y266" i="8"/>
  <c r="Y267" i="8"/>
  <c r="Y268" i="8"/>
  <c r="Y269" i="8"/>
  <c r="Y270" i="8"/>
  <c r="Y272" i="8"/>
  <c r="Y273" i="8"/>
  <c r="Y274" i="8"/>
  <c r="Y275" i="8"/>
  <c r="Y276" i="8"/>
  <c r="Y277" i="8"/>
  <c r="Y278" i="8"/>
  <c r="Y280" i="8"/>
  <c r="Y281" i="8"/>
  <c r="Y282" i="8"/>
  <c r="Y283" i="8"/>
  <c r="Y284" i="8"/>
  <c r="Y285" i="8"/>
  <c r="Y286" i="8"/>
  <c r="Y288" i="8"/>
  <c r="Y289" i="8"/>
  <c r="Y290" i="8"/>
  <c r="Y291" i="8"/>
  <c r="Y292" i="8"/>
  <c r="Y293" i="8"/>
  <c r="Y294" i="8"/>
  <c r="Y296" i="8"/>
  <c r="Y297" i="8"/>
  <c r="Y298" i="8"/>
  <c r="Y299" i="8"/>
  <c r="Y300" i="8"/>
  <c r="Y301" i="8"/>
  <c r="Y302" i="8"/>
  <c r="Y304" i="8"/>
  <c r="Y305" i="8"/>
  <c r="Y306" i="8"/>
  <c r="Y307" i="8"/>
  <c r="Y308" i="8"/>
  <c r="Y309" i="8"/>
  <c r="Y310" i="8"/>
  <c r="Y312" i="8"/>
  <c r="Y313" i="8"/>
  <c r="Y314" i="8"/>
  <c r="Y315" i="8"/>
  <c r="Y316" i="8"/>
  <c r="Y317" i="8"/>
  <c r="Y318" i="8"/>
  <c r="Y320" i="8"/>
  <c r="Y321" i="8"/>
  <c r="Y322" i="8"/>
  <c r="Y323" i="8"/>
  <c r="Y324" i="8"/>
  <c r="Y325" i="8"/>
  <c r="Y326" i="8"/>
  <c r="Y328" i="8"/>
  <c r="Y329" i="8"/>
  <c r="Y330" i="8"/>
  <c r="Y331" i="8"/>
  <c r="Y332" i="8"/>
  <c r="Y333" i="8"/>
  <c r="Y334" i="8"/>
  <c r="Y336" i="8"/>
  <c r="Y337" i="8"/>
  <c r="Y338" i="8"/>
  <c r="Y339" i="8"/>
  <c r="Y340" i="8"/>
  <c r="Y341" i="8"/>
  <c r="Y342" i="8"/>
  <c r="Y344" i="8"/>
  <c r="Y345" i="8"/>
  <c r="Y346" i="8"/>
  <c r="Y347" i="8"/>
  <c r="Y348" i="8"/>
  <c r="Y349" i="8"/>
  <c r="Y350" i="8"/>
  <c r="Y352" i="8"/>
  <c r="Y353" i="8"/>
  <c r="Y354" i="8"/>
  <c r="Y355" i="8"/>
  <c r="Y356" i="8"/>
  <c r="Y357" i="8"/>
  <c r="Y358" i="8"/>
  <c r="Y360" i="8"/>
  <c r="Y361" i="8"/>
  <c r="Y362" i="8"/>
  <c r="Y363" i="8"/>
  <c r="Y364" i="8"/>
  <c r="Y365" i="8"/>
  <c r="Y366" i="8"/>
  <c r="Y368" i="8"/>
  <c r="Y369" i="8"/>
  <c r="Y370" i="8"/>
  <c r="Y371" i="8"/>
  <c r="Y372" i="8"/>
  <c r="Y373" i="8"/>
  <c r="Y374" i="8"/>
  <c r="Y376" i="8"/>
  <c r="Y377" i="8"/>
  <c r="Y378" i="8"/>
  <c r="Y379" i="8"/>
  <c r="Y380" i="8"/>
  <c r="Y381" i="8"/>
  <c r="Y382" i="8"/>
  <c r="Y384" i="8"/>
  <c r="Y385" i="8"/>
  <c r="Y386" i="8"/>
  <c r="Y387" i="8"/>
  <c r="Y388" i="8"/>
  <c r="Y389" i="8"/>
  <c r="Y390" i="8"/>
  <c r="Y392" i="8"/>
  <c r="Y393" i="8"/>
  <c r="Y394" i="8"/>
  <c r="Y395" i="8"/>
  <c r="Y396" i="8"/>
  <c r="Y397" i="8"/>
  <c r="Y398" i="8"/>
  <c r="Y400" i="8"/>
  <c r="Y401" i="8"/>
  <c r="Y402" i="8"/>
  <c r="Y403" i="8"/>
  <c r="Y404" i="8"/>
  <c r="Y405" i="8"/>
  <c r="Y406" i="8"/>
  <c r="Y408" i="8"/>
  <c r="Y409" i="8"/>
  <c r="Y410" i="8"/>
  <c r="Y411" i="8"/>
  <c r="Y412" i="8"/>
  <c r="Y413" i="8"/>
  <c r="Y414" i="8"/>
  <c r="Y416" i="8"/>
  <c r="Y417" i="8"/>
  <c r="Y418" i="8"/>
  <c r="Y419" i="8"/>
  <c r="Y420" i="8"/>
  <c r="Y421" i="8"/>
  <c r="Y422" i="8"/>
  <c r="Y424" i="8"/>
  <c r="Y425" i="8"/>
  <c r="Y426" i="8"/>
  <c r="Y427" i="8"/>
  <c r="Y428" i="8"/>
  <c r="Y429" i="8"/>
  <c r="Y430" i="8"/>
  <c r="Y432" i="8"/>
  <c r="Y433" i="8"/>
  <c r="Y434" i="8"/>
  <c r="Y435" i="8"/>
  <c r="Y436" i="8"/>
  <c r="Y437" i="8"/>
  <c r="Y438" i="8"/>
  <c r="Y440" i="8"/>
  <c r="Y441" i="8"/>
  <c r="Y442" i="8"/>
  <c r="Y443" i="8"/>
  <c r="Y444" i="8"/>
  <c r="Y445" i="8"/>
  <c r="Y446" i="8"/>
  <c r="Y448" i="8"/>
  <c r="Y449" i="8"/>
  <c r="Y450" i="8"/>
  <c r="Y451" i="8"/>
  <c r="Y452" i="8"/>
  <c r="Y453" i="8"/>
  <c r="Y454" i="8"/>
  <c r="Y456" i="8"/>
  <c r="Y457" i="8"/>
  <c r="Y458" i="8"/>
  <c r="Y459" i="8"/>
  <c r="Y460" i="8"/>
  <c r="Y461" i="8"/>
  <c r="Y462" i="8"/>
  <c r="Y464" i="8"/>
  <c r="Y465" i="8"/>
  <c r="Y466" i="8"/>
  <c r="Y467" i="8"/>
  <c r="Y468" i="8"/>
  <c r="Y469" i="8"/>
  <c r="Y470" i="8"/>
  <c r="Y472" i="8"/>
  <c r="Y473" i="8"/>
  <c r="Y474" i="8"/>
  <c r="Y475" i="8"/>
  <c r="Y476" i="8"/>
  <c r="Y477" i="8"/>
  <c r="Y478" i="8"/>
  <c r="Y480" i="8"/>
  <c r="Y481" i="8"/>
  <c r="Y482" i="8"/>
  <c r="Y483" i="8"/>
  <c r="Y484" i="8"/>
  <c r="Y485" i="8"/>
  <c r="Y486" i="8"/>
  <c r="Y488" i="8"/>
  <c r="Y489" i="8"/>
  <c r="Y490" i="8"/>
  <c r="Y491" i="8"/>
  <c r="Y492" i="8"/>
  <c r="Y493" i="8"/>
  <c r="Y494" i="8"/>
  <c r="Y496" i="8"/>
  <c r="X23" i="8" a="1"/>
  <c r="X24" i="8"/>
  <c r="X25" i="8"/>
  <c r="X27" i="8"/>
  <c r="X31" i="8"/>
  <c r="X32" i="8"/>
  <c r="X33" i="8"/>
  <c r="X34" i="8"/>
  <c r="X35" i="8"/>
  <c r="X37" i="8"/>
  <c r="X41" i="8"/>
  <c r="X42" i="8"/>
  <c r="X43" i="8"/>
  <c r="X45" i="8"/>
  <c r="X46" i="8"/>
  <c r="X49" i="8"/>
  <c r="X50" i="8"/>
  <c r="X53" i="8"/>
  <c r="X54" i="8"/>
  <c r="X55" i="8"/>
  <c r="X58" i="8"/>
  <c r="X59" i="8"/>
  <c r="X61" i="8"/>
  <c r="X62" i="8"/>
  <c r="X64" i="8"/>
  <c r="X67" i="8"/>
  <c r="X69" i="8"/>
  <c r="X70" i="8"/>
  <c r="X71" i="8"/>
  <c r="X72" i="8"/>
  <c r="X73" i="8"/>
  <c r="X78" i="8"/>
  <c r="X79" i="8"/>
  <c r="X80" i="8"/>
  <c r="X81" i="8"/>
  <c r="X82" i="8"/>
  <c r="X86" i="8"/>
  <c r="X87" i="8"/>
  <c r="X89" i="8"/>
  <c r="X90" i="8"/>
  <c r="X91" i="8"/>
  <c r="X95" i="8"/>
  <c r="X96" i="8"/>
  <c r="X97" i="8"/>
  <c r="X98" i="8"/>
  <c r="X101" i="8"/>
  <c r="X104" i="8"/>
  <c r="X105" i="8"/>
  <c r="X106" i="8"/>
  <c r="X107" i="8"/>
  <c r="X109" i="8"/>
  <c r="X110" i="8"/>
  <c r="X114" i="8"/>
  <c r="X115" i="8"/>
  <c r="X117" i="8"/>
  <c r="X118" i="8"/>
  <c r="X119" i="8"/>
  <c r="X122" i="8"/>
  <c r="X123" i="8"/>
  <c r="X126" i="8"/>
  <c r="X127" i="8"/>
  <c r="X128" i="8"/>
  <c r="X131" i="8"/>
  <c r="X133" i="8"/>
  <c r="X134" i="8"/>
  <c r="X135" i="8"/>
  <c r="X137" i="8"/>
  <c r="X141" i="8"/>
  <c r="X142" i="8"/>
  <c r="X143" i="8"/>
  <c r="X144" i="8"/>
  <c r="X145" i="8"/>
  <c r="X146" i="8"/>
  <c r="X151" i="8"/>
  <c r="X152" i="8"/>
  <c r="X153" i="8"/>
  <c r="X154" i="8"/>
  <c r="X155" i="8"/>
  <c r="X159" i="8"/>
  <c r="X160" i="8"/>
  <c r="X162" i="8"/>
  <c r="X163" i="8"/>
  <c r="X165" i="8"/>
  <c r="X168" i="8"/>
  <c r="X169" i="8"/>
  <c r="X170" i="8"/>
  <c r="X171" i="8"/>
  <c r="X174" i="8"/>
  <c r="X177" i="8"/>
  <c r="X178" i="8"/>
  <c r="X179" i="8"/>
  <c r="X181" i="8"/>
  <c r="X182" i="8"/>
  <c r="X183" i="8"/>
  <c r="X187" i="8"/>
  <c r="X189" i="8"/>
  <c r="X190" i="8"/>
  <c r="X191" i="8"/>
  <c r="X192" i="8"/>
  <c r="X195" i="8"/>
  <c r="X197" i="8"/>
  <c r="X199" i="8"/>
  <c r="X200" i="8"/>
  <c r="X201" i="8"/>
  <c r="X205" i="8"/>
  <c r="X206" i="8"/>
  <c r="X207" i="8"/>
  <c r="X208" i="8"/>
  <c r="X210" i="8"/>
  <c r="X214" i="8"/>
  <c r="X215" i="8"/>
  <c r="X216" i="8"/>
  <c r="X217" i="8"/>
  <c r="X218" i="8"/>
  <c r="X219" i="8"/>
  <c r="X224" i="8"/>
  <c r="X225" i="8"/>
  <c r="X226" i="8"/>
  <c r="X227" i="8"/>
  <c r="X229" i="8"/>
  <c r="X232" i="8"/>
  <c r="X233" i="8"/>
  <c r="X235" i="8"/>
  <c r="X237" i="8"/>
  <c r="X238" i="8"/>
  <c r="X241" i="8"/>
  <c r="X242" i="8"/>
  <c r="X243" i="8"/>
  <c r="X245" i="8"/>
  <c r="X247" i="8"/>
  <c r="X250" i="8"/>
  <c r="X251" i="8"/>
  <c r="X253" i="8"/>
  <c r="X254" i="8"/>
  <c r="X255" i="8"/>
  <c r="X256" i="8"/>
  <c r="X261" i="8"/>
  <c r="X262" i="8"/>
  <c r="X263" i="8"/>
  <c r="X264" i="8"/>
  <c r="X265" i="8"/>
  <c r="X269" i="8"/>
  <c r="X270" i="8"/>
  <c r="X272" i="8"/>
  <c r="X273" i="8"/>
  <c r="X274" i="8"/>
  <c r="X278" i="8"/>
  <c r="X279" i="8"/>
  <c r="X280" i="8"/>
  <c r="X281" i="8"/>
  <c r="X283" i="8"/>
  <c r="X287" i="8"/>
  <c r="X288" i="8"/>
  <c r="X289" i="8"/>
  <c r="X290" i="8"/>
  <c r="X291" i="8"/>
  <c r="X293" i="8"/>
  <c r="X297" i="8"/>
  <c r="X298" i="8"/>
  <c r="X299" i="8"/>
  <c r="X301" i="8"/>
  <c r="X302" i="8"/>
  <c r="X305" i="8"/>
  <c r="X306" i="8"/>
  <c r="X309" i="8"/>
  <c r="X310" i="8"/>
  <c r="X311" i="8"/>
  <c r="X314" i="8"/>
  <c r="X315" i="8"/>
  <c r="X317" i="8"/>
  <c r="X318" i="8"/>
  <c r="X320" i="8"/>
  <c r="X323" i="8"/>
  <c r="X325" i="8"/>
  <c r="X326" i="8"/>
  <c r="X327" i="8"/>
  <c r="X328" i="8"/>
  <c r="X329" i="8"/>
  <c r="X334" i="8"/>
  <c r="X335" i="8"/>
  <c r="X336" i="8"/>
  <c r="X337" i="8"/>
  <c r="X338" i="8"/>
  <c r="X342" i="8"/>
  <c r="X343" i="8"/>
  <c r="X345" i="8"/>
  <c r="X346" i="8"/>
  <c r="X347" i="8"/>
  <c r="X350" i="8"/>
  <c r="X351" i="8"/>
  <c r="X352" i="8"/>
  <c r="X353" i="8"/>
  <c r="X355" i="8"/>
  <c r="X358" i="8"/>
  <c r="X359" i="8"/>
  <c r="X360" i="8"/>
  <c r="X361" i="8"/>
  <c r="X362" i="8"/>
  <c r="X363" i="8"/>
  <c r="X367" i="8"/>
  <c r="X368" i="8"/>
  <c r="X369" i="8"/>
  <c r="X370" i="8"/>
  <c r="X371" i="8"/>
  <c r="X374" i="8"/>
  <c r="X375" i="8"/>
  <c r="X377" i="8"/>
  <c r="X378" i="8"/>
  <c r="X379" i="8"/>
  <c r="X382" i="8"/>
  <c r="X383" i="8"/>
  <c r="X384" i="8"/>
  <c r="X385" i="8"/>
  <c r="X387" i="8"/>
  <c r="X390" i="8"/>
  <c r="X391" i="8"/>
  <c r="X392" i="8"/>
  <c r="X393" i="8"/>
  <c r="X394" i="8"/>
  <c r="X395" i="8"/>
  <c r="X399" i="8"/>
  <c r="X400" i="8"/>
  <c r="X401" i="8"/>
  <c r="X402" i="8"/>
  <c r="X403" i="8"/>
  <c r="X406" i="8"/>
  <c r="X407" i="8"/>
  <c r="X409" i="8"/>
  <c r="X410" i="8"/>
  <c r="X411" i="8"/>
  <c r="X414" i="8"/>
  <c r="X415" i="8"/>
  <c r="X416" i="8"/>
  <c r="X417" i="8"/>
  <c r="X419" i="8"/>
  <c r="X422" i="8"/>
  <c r="X423" i="8"/>
  <c r="X424" i="8"/>
  <c r="X425" i="8"/>
  <c r="X426" i="8"/>
  <c r="X427" i="8"/>
  <c r="X431" i="8"/>
  <c r="X432" i="8"/>
  <c r="X433" i="8"/>
  <c r="X434" i="8"/>
  <c r="X435" i="8"/>
  <c r="X438" i="8"/>
  <c r="X439" i="8"/>
  <c r="X441" i="8"/>
  <c r="X442" i="8"/>
  <c r="X443" i="8"/>
  <c r="X446" i="8"/>
  <c r="X447" i="8"/>
  <c r="X448" i="8"/>
  <c r="X449" i="8"/>
  <c r="X451" i="8"/>
  <c r="X454" i="8"/>
  <c r="X455" i="8"/>
  <c r="X456" i="8"/>
  <c r="X457" i="8"/>
  <c r="X458" i="8"/>
  <c r="X459" i="8"/>
  <c r="X463" i="8"/>
  <c r="X464" i="8"/>
  <c r="X465" i="8"/>
  <c r="X466" i="8"/>
  <c r="X467" i="8"/>
  <c r="X470" i="8"/>
  <c r="X471" i="8"/>
  <c r="X473" i="8"/>
  <c r="X474" i="8"/>
  <c r="X475" i="8"/>
  <c r="X478" i="8"/>
  <c r="X479" i="8"/>
  <c r="X480" i="8"/>
  <c r="X481" i="8"/>
  <c r="X483" i="8"/>
  <c r="X486" i="8"/>
  <c r="X487" i="8"/>
  <c r="X488" i="8"/>
  <c r="X489" i="8"/>
  <c r="X490" i="8"/>
  <c r="X491" i="8"/>
  <c r="X495" i="8"/>
  <c r="X496" i="8"/>
  <c r="W23" i="8" a="1"/>
  <c r="W23" i="8" s="1"/>
  <c r="W40" i="8"/>
  <c r="W57" i="8"/>
  <c r="W72" i="8"/>
  <c r="W87" i="8"/>
  <c r="W103" i="8"/>
  <c r="W117" i="8"/>
  <c r="W132" i="8"/>
  <c r="W145" i="8"/>
  <c r="W160" i="8"/>
  <c r="W176" i="8"/>
  <c r="W190" i="8"/>
  <c r="W205" i="8"/>
  <c r="W218" i="8"/>
  <c r="W233" i="8"/>
  <c r="W249" i="8"/>
  <c r="W263" i="8"/>
  <c r="W278" i="8"/>
  <c r="W292" i="8"/>
  <c r="W306" i="8"/>
  <c r="W310" i="8"/>
  <c r="W322" i="8"/>
  <c r="W325" i="8"/>
  <c r="W336" i="8"/>
  <c r="W341" i="8"/>
  <c r="W351" i="8"/>
  <c r="W354" i="8"/>
  <c r="W365" i="8"/>
  <c r="W369" i="8"/>
  <c r="W380" i="8"/>
  <c r="W383" i="8"/>
  <c r="W386" i="8"/>
  <c r="W389" i="8"/>
  <c r="W392" i="8"/>
  <c r="W396" i="8"/>
  <c r="W398" i="8"/>
  <c r="W401" i="8"/>
  <c r="W405" i="8"/>
  <c r="W407" i="8"/>
  <c r="W410" i="8"/>
  <c r="W414" i="8"/>
  <c r="W416" i="8"/>
  <c r="W420" i="8"/>
  <c r="W423" i="8"/>
  <c r="W425" i="8"/>
  <c r="W429" i="8"/>
  <c r="W432" i="8"/>
  <c r="W434" i="8"/>
  <c r="W438" i="8"/>
  <c r="W441" i="8"/>
  <c r="W444" i="8"/>
  <c r="W447" i="8"/>
  <c r="W450" i="8"/>
  <c r="W453" i="8"/>
  <c r="W456" i="8"/>
  <c r="W460" i="8"/>
  <c r="W462" i="8"/>
  <c r="W465" i="8"/>
  <c r="W469" i="8"/>
  <c r="W471" i="8"/>
  <c r="W474" i="8"/>
  <c r="W478" i="8"/>
  <c r="W480" i="8"/>
  <c r="W484" i="8"/>
  <c r="W487" i="8"/>
  <c r="W489" i="8"/>
  <c r="W493" i="8"/>
  <c r="W496" i="8"/>
  <c r="V23" i="8" a="1"/>
  <c r="V26" i="8" s="1"/>
  <c r="V23" i="8"/>
  <c r="V27" i="8"/>
  <c r="V30" i="8"/>
  <c r="V33" i="8"/>
  <c r="V35" i="8"/>
  <c r="V36" i="8"/>
  <c r="V39" i="8"/>
  <c r="V42" i="8"/>
  <c r="V45" i="8"/>
  <c r="V46" i="8"/>
  <c r="V49" i="8"/>
  <c r="V51" i="8"/>
  <c r="V54" i="8"/>
  <c r="V58" i="8"/>
  <c r="V59" i="8"/>
  <c r="V60" i="8"/>
  <c r="V63" i="8"/>
  <c r="V67" i="8"/>
  <c r="V69" i="8"/>
  <c r="V71" i="8"/>
  <c r="V73" i="8"/>
  <c r="V76" i="8"/>
  <c r="V78" i="8"/>
  <c r="V82" i="8"/>
  <c r="V83" i="8"/>
  <c r="V85" i="8"/>
  <c r="V87" i="8"/>
  <c r="V91" i="8"/>
  <c r="V94" i="8"/>
  <c r="V95" i="8"/>
  <c r="V97" i="8"/>
  <c r="V100" i="8"/>
  <c r="V103" i="8"/>
  <c r="V106" i="8"/>
  <c r="V108" i="8"/>
  <c r="V109" i="8"/>
  <c r="V113" i="8"/>
  <c r="V115" i="8"/>
  <c r="V118" i="8"/>
  <c r="V119" i="8"/>
  <c r="V122" i="8"/>
  <c r="V124" i="8"/>
  <c r="V127" i="8"/>
  <c r="V131" i="8"/>
  <c r="V132" i="8"/>
  <c r="V133" i="8"/>
  <c r="V137" i="8"/>
  <c r="V140" i="8"/>
  <c r="V142" i="8"/>
  <c r="V145" i="8"/>
  <c r="V146" i="8"/>
  <c r="V149" i="8"/>
  <c r="V151" i="8"/>
  <c r="V155" i="8"/>
  <c r="V156" i="8"/>
  <c r="V158" i="8"/>
  <c r="V161" i="8"/>
  <c r="V164" i="8"/>
  <c r="V167" i="8"/>
  <c r="V169" i="8"/>
  <c r="V170" i="8"/>
  <c r="V173" i="8"/>
  <c r="V177" i="8"/>
  <c r="V179" i="8"/>
  <c r="V181" i="8"/>
  <c r="V182" i="8"/>
  <c r="V183" i="8"/>
  <c r="V186" i="8"/>
  <c r="V188" i="8"/>
  <c r="V191" i="8"/>
  <c r="V193" i="8"/>
  <c r="V195" i="8"/>
  <c r="V196" i="8"/>
  <c r="V197" i="8"/>
  <c r="V201" i="8"/>
  <c r="V204" i="8"/>
  <c r="V205" i="8"/>
  <c r="V206" i="8"/>
  <c r="V209" i="8"/>
  <c r="V210" i="8"/>
  <c r="V213" i="8"/>
  <c r="V215" i="8"/>
  <c r="V218" i="8"/>
  <c r="V219" i="8"/>
  <c r="V220" i="8"/>
  <c r="V222" i="8"/>
  <c r="V225" i="8"/>
  <c r="V228" i="8"/>
  <c r="V229" i="8"/>
  <c r="V231" i="8"/>
  <c r="V233" i="8"/>
  <c r="V234" i="8"/>
  <c r="V237" i="8"/>
  <c r="V241" i="8"/>
  <c r="V242" i="8"/>
  <c r="V243" i="8"/>
  <c r="V245" i="8"/>
  <c r="V246" i="8"/>
  <c r="V250" i="8"/>
  <c r="V252" i="8"/>
  <c r="V254" i="8"/>
  <c r="V255" i="8"/>
  <c r="V257" i="8"/>
  <c r="V259" i="8"/>
  <c r="V261" i="8"/>
  <c r="V265" i="8"/>
  <c r="V266" i="8"/>
  <c r="V268" i="8"/>
  <c r="V269" i="8"/>
  <c r="V270" i="8"/>
  <c r="V274" i="8"/>
  <c r="V277" i="8"/>
  <c r="V278" i="8"/>
  <c r="V279" i="8"/>
  <c r="V282" i="8"/>
  <c r="V283" i="8"/>
  <c r="V286" i="8"/>
  <c r="V289" i="8"/>
  <c r="V291" i="8"/>
  <c r="V292" i="8"/>
  <c r="V293" i="8"/>
  <c r="V295" i="8"/>
  <c r="V298" i="8"/>
  <c r="V301" i="8"/>
  <c r="V302" i="8"/>
  <c r="V305" i="8"/>
  <c r="V306" i="8"/>
  <c r="V307" i="8"/>
  <c r="V310" i="8"/>
  <c r="V314" i="8"/>
  <c r="V315" i="8"/>
  <c r="V316" i="8"/>
  <c r="V318" i="8"/>
  <c r="V319" i="8"/>
  <c r="V323" i="8"/>
  <c r="V325" i="8"/>
  <c r="V327" i="8"/>
  <c r="V329" i="8"/>
  <c r="V330" i="8"/>
  <c r="V332" i="8"/>
  <c r="V334" i="8"/>
  <c r="V338" i="8"/>
  <c r="V339" i="8"/>
  <c r="V341" i="8"/>
  <c r="V342" i="8"/>
  <c r="V343" i="8"/>
  <c r="V347" i="8"/>
  <c r="V350" i="8"/>
  <c r="V351" i="8"/>
  <c r="V353" i="8"/>
  <c r="V355" i="8"/>
  <c r="V356" i="8"/>
  <c r="V359" i="8"/>
  <c r="V362" i="8"/>
  <c r="V364" i="8"/>
  <c r="V365" i="8"/>
  <c r="V366" i="8"/>
  <c r="V369" i="8"/>
  <c r="V371" i="8"/>
  <c r="V374" i="8"/>
  <c r="V375" i="8"/>
  <c r="V378" i="8"/>
  <c r="V379" i="8"/>
  <c r="V380" i="8"/>
  <c r="V383" i="8"/>
  <c r="V387" i="8"/>
  <c r="V388" i="8"/>
  <c r="V389" i="8"/>
  <c r="V391" i="8"/>
  <c r="V393" i="8"/>
  <c r="V396" i="8"/>
  <c r="V398" i="8"/>
  <c r="V401" i="8"/>
  <c r="V402" i="8"/>
  <c r="V403" i="8"/>
  <c r="V405" i="8"/>
  <c r="V407" i="8"/>
  <c r="V411" i="8"/>
  <c r="V412" i="8"/>
  <c r="V414" i="8"/>
  <c r="V415" i="8"/>
  <c r="V417" i="8"/>
  <c r="V420" i="8"/>
  <c r="V423" i="8"/>
  <c r="V424" i="8"/>
  <c r="V425" i="8"/>
  <c r="V427" i="8"/>
  <c r="V428" i="8"/>
  <c r="V431" i="8"/>
  <c r="V433" i="8"/>
  <c r="V435" i="8"/>
  <c r="V436" i="8"/>
  <c r="V437" i="8"/>
  <c r="V439" i="8"/>
  <c r="V441" i="8"/>
  <c r="V444" i="8"/>
  <c r="V445" i="8"/>
  <c r="V447" i="8"/>
  <c r="V448" i="8"/>
  <c r="V449" i="8"/>
  <c r="V452" i="8"/>
  <c r="V455" i="8"/>
  <c r="V456" i="8"/>
  <c r="V457" i="8"/>
  <c r="V459" i="8"/>
  <c r="V460" i="8"/>
  <c r="V463" i="8"/>
  <c r="V465" i="8"/>
  <c r="V467" i="8"/>
  <c r="V468" i="8"/>
  <c r="V469" i="8"/>
  <c r="V471" i="8"/>
  <c r="V473" i="8"/>
  <c r="V476" i="8"/>
  <c r="V477" i="8"/>
  <c r="V479" i="8"/>
  <c r="V480" i="8"/>
  <c r="V481" i="8"/>
  <c r="V484" i="8"/>
  <c r="V487" i="8"/>
  <c r="V488" i="8"/>
  <c r="V489" i="8"/>
  <c r="V491" i="8"/>
  <c r="V492" i="8"/>
  <c r="V495" i="8"/>
  <c r="U23" i="8" a="1"/>
  <c r="U28" i="8" s="1"/>
  <c r="U66" i="8"/>
  <c r="U112" i="8"/>
  <c r="U148" i="8"/>
  <c r="U180" i="8"/>
  <c r="U214" i="8"/>
  <c r="U246" i="8"/>
  <c r="U278" i="8"/>
  <c r="U312" i="8"/>
  <c r="U340" i="8"/>
  <c r="U368" i="8"/>
  <c r="U397" i="8"/>
  <c r="U425" i="8"/>
  <c r="U453" i="8"/>
  <c r="U482" i="8"/>
  <c r="T23" i="8" a="1"/>
  <c r="T23" i="8"/>
  <c r="T25" i="8"/>
  <c r="T26" i="8"/>
  <c r="T29" i="8"/>
  <c r="T30" i="8"/>
  <c r="T31" i="8"/>
  <c r="T33" i="8"/>
  <c r="T34" i="8"/>
  <c r="T35" i="8"/>
  <c r="T37" i="8"/>
  <c r="T39" i="8"/>
  <c r="T41" i="8"/>
  <c r="T42" i="8"/>
  <c r="T43" i="8"/>
  <c r="T45" i="8"/>
  <c r="T46" i="8"/>
  <c r="T47" i="8"/>
  <c r="T50" i="8"/>
  <c r="T51" i="8"/>
  <c r="T53" i="8"/>
  <c r="T54" i="8"/>
  <c r="T55" i="8"/>
  <c r="T57" i="8"/>
  <c r="T58" i="8"/>
  <c r="T61" i="8"/>
  <c r="T62" i="8"/>
  <c r="T63" i="8"/>
  <c r="T65" i="8"/>
  <c r="T66" i="8"/>
  <c r="T67" i="8"/>
  <c r="T69" i="8"/>
  <c r="T71" i="8"/>
  <c r="T73" i="8"/>
  <c r="T74" i="8"/>
  <c r="T75" i="8"/>
  <c r="T77" i="8"/>
  <c r="T78" i="8"/>
  <c r="T79" i="8"/>
  <c r="T81" i="8"/>
  <c r="T82" i="8"/>
  <c r="T83" i="8"/>
  <c r="T85" i="8"/>
  <c r="T86" i="8"/>
  <c r="T87" i="8"/>
  <c r="T88" i="8"/>
  <c r="T90" i="8"/>
  <c r="T91" i="8"/>
  <c r="T92" i="8"/>
  <c r="T93" i="8"/>
  <c r="T94" i="8"/>
  <c r="T95" i="8"/>
  <c r="T96" i="8"/>
  <c r="T98" i="8"/>
  <c r="T99" i="8"/>
  <c r="T100" i="8"/>
  <c r="T101" i="8"/>
  <c r="T102" i="8"/>
  <c r="T103" i="8"/>
  <c r="T104" i="8"/>
  <c r="T106" i="8"/>
  <c r="T107" i="8"/>
  <c r="T108" i="8"/>
  <c r="T109" i="8"/>
  <c r="T110" i="8"/>
  <c r="T111" i="8"/>
  <c r="T112" i="8"/>
  <c r="T114" i="8"/>
  <c r="T115" i="8"/>
  <c r="T116" i="8"/>
  <c r="T117" i="8"/>
  <c r="T118" i="8"/>
  <c r="T119" i="8"/>
  <c r="T120" i="8"/>
  <c r="T122" i="8"/>
  <c r="T123" i="8"/>
  <c r="T124" i="8"/>
  <c r="T125" i="8"/>
  <c r="T126" i="8"/>
  <c r="T127" i="8"/>
  <c r="T128" i="8"/>
  <c r="T130" i="8"/>
  <c r="T131" i="8"/>
  <c r="T132" i="8"/>
  <c r="T133" i="8"/>
  <c r="T134" i="8"/>
  <c r="T135" i="8"/>
  <c r="T136" i="8"/>
  <c r="T138" i="8"/>
  <c r="T139" i="8"/>
  <c r="T140" i="8"/>
  <c r="T141" i="8"/>
  <c r="T142" i="8"/>
  <c r="T143" i="8"/>
  <c r="T144" i="8"/>
  <c r="T146" i="8"/>
  <c r="T147" i="8"/>
  <c r="T148" i="8"/>
  <c r="T149" i="8"/>
  <c r="T150" i="8"/>
  <c r="T151" i="8"/>
  <c r="T152" i="8"/>
  <c r="T154" i="8"/>
  <c r="T155" i="8"/>
  <c r="T156" i="8"/>
  <c r="T157" i="8"/>
  <c r="T158" i="8"/>
  <c r="T159" i="8"/>
  <c r="T160" i="8"/>
  <c r="T162" i="8"/>
  <c r="T163" i="8"/>
  <c r="T164" i="8"/>
  <c r="T165" i="8"/>
  <c r="T166" i="8"/>
  <c r="T167" i="8"/>
  <c r="T168" i="8"/>
  <c r="T170" i="8"/>
  <c r="T171" i="8"/>
  <c r="T172" i="8"/>
  <c r="T173" i="8"/>
  <c r="T174" i="8"/>
  <c r="T175" i="8"/>
  <c r="T176" i="8"/>
  <c r="T178" i="8"/>
  <c r="T179" i="8"/>
  <c r="T180" i="8"/>
  <c r="T181" i="8"/>
  <c r="T182" i="8"/>
  <c r="T183" i="8"/>
  <c r="T184" i="8"/>
  <c r="T186" i="8"/>
  <c r="T187" i="8"/>
  <c r="T188" i="8"/>
  <c r="T189" i="8"/>
  <c r="T190" i="8"/>
  <c r="T191" i="8"/>
  <c r="T192" i="8"/>
  <c r="T194" i="8"/>
  <c r="T195" i="8"/>
  <c r="T196" i="8"/>
  <c r="T197" i="8"/>
  <c r="T198" i="8"/>
  <c r="T199" i="8"/>
  <c r="T200" i="8"/>
  <c r="T202" i="8"/>
  <c r="T203" i="8"/>
  <c r="T204" i="8"/>
  <c r="T205" i="8"/>
  <c r="T206" i="8"/>
  <c r="T207" i="8"/>
  <c r="T208" i="8"/>
  <c r="T210" i="8"/>
  <c r="T211" i="8"/>
  <c r="T212" i="8"/>
  <c r="T213" i="8"/>
  <c r="T214" i="8"/>
  <c r="T215" i="8"/>
  <c r="T216" i="8"/>
  <c r="T218" i="8"/>
  <c r="T219" i="8"/>
  <c r="T220" i="8"/>
  <c r="T221" i="8"/>
  <c r="T222" i="8"/>
  <c r="T223" i="8"/>
  <c r="T224" i="8"/>
  <c r="T226" i="8"/>
  <c r="T227" i="8"/>
  <c r="T228" i="8"/>
  <c r="T229" i="8"/>
  <c r="T230" i="8"/>
  <c r="T231" i="8"/>
  <c r="T232" i="8"/>
  <c r="T234" i="8"/>
  <c r="T235" i="8"/>
  <c r="T236" i="8"/>
  <c r="T237" i="8"/>
  <c r="T238" i="8"/>
  <c r="T239" i="8"/>
  <c r="T240" i="8"/>
  <c r="T242" i="8"/>
  <c r="T243" i="8"/>
  <c r="T244" i="8"/>
  <c r="T245" i="8"/>
  <c r="T246" i="8"/>
  <c r="T247" i="8"/>
  <c r="T248" i="8"/>
  <c r="T250" i="8"/>
  <c r="T251" i="8"/>
  <c r="T252" i="8"/>
  <c r="T253" i="8"/>
  <c r="T254" i="8"/>
  <c r="T255" i="8"/>
  <c r="T256" i="8"/>
  <c r="T258" i="8"/>
  <c r="T259" i="8"/>
  <c r="T260" i="8"/>
  <c r="T261" i="8"/>
  <c r="T262" i="8"/>
  <c r="T263" i="8"/>
  <c r="T264" i="8"/>
  <c r="T266" i="8"/>
  <c r="T267" i="8"/>
  <c r="T268" i="8"/>
  <c r="T269" i="8"/>
  <c r="T270" i="8"/>
  <c r="T271" i="8"/>
  <c r="T272" i="8"/>
  <c r="T274" i="8"/>
  <c r="T275" i="8"/>
  <c r="T276" i="8"/>
  <c r="T277" i="8"/>
  <c r="T278" i="8"/>
  <c r="T279" i="8"/>
  <c r="T280" i="8"/>
  <c r="T282" i="8"/>
  <c r="T283" i="8"/>
  <c r="T284" i="8"/>
  <c r="T285" i="8"/>
  <c r="T286" i="8"/>
  <c r="T287" i="8"/>
  <c r="T288" i="8"/>
  <c r="T290" i="8"/>
  <c r="T291" i="8"/>
  <c r="T292" i="8"/>
  <c r="T293" i="8"/>
  <c r="T294" i="8"/>
  <c r="T295" i="8"/>
  <c r="T296" i="8"/>
  <c r="T298" i="8"/>
  <c r="T299" i="8"/>
  <c r="T300" i="8"/>
  <c r="T301" i="8"/>
  <c r="T302" i="8"/>
  <c r="T303" i="8"/>
  <c r="T304" i="8"/>
  <c r="T306" i="8"/>
  <c r="T307" i="8"/>
  <c r="T308" i="8"/>
  <c r="T309" i="8"/>
  <c r="T310" i="8"/>
  <c r="T311" i="8"/>
  <c r="T312" i="8"/>
  <c r="T314" i="8"/>
  <c r="T315" i="8"/>
  <c r="T316" i="8"/>
  <c r="T317" i="8"/>
  <c r="T318" i="8"/>
  <c r="T319" i="8"/>
  <c r="T320" i="8"/>
  <c r="T322" i="8"/>
  <c r="T323" i="8"/>
  <c r="T324" i="8"/>
  <c r="T325" i="8"/>
  <c r="T326" i="8"/>
  <c r="T327" i="8"/>
  <c r="T328" i="8"/>
  <c r="T330" i="8"/>
  <c r="T331" i="8"/>
  <c r="T332" i="8"/>
  <c r="T333" i="8"/>
  <c r="T334" i="8"/>
  <c r="T335" i="8"/>
  <c r="T336" i="8"/>
  <c r="T338" i="8"/>
  <c r="T339" i="8"/>
  <c r="T340" i="8"/>
  <c r="T341" i="8"/>
  <c r="T342" i="8"/>
  <c r="T343" i="8"/>
  <c r="T344" i="8"/>
  <c r="T346" i="8"/>
  <c r="T347" i="8"/>
  <c r="T348" i="8"/>
  <c r="T349" i="8"/>
  <c r="T350" i="8"/>
  <c r="T351" i="8"/>
  <c r="T352" i="8"/>
  <c r="T354" i="8"/>
  <c r="T355" i="8"/>
  <c r="T356" i="8"/>
  <c r="T357" i="8"/>
  <c r="T358" i="8"/>
  <c r="T359" i="8"/>
  <c r="T360" i="8"/>
  <c r="T362" i="8"/>
  <c r="T363" i="8"/>
  <c r="T364" i="8"/>
  <c r="T365" i="8"/>
  <c r="T366" i="8"/>
  <c r="T367" i="8"/>
  <c r="T368" i="8"/>
  <c r="T370" i="8"/>
  <c r="T371" i="8"/>
  <c r="T372" i="8"/>
  <c r="T373" i="8"/>
  <c r="T374" i="8"/>
  <c r="T375" i="8"/>
  <c r="T376" i="8"/>
  <c r="T378" i="8"/>
  <c r="T379" i="8"/>
  <c r="T380" i="8"/>
  <c r="T381" i="8"/>
  <c r="T382" i="8"/>
  <c r="T383" i="8"/>
  <c r="T384" i="8"/>
  <c r="T386" i="8"/>
  <c r="T387" i="8"/>
  <c r="T388" i="8"/>
  <c r="T389" i="8"/>
  <c r="T390" i="8"/>
  <c r="T391" i="8"/>
  <c r="T392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S23" i="8" a="1"/>
  <c r="S25" i="8" s="1"/>
  <c r="S30" i="8"/>
  <c r="S38" i="8"/>
  <c r="S46" i="8"/>
  <c r="S54" i="8"/>
  <c r="S62" i="8"/>
  <c r="S70" i="8"/>
  <c r="S78" i="8"/>
  <c r="S86" i="8"/>
  <c r="S94" i="8"/>
  <c r="S102" i="8"/>
  <c r="S110" i="8"/>
  <c r="S118" i="8"/>
  <c r="S126" i="8"/>
  <c r="S134" i="8"/>
  <c r="S142" i="8"/>
  <c r="S150" i="8"/>
  <c r="S158" i="8"/>
  <c r="S166" i="8"/>
  <c r="S174" i="8"/>
  <c r="S182" i="8"/>
  <c r="S190" i="8"/>
  <c r="S198" i="8"/>
  <c r="S206" i="8"/>
  <c r="S214" i="8"/>
  <c r="S222" i="8"/>
  <c r="S230" i="8"/>
  <c r="S238" i="8"/>
  <c r="S246" i="8"/>
  <c r="S254" i="8"/>
  <c r="S262" i="8"/>
  <c r="S270" i="8"/>
  <c r="S278" i="8"/>
  <c r="S286" i="8"/>
  <c r="S294" i="8"/>
  <c r="S302" i="8"/>
  <c r="S310" i="8"/>
  <c r="S318" i="8"/>
  <c r="S326" i="8"/>
  <c r="S334" i="8"/>
  <c r="S342" i="8"/>
  <c r="S350" i="8"/>
  <c r="S358" i="8"/>
  <c r="S366" i="8"/>
  <c r="S374" i="8"/>
  <c r="S382" i="8"/>
  <c r="S390" i="8"/>
  <c r="S398" i="8"/>
  <c r="S406" i="8"/>
  <c r="S414" i="8"/>
  <c r="S422" i="8"/>
  <c r="S430" i="8"/>
  <c r="S438" i="8"/>
  <c r="S446" i="8"/>
  <c r="S454" i="8"/>
  <c r="S462" i="8"/>
  <c r="S470" i="8"/>
  <c r="S478" i="8"/>
  <c r="S486" i="8"/>
  <c r="S494" i="8"/>
  <c r="R23" i="8" a="1"/>
  <c r="R38" i="8"/>
  <c r="R54" i="8"/>
  <c r="R70" i="8"/>
  <c r="R86" i="8"/>
  <c r="R102" i="8"/>
  <c r="R118" i="8"/>
  <c r="R134" i="8"/>
  <c r="R150" i="8"/>
  <c r="R166" i="8"/>
  <c r="R182" i="8"/>
  <c r="R198" i="8"/>
  <c r="R214" i="8"/>
  <c r="R230" i="8"/>
  <c r="R246" i="8"/>
  <c r="R262" i="8"/>
  <c r="R278" i="8"/>
  <c r="R291" i="8"/>
  <c r="R303" i="8"/>
  <c r="R316" i="8"/>
  <c r="R330" i="8"/>
  <c r="R342" i="8"/>
  <c r="R355" i="8"/>
  <c r="R367" i="8"/>
  <c r="R380" i="8"/>
  <c r="R394" i="8"/>
  <c r="R406" i="8"/>
  <c r="R416" i="8"/>
  <c r="R427" i="8"/>
  <c r="R438" i="8"/>
  <c r="R448" i="8"/>
  <c r="R459" i="8"/>
  <c r="R470" i="8"/>
  <c r="R480" i="8"/>
  <c r="R491" i="8"/>
  <c r="Q23" i="8" a="1"/>
  <c r="Q26" i="8" s="1"/>
  <c r="Q23" i="8"/>
  <c r="Q24" i="8"/>
  <c r="Q25" i="8"/>
  <c r="Q27" i="8"/>
  <c r="Q28" i="8"/>
  <c r="Q29" i="8"/>
  <c r="Q30" i="8"/>
  <c r="Q31" i="8"/>
  <c r="Q32" i="8"/>
  <c r="Q33" i="8"/>
  <c r="Q35" i="8"/>
  <c r="Q36" i="8"/>
  <c r="Q37" i="8"/>
  <c r="Q38" i="8"/>
  <c r="Q39" i="8"/>
  <c r="Q40" i="8"/>
  <c r="Q41" i="8"/>
  <c r="Q43" i="8"/>
  <c r="Q44" i="8"/>
  <c r="Q45" i="8"/>
  <c r="Q46" i="8"/>
  <c r="Q47" i="8"/>
  <c r="Q48" i="8"/>
  <c r="Q49" i="8"/>
  <c r="Q51" i="8"/>
  <c r="Q52" i="8"/>
  <c r="Q53" i="8"/>
  <c r="Q54" i="8"/>
  <c r="Q55" i="8"/>
  <c r="Q56" i="8"/>
  <c r="Q57" i="8"/>
  <c r="Q59" i="8"/>
  <c r="Q60" i="8"/>
  <c r="Q61" i="8"/>
  <c r="Q62" i="8"/>
  <c r="Q63" i="8"/>
  <c r="Q64" i="8"/>
  <c r="Q65" i="8"/>
  <c r="Q67" i="8"/>
  <c r="Q68" i="8"/>
  <c r="Q69" i="8"/>
  <c r="Q70" i="8"/>
  <c r="Q71" i="8"/>
  <c r="Q72" i="8"/>
  <c r="Q73" i="8"/>
  <c r="Q75" i="8"/>
  <c r="Q76" i="8"/>
  <c r="Q77" i="8"/>
  <c r="Q78" i="8"/>
  <c r="Q79" i="8"/>
  <c r="Q80" i="8"/>
  <c r="Q81" i="8"/>
  <c r="Q83" i="8"/>
  <c r="Q84" i="8"/>
  <c r="Q85" i="8"/>
  <c r="Q86" i="8"/>
  <c r="Q87" i="8"/>
  <c r="Q88" i="8"/>
  <c r="Q89" i="8"/>
  <c r="Q91" i="8"/>
  <c r="Q92" i="8"/>
  <c r="Q93" i="8"/>
  <c r="Q94" i="8"/>
  <c r="Q95" i="8"/>
  <c r="Q96" i="8"/>
  <c r="Q97" i="8"/>
  <c r="Q99" i="8"/>
  <c r="Q100" i="8"/>
  <c r="Q101" i="8"/>
  <c r="Q102" i="8"/>
  <c r="Q103" i="8"/>
  <c r="Q104" i="8"/>
  <c r="Q105" i="8"/>
  <c r="Q107" i="8"/>
  <c r="Q108" i="8"/>
  <c r="Q109" i="8"/>
  <c r="Q110" i="8"/>
  <c r="Q111" i="8"/>
  <c r="Q112" i="8"/>
  <c r="Q113" i="8"/>
  <c r="Q115" i="8"/>
  <c r="Q116" i="8"/>
  <c r="Q117" i="8"/>
  <c r="Q118" i="8"/>
  <c r="Q119" i="8"/>
  <c r="Q120" i="8"/>
  <c r="Q121" i="8"/>
  <c r="Q123" i="8"/>
  <c r="Q124" i="8"/>
  <c r="Q125" i="8"/>
  <c r="Q126" i="8"/>
  <c r="Q127" i="8"/>
  <c r="Q128" i="8"/>
  <c r="Q129" i="8"/>
  <c r="Q131" i="8"/>
  <c r="Q132" i="8"/>
  <c r="Q133" i="8"/>
  <c r="Q134" i="8"/>
  <c r="Q135" i="8"/>
  <c r="Q136" i="8"/>
  <c r="Q137" i="8"/>
  <c r="Q139" i="8"/>
  <c r="Q140" i="8"/>
  <c r="Q141" i="8"/>
  <c r="Q142" i="8"/>
  <c r="Q143" i="8"/>
  <c r="Q144" i="8"/>
  <c r="Q145" i="8"/>
  <c r="Q147" i="8"/>
  <c r="Q148" i="8"/>
  <c r="Q149" i="8"/>
  <c r="Q150" i="8"/>
  <c r="Q151" i="8"/>
  <c r="Q152" i="8"/>
  <c r="Q153" i="8"/>
  <c r="Q155" i="8"/>
  <c r="Q156" i="8"/>
  <c r="Q157" i="8"/>
  <c r="Q158" i="8"/>
  <c r="Q159" i="8"/>
  <c r="Q160" i="8"/>
  <c r="Q161" i="8"/>
  <c r="Q163" i="8"/>
  <c r="Q164" i="8"/>
  <c r="Q165" i="8"/>
  <c r="Q166" i="8"/>
  <c r="Q167" i="8"/>
  <c r="Q168" i="8"/>
  <c r="Q169" i="8"/>
  <c r="Q171" i="8"/>
  <c r="Q172" i="8"/>
  <c r="Q173" i="8"/>
  <c r="Q174" i="8"/>
  <c r="Q175" i="8"/>
  <c r="Q176" i="8"/>
  <c r="Q177" i="8"/>
  <c r="Q179" i="8"/>
  <c r="Q180" i="8"/>
  <c r="Q181" i="8"/>
  <c r="Q182" i="8"/>
  <c r="Q183" i="8"/>
  <c r="Q184" i="8"/>
  <c r="Q185" i="8"/>
  <c r="Q187" i="8"/>
  <c r="Q188" i="8"/>
  <c r="Q189" i="8"/>
  <c r="Q190" i="8"/>
  <c r="Q191" i="8"/>
  <c r="Q192" i="8"/>
  <c r="Q193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3" i="8"/>
  <c r="Q214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0" i="8"/>
  <c r="Q241" i="8"/>
  <c r="Q242" i="8"/>
  <c r="Q243" i="8"/>
  <c r="Q244" i="8"/>
  <c r="Q245" i="8"/>
  <c r="Q246" i="8"/>
  <c r="Q247" i="8"/>
  <c r="Q248" i="8"/>
  <c r="Q249" i="8"/>
  <c r="Q250" i="8"/>
  <c r="Q251" i="8"/>
  <c r="Q252" i="8"/>
  <c r="Q253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89" i="8"/>
  <c r="Q290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1" i="8"/>
  <c r="Q322" i="8"/>
  <c r="Q323" i="8"/>
  <c r="Q324" i="8"/>
  <c r="Q325" i="8"/>
  <c r="Q326" i="8"/>
  <c r="Q327" i="8"/>
  <c r="Q328" i="8"/>
  <c r="Q329" i="8"/>
  <c r="Q330" i="8"/>
  <c r="Q331" i="8"/>
  <c r="Q332" i="8"/>
  <c r="Q333" i="8"/>
  <c r="Q334" i="8"/>
  <c r="Q335" i="8"/>
  <c r="Q336" i="8"/>
  <c r="Q337" i="8"/>
  <c r="Q338" i="8"/>
  <c r="Q339" i="8"/>
  <c r="Q340" i="8"/>
  <c r="Q341" i="8"/>
  <c r="Q342" i="8"/>
  <c r="Q343" i="8"/>
  <c r="Q344" i="8"/>
  <c r="Q345" i="8"/>
  <c r="Q346" i="8"/>
  <c r="Q347" i="8"/>
  <c r="Q348" i="8"/>
  <c r="Q349" i="8"/>
  <c r="Q350" i="8"/>
  <c r="Q351" i="8"/>
  <c r="Q352" i="8"/>
  <c r="Q353" i="8"/>
  <c r="Q354" i="8"/>
  <c r="Q355" i="8"/>
  <c r="Q356" i="8"/>
  <c r="Q357" i="8"/>
  <c r="Q358" i="8"/>
  <c r="Q359" i="8"/>
  <c r="Q360" i="8"/>
  <c r="Q361" i="8"/>
  <c r="Q362" i="8"/>
  <c r="Q363" i="8"/>
  <c r="Q364" i="8"/>
  <c r="Q365" i="8"/>
  <c r="Q366" i="8"/>
  <c r="Q367" i="8"/>
  <c r="Q368" i="8"/>
  <c r="Q369" i="8"/>
  <c r="Q370" i="8"/>
  <c r="Q371" i="8"/>
  <c r="Q372" i="8"/>
  <c r="Q373" i="8"/>
  <c r="Q374" i="8"/>
  <c r="Q375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397" i="8"/>
  <c r="Q398" i="8"/>
  <c r="Q399" i="8"/>
  <c r="Q400" i="8"/>
  <c r="Q401" i="8"/>
  <c r="Q402" i="8"/>
  <c r="Q403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18" i="8"/>
  <c r="Q419" i="8"/>
  <c r="Q420" i="8"/>
  <c r="Q421" i="8"/>
  <c r="Q422" i="8"/>
  <c r="Q423" i="8"/>
  <c r="Q424" i="8"/>
  <c r="Q425" i="8"/>
  <c r="Q426" i="8"/>
  <c r="Q427" i="8"/>
  <c r="Q428" i="8"/>
  <c r="Q429" i="8"/>
  <c r="Q430" i="8"/>
  <c r="Q431" i="8"/>
  <c r="Q432" i="8"/>
  <c r="Q433" i="8"/>
  <c r="Q434" i="8"/>
  <c r="Q435" i="8"/>
  <c r="Q436" i="8"/>
  <c r="Q437" i="8"/>
  <c r="Q438" i="8"/>
  <c r="Q439" i="8"/>
  <c r="Q440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77" i="8"/>
  <c r="Q478" i="8"/>
  <c r="Q479" i="8"/>
  <c r="Q480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AC8" i="8" a="1"/>
  <c r="AC14" i="8" s="1"/>
  <c r="AC13" i="8"/>
  <c r="AC15" i="8"/>
  <c r="AB8" i="8" a="1"/>
  <c r="AB8" i="8" s="1"/>
  <c r="AB15" i="8"/>
  <c r="AA8" i="8" a="1"/>
  <c r="AA10" i="8" s="1"/>
  <c r="AA9" i="8"/>
  <c r="AA11" i="8"/>
  <c r="AA15" i="8"/>
  <c r="AA17" i="8"/>
  <c r="AA19" i="8"/>
  <c r="Z8" i="8" a="1"/>
  <c r="Z12" i="8" s="1"/>
  <c r="Z9" i="8"/>
  <c r="Z10" i="8"/>
  <c r="Z11" i="8"/>
  <c r="Z13" i="8"/>
  <c r="Z15" i="8"/>
  <c r="Z17" i="8"/>
  <c r="Z18" i="8"/>
  <c r="Z19" i="8"/>
  <c r="Y8" i="8" a="1"/>
  <c r="Y14" i="8" s="1"/>
  <c r="Y13" i="8"/>
  <c r="Y15" i="8"/>
  <c r="X8" i="8" a="1"/>
  <c r="X8" i="8" s="1"/>
  <c r="X15" i="8"/>
  <c r="W8" i="8" a="1"/>
  <c r="W10" i="8" s="1"/>
  <c r="W9" i="8"/>
  <c r="W15" i="8"/>
  <c r="W17" i="8"/>
  <c r="V8" i="8" a="1"/>
  <c r="V12" i="8" s="1"/>
  <c r="V9" i="8"/>
  <c r="V11" i="8"/>
  <c r="V15" i="8"/>
  <c r="V17" i="8"/>
  <c r="V19" i="8"/>
  <c r="U8" i="8" a="1"/>
  <c r="U14" i="8" s="1"/>
  <c r="U13" i="8"/>
  <c r="U19" i="8"/>
  <c r="T8" i="8" a="1"/>
  <c r="T13" i="8" s="1"/>
  <c r="S8" i="8" a="1"/>
  <c r="S9" i="8" s="1"/>
  <c r="R8" i="8" a="1"/>
  <c r="R12" i="8" s="1"/>
  <c r="R9" i="8"/>
  <c r="R11" i="8"/>
  <c r="R15" i="8"/>
  <c r="R17" i="8"/>
  <c r="R19" i="8"/>
  <c r="Q8" i="8" a="1"/>
  <c r="Q14" i="8" s="1"/>
  <c r="Q9" i="8"/>
  <c r="Q11" i="8"/>
  <c r="Q13" i="8"/>
  <c r="Q15" i="8"/>
  <c r="Q17" i="8"/>
  <c r="Q19" i="8"/>
  <c r="Q5" i="8"/>
  <c r="Q4" i="8"/>
  <c r="R4" i="8"/>
  <c r="R5" i="8" s="1"/>
  <c r="S5" i="8" s="1"/>
  <c r="S4" i="8"/>
  <c r="T4" i="8"/>
  <c r="U4" i="8"/>
  <c r="V4" i="8"/>
  <c r="W4" i="8"/>
  <c r="X4" i="8"/>
  <c r="Y4" i="8"/>
  <c r="Z4" i="8"/>
  <c r="AA4" i="8"/>
  <c r="AB4" i="8"/>
  <c r="AC4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C476" i="13"/>
  <c r="D476" i="13"/>
  <c r="E476" i="13"/>
  <c r="F476" i="13"/>
  <c r="G476" i="13"/>
  <c r="H476" i="13"/>
  <c r="I476" i="13"/>
  <c r="W440" i="13" s="1"/>
  <c r="J476" i="13"/>
  <c r="K476" i="13"/>
  <c r="L476" i="13"/>
  <c r="M476" i="13"/>
  <c r="N476" i="13"/>
  <c r="C477" i="13"/>
  <c r="Q461" i="13" s="1"/>
  <c r="D477" i="13"/>
  <c r="E477" i="13"/>
  <c r="F477" i="13"/>
  <c r="T446" i="13" s="1"/>
  <c r="G477" i="13"/>
  <c r="U416" i="13" s="1"/>
  <c r="H477" i="13"/>
  <c r="V454" i="13" s="1"/>
  <c r="I477" i="13"/>
  <c r="W449" i="13" s="1"/>
  <c r="J477" i="13"/>
  <c r="K477" i="13"/>
  <c r="L477" i="13"/>
  <c r="M477" i="13"/>
  <c r="N477" i="13"/>
  <c r="B477" i="13"/>
  <c r="B476" i="13"/>
  <c r="L2" i="1"/>
  <c r="M2" i="1"/>
  <c r="N2" i="1"/>
  <c r="O2" i="1"/>
  <c r="P2" i="1"/>
  <c r="Q2" i="1"/>
  <c r="R2" i="1"/>
  <c r="S2" i="1"/>
  <c r="T2" i="1"/>
  <c r="U2" i="1"/>
  <c r="L3" i="1"/>
  <c r="M3" i="1"/>
  <c r="N3" i="1"/>
  <c r="O3" i="1"/>
  <c r="P3" i="1"/>
  <c r="Q3" i="1"/>
  <c r="R3" i="1"/>
  <c r="S3" i="1"/>
  <c r="T3" i="1"/>
  <c r="U3" i="1"/>
  <c r="L4" i="1"/>
  <c r="M4" i="1"/>
  <c r="N4" i="1"/>
  <c r="O4" i="1"/>
  <c r="P4" i="1"/>
  <c r="Q4" i="1"/>
  <c r="R4" i="1"/>
  <c r="S4" i="1"/>
  <c r="T4" i="1"/>
  <c r="U4" i="1"/>
  <c r="L5" i="1"/>
  <c r="M5" i="1"/>
  <c r="N5" i="1"/>
  <c r="O5" i="1"/>
  <c r="P5" i="1"/>
  <c r="Q5" i="1"/>
  <c r="R5" i="1"/>
  <c r="S5" i="1"/>
  <c r="T5" i="1"/>
  <c r="U5" i="1"/>
  <c r="L6" i="1"/>
  <c r="M6" i="1"/>
  <c r="N6" i="1"/>
  <c r="O6" i="1"/>
  <c r="P6" i="1"/>
  <c r="Q6" i="1"/>
  <c r="R6" i="1"/>
  <c r="S6" i="1"/>
  <c r="T6" i="1"/>
  <c r="U6" i="1"/>
  <c r="L7" i="1"/>
  <c r="M7" i="1"/>
  <c r="N7" i="1"/>
  <c r="O7" i="1"/>
  <c r="P7" i="1"/>
  <c r="Q7" i="1"/>
  <c r="R7" i="1"/>
  <c r="S7" i="1"/>
  <c r="T7" i="1"/>
  <c r="U7" i="1"/>
  <c r="L8" i="1"/>
  <c r="M8" i="1"/>
  <c r="N8" i="1"/>
  <c r="O8" i="1"/>
  <c r="P8" i="1"/>
  <c r="Q8" i="1"/>
  <c r="R8" i="1"/>
  <c r="S8" i="1"/>
  <c r="T8" i="1"/>
  <c r="U8" i="1"/>
  <c r="L9" i="1"/>
  <c r="M9" i="1"/>
  <c r="N9" i="1"/>
  <c r="O9" i="1"/>
  <c r="P9" i="1"/>
  <c r="Q9" i="1"/>
  <c r="R9" i="1"/>
  <c r="S9" i="1"/>
  <c r="T9" i="1"/>
  <c r="U9" i="1"/>
  <c r="L10" i="1"/>
  <c r="M10" i="1"/>
  <c r="N10" i="1"/>
  <c r="O10" i="1"/>
  <c r="P10" i="1"/>
  <c r="Q10" i="1"/>
  <c r="R10" i="1"/>
  <c r="S10" i="1"/>
  <c r="T10" i="1"/>
  <c r="U10" i="1"/>
  <c r="L11" i="1"/>
  <c r="M11" i="1"/>
  <c r="N11" i="1"/>
  <c r="O11" i="1"/>
  <c r="P11" i="1"/>
  <c r="Q11" i="1"/>
  <c r="R11" i="1"/>
  <c r="S11" i="1"/>
  <c r="T11" i="1"/>
  <c r="U11" i="1"/>
  <c r="L12" i="1"/>
  <c r="M12" i="1"/>
  <c r="N12" i="1"/>
  <c r="O12" i="1"/>
  <c r="P12" i="1"/>
  <c r="Q12" i="1"/>
  <c r="R12" i="1"/>
  <c r="S12" i="1"/>
  <c r="T12" i="1"/>
  <c r="U12" i="1"/>
  <c r="L13" i="1"/>
  <c r="M13" i="1"/>
  <c r="N13" i="1"/>
  <c r="O13" i="1"/>
  <c r="P13" i="1"/>
  <c r="Q13" i="1"/>
  <c r="R13" i="1"/>
  <c r="S13" i="1"/>
  <c r="T13" i="1"/>
  <c r="U13" i="1"/>
  <c r="L14" i="1"/>
  <c r="M14" i="1"/>
  <c r="N14" i="1"/>
  <c r="O14" i="1"/>
  <c r="P14" i="1"/>
  <c r="Q14" i="1"/>
  <c r="R14" i="1"/>
  <c r="S14" i="1"/>
  <c r="T14" i="1"/>
  <c r="U14" i="1"/>
  <c r="L15" i="1"/>
  <c r="M15" i="1"/>
  <c r="N15" i="1"/>
  <c r="O15" i="1"/>
  <c r="P15" i="1"/>
  <c r="Q15" i="1"/>
  <c r="R15" i="1"/>
  <c r="S15" i="1"/>
  <c r="T15" i="1"/>
  <c r="U15" i="1"/>
  <c r="L16" i="1"/>
  <c r="M16" i="1"/>
  <c r="N16" i="1"/>
  <c r="O16" i="1"/>
  <c r="P16" i="1"/>
  <c r="Q16" i="1"/>
  <c r="R16" i="1"/>
  <c r="S16" i="1"/>
  <c r="T16" i="1"/>
  <c r="U16" i="1"/>
  <c r="L17" i="1"/>
  <c r="M17" i="1"/>
  <c r="N17" i="1"/>
  <c r="O17" i="1"/>
  <c r="P17" i="1"/>
  <c r="Q17" i="1"/>
  <c r="R17" i="1"/>
  <c r="S17" i="1"/>
  <c r="T17" i="1"/>
  <c r="U17" i="1"/>
  <c r="L18" i="1"/>
  <c r="M18" i="1"/>
  <c r="N18" i="1"/>
  <c r="O18" i="1"/>
  <c r="P18" i="1"/>
  <c r="Q18" i="1"/>
  <c r="R18" i="1"/>
  <c r="S18" i="1"/>
  <c r="T18" i="1"/>
  <c r="U18" i="1"/>
  <c r="L19" i="1"/>
  <c r="M19" i="1"/>
  <c r="N19" i="1"/>
  <c r="O19" i="1"/>
  <c r="P19" i="1"/>
  <c r="Q19" i="1"/>
  <c r="R19" i="1"/>
  <c r="S19" i="1"/>
  <c r="T19" i="1"/>
  <c r="U19" i="1"/>
  <c r="L20" i="1"/>
  <c r="M20" i="1"/>
  <c r="N20" i="1"/>
  <c r="O20" i="1"/>
  <c r="P20" i="1"/>
  <c r="Q20" i="1"/>
  <c r="R20" i="1"/>
  <c r="S20" i="1"/>
  <c r="T20" i="1"/>
  <c r="U20" i="1"/>
  <c r="L21" i="1"/>
  <c r="M21" i="1"/>
  <c r="N21" i="1"/>
  <c r="O21" i="1"/>
  <c r="P21" i="1"/>
  <c r="Q21" i="1"/>
  <c r="R21" i="1"/>
  <c r="S21" i="1"/>
  <c r="T21" i="1"/>
  <c r="U21" i="1"/>
  <c r="L22" i="1"/>
  <c r="M22" i="1"/>
  <c r="N22" i="1"/>
  <c r="O22" i="1"/>
  <c r="P22" i="1"/>
  <c r="Q22" i="1"/>
  <c r="R22" i="1"/>
  <c r="S22" i="1"/>
  <c r="T22" i="1"/>
  <c r="U22" i="1"/>
  <c r="L23" i="1"/>
  <c r="M23" i="1"/>
  <c r="N23" i="1"/>
  <c r="O23" i="1"/>
  <c r="P23" i="1"/>
  <c r="Q23" i="1"/>
  <c r="R23" i="1"/>
  <c r="S23" i="1"/>
  <c r="T23" i="1"/>
  <c r="U23" i="1"/>
  <c r="L24" i="1"/>
  <c r="M24" i="1"/>
  <c r="N24" i="1"/>
  <c r="O24" i="1"/>
  <c r="P24" i="1"/>
  <c r="Q24" i="1"/>
  <c r="R24" i="1"/>
  <c r="S24" i="1"/>
  <c r="T24" i="1"/>
  <c r="U24" i="1"/>
  <c r="L25" i="1"/>
  <c r="M25" i="1"/>
  <c r="N25" i="1"/>
  <c r="O25" i="1"/>
  <c r="P25" i="1"/>
  <c r="Q25" i="1"/>
  <c r="R25" i="1"/>
  <c r="S25" i="1"/>
  <c r="T25" i="1"/>
  <c r="U25" i="1"/>
  <c r="L26" i="1"/>
  <c r="M26" i="1"/>
  <c r="N26" i="1"/>
  <c r="O26" i="1"/>
  <c r="P26" i="1"/>
  <c r="Q26" i="1"/>
  <c r="R26" i="1"/>
  <c r="S26" i="1"/>
  <c r="T26" i="1"/>
  <c r="U26" i="1"/>
  <c r="L27" i="1"/>
  <c r="M27" i="1"/>
  <c r="N27" i="1"/>
  <c r="O27" i="1"/>
  <c r="P27" i="1"/>
  <c r="Q27" i="1"/>
  <c r="R27" i="1"/>
  <c r="S27" i="1"/>
  <c r="T27" i="1"/>
  <c r="U27" i="1"/>
  <c r="L28" i="1"/>
  <c r="M28" i="1"/>
  <c r="N28" i="1"/>
  <c r="O28" i="1"/>
  <c r="P28" i="1"/>
  <c r="Q28" i="1"/>
  <c r="R28" i="1"/>
  <c r="S28" i="1"/>
  <c r="T28" i="1"/>
  <c r="U28" i="1"/>
  <c r="L29" i="1"/>
  <c r="M29" i="1"/>
  <c r="N29" i="1"/>
  <c r="O29" i="1"/>
  <c r="P29" i="1"/>
  <c r="Q29" i="1"/>
  <c r="R29" i="1"/>
  <c r="S29" i="1"/>
  <c r="T29" i="1"/>
  <c r="U29" i="1"/>
  <c r="L30" i="1"/>
  <c r="M30" i="1"/>
  <c r="N30" i="1"/>
  <c r="O30" i="1"/>
  <c r="P30" i="1"/>
  <c r="Q30" i="1"/>
  <c r="R30" i="1"/>
  <c r="S30" i="1"/>
  <c r="T30" i="1"/>
  <c r="U30" i="1"/>
  <c r="L31" i="1"/>
  <c r="M31" i="1"/>
  <c r="N31" i="1"/>
  <c r="O31" i="1"/>
  <c r="P31" i="1"/>
  <c r="Q31" i="1"/>
  <c r="R31" i="1"/>
  <c r="S31" i="1"/>
  <c r="T31" i="1"/>
  <c r="U31" i="1"/>
  <c r="L32" i="1"/>
  <c r="M32" i="1"/>
  <c r="N32" i="1"/>
  <c r="O32" i="1"/>
  <c r="P32" i="1"/>
  <c r="Q32" i="1"/>
  <c r="R32" i="1"/>
  <c r="S32" i="1"/>
  <c r="T32" i="1"/>
  <c r="U32" i="1"/>
  <c r="L33" i="1"/>
  <c r="M33" i="1"/>
  <c r="N33" i="1"/>
  <c r="O33" i="1"/>
  <c r="P33" i="1"/>
  <c r="Q33" i="1"/>
  <c r="R33" i="1"/>
  <c r="S33" i="1"/>
  <c r="T33" i="1"/>
  <c r="U33" i="1"/>
  <c r="L34" i="1"/>
  <c r="M34" i="1"/>
  <c r="N34" i="1"/>
  <c r="O34" i="1"/>
  <c r="P34" i="1"/>
  <c r="Q34" i="1"/>
  <c r="R34" i="1"/>
  <c r="S34" i="1"/>
  <c r="T34" i="1"/>
  <c r="U34" i="1"/>
  <c r="L35" i="1"/>
  <c r="M35" i="1"/>
  <c r="N35" i="1"/>
  <c r="O35" i="1"/>
  <c r="P35" i="1"/>
  <c r="Q35" i="1"/>
  <c r="R35" i="1"/>
  <c r="S35" i="1"/>
  <c r="T35" i="1"/>
  <c r="U35" i="1"/>
  <c r="L36" i="1"/>
  <c r="M36" i="1"/>
  <c r="N36" i="1"/>
  <c r="O36" i="1"/>
  <c r="P36" i="1"/>
  <c r="Q36" i="1"/>
  <c r="R36" i="1"/>
  <c r="S36" i="1"/>
  <c r="T36" i="1"/>
  <c r="U36" i="1"/>
  <c r="L37" i="1"/>
  <c r="M37" i="1"/>
  <c r="N37" i="1"/>
  <c r="O37" i="1"/>
  <c r="P37" i="1"/>
  <c r="Q37" i="1"/>
  <c r="R37" i="1"/>
  <c r="S37" i="1"/>
  <c r="T37" i="1"/>
  <c r="U37" i="1"/>
  <c r="L38" i="1"/>
  <c r="M38" i="1"/>
  <c r="N38" i="1"/>
  <c r="O38" i="1"/>
  <c r="P38" i="1"/>
  <c r="Q38" i="1"/>
  <c r="R38" i="1"/>
  <c r="S38" i="1"/>
  <c r="T38" i="1"/>
  <c r="U38" i="1"/>
  <c r="L39" i="1"/>
  <c r="M39" i="1"/>
  <c r="N39" i="1"/>
  <c r="O39" i="1"/>
  <c r="P39" i="1"/>
  <c r="Q39" i="1"/>
  <c r="R39" i="1"/>
  <c r="S39" i="1"/>
  <c r="T39" i="1"/>
  <c r="U39" i="1"/>
  <c r="L40" i="1"/>
  <c r="M40" i="1"/>
  <c r="N40" i="1"/>
  <c r="O40" i="1"/>
  <c r="P40" i="1"/>
  <c r="Q40" i="1"/>
  <c r="R40" i="1"/>
  <c r="S40" i="1"/>
  <c r="T40" i="1"/>
  <c r="U40" i="1"/>
  <c r="L41" i="1"/>
  <c r="M41" i="1"/>
  <c r="N41" i="1"/>
  <c r="O41" i="1"/>
  <c r="P41" i="1"/>
  <c r="Q41" i="1"/>
  <c r="R41" i="1"/>
  <c r="S41" i="1"/>
  <c r="T41" i="1"/>
  <c r="U41" i="1"/>
  <c r="L42" i="1"/>
  <c r="M42" i="1"/>
  <c r="N42" i="1"/>
  <c r="O42" i="1"/>
  <c r="P42" i="1"/>
  <c r="Q42" i="1"/>
  <c r="R42" i="1"/>
  <c r="S42" i="1"/>
  <c r="T42" i="1"/>
  <c r="U42" i="1"/>
  <c r="L43" i="1"/>
  <c r="M43" i="1"/>
  <c r="N43" i="1"/>
  <c r="O43" i="1"/>
  <c r="P43" i="1"/>
  <c r="Q43" i="1"/>
  <c r="R43" i="1"/>
  <c r="S43" i="1"/>
  <c r="T43" i="1"/>
  <c r="U43" i="1"/>
  <c r="L44" i="1"/>
  <c r="M44" i="1"/>
  <c r="N44" i="1"/>
  <c r="O44" i="1"/>
  <c r="P44" i="1"/>
  <c r="Q44" i="1"/>
  <c r="R44" i="1"/>
  <c r="S44" i="1"/>
  <c r="T44" i="1"/>
  <c r="U44" i="1"/>
  <c r="L45" i="1"/>
  <c r="M45" i="1"/>
  <c r="N45" i="1"/>
  <c r="O45" i="1"/>
  <c r="P45" i="1"/>
  <c r="Q45" i="1"/>
  <c r="R45" i="1"/>
  <c r="S45" i="1"/>
  <c r="T45" i="1"/>
  <c r="U45" i="1"/>
  <c r="L46" i="1"/>
  <c r="M46" i="1"/>
  <c r="N46" i="1"/>
  <c r="O46" i="1"/>
  <c r="P46" i="1"/>
  <c r="Q46" i="1"/>
  <c r="R46" i="1"/>
  <c r="S46" i="1"/>
  <c r="T46" i="1"/>
  <c r="U46" i="1"/>
  <c r="L47" i="1"/>
  <c r="M47" i="1"/>
  <c r="N47" i="1"/>
  <c r="O47" i="1"/>
  <c r="P47" i="1"/>
  <c r="Q47" i="1"/>
  <c r="R47" i="1"/>
  <c r="S47" i="1"/>
  <c r="T47" i="1"/>
  <c r="U47" i="1"/>
  <c r="L48" i="1"/>
  <c r="M48" i="1"/>
  <c r="N48" i="1"/>
  <c r="O48" i="1"/>
  <c r="P48" i="1"/>
  <c r="Q48" i="1"/>
  <c r="R48" i="1"/>
  <c r="S48" i="1"/>
  <c r="T48" i="1"/>
  <c r="U48" i="1"/>
  <c r="L49" i="1"/>
  <c r="M49" i="1"/>
  <c r="N49" i="1"/>
  <c r="O49" i="1"/>
  <c r="P49" i="1"/>
  <c r="Q49" i="1"/>
  <c r="R49" i="1"/>
  <c r="S49" i="1"/>
  <c r="T49" i="1"/>
  <c r="U49" i="1"/>
  <c r="L50" i="1"/>
  <c r="M50" i="1"/>
  <c r="N50" i="1"/>
  <c r="O50" i="1"/>
  <c r="P50" i="1"/>
  <c r="Q50" i="1"/>
  <c r="R50" i="1"/>
  <c r="S50" i="1"/>
  <c r="T50" i="1"/>
  <c r="U50" i="1"/>
  <c r="L51" i="1"/>
  <c r="M51" i="1"/>
  <c r="N51" i="1"/>
  <c r="O51" i="1"/>
  <c r="P51" i="1"/>
  <c r="Q51" i="1"/>
  <c r="R51" i="1"/>
  <c r="S51" i="1"/>
  <c r="T51" i="1"/>
  <c r="U51" i="1"/>
  <c r="L52" i="1"/>
  <c r="M52" i="1"/>
  <c r="N52" i="1"/>
  <c r="O52" i="1"/>
  <c r="P52" i="1"/>
  <c r="Q52" i="1"/>
  <c r="R52" i="1"/>
  <c r="S52" i="1"/>
  <c r="T52" i="1"/>
  <c r="U52" i="1"/>
  <c r="L53" i="1"/>
  <c r="M53" i="1"/>
  <c r="N53" i="1"/>
  <c r="O53" i="1"/>
  <c r="P53" i="1"/>
  <c r="Q53" i="1"/>
  <c r="R53" i="1"/>
  <c r="S53" i="1"/>
  <c r="T53" i="1"/>
  <c r="U53" i="1"/>
  <c r="L54" i="1"/>
  <c r="M54" i="1"/>
  <c r="N54" i="1"/>
  <c r="O54" i="1"/>
  <c r="P54" i="1"/>
  <c r="Q54" i="1"/>
  <c r="R54" i="1"/>
  <c r="S54" i="1"/>
  <c r="T54" i="1"/>
  <c r="U54" i="1"/>
  <c r="L55" i="1"/>
  <c r="M55" i="1"/>
  <c r="N55" i="1"/>
  <c r="O55" i="1"/>
  <c r="P55" i="1"/>
  <c r="Q55" i="1"/>
  <c r="R55" i="1"/>
  <c r="S55" i="1"/>
  <c r="T55" i="1"/>
  <c r="U55" i="1"/>
  <c r="L56" i="1"/>
  <c r="M56" i="1"/>
  <c r="N56" i="1"/>
  <c r="O56" i="1"/>
  <c r="P56" i="1"/>
  <c r="Q56" i="1"/>
  <c r="R56" i="1"/>
  <c r="S56" i="1"/>
  <c r="T56" i="1"/>
  <c r="U56" i="1"/>
  <c r="L57" i="1"/>
  <c r="M57" i="1"/>
  <c r="N57" i="1"/>
  <c r="O57" i="1"/>
  <c r="P57" i="1"/>
  <c r="Q57" i="1"/>
  <c r="R57" i="1"/>
  <c r="S57" i="1"/>
  <c r="T57" i="1"/>
  <c r="U57" i="1"/>
  <c r="L58" i="1"/>
  <c r="M58" i="1"/>
  <c r="N58" i="1"/>
  <c r="O58" i="1"/>
  <c r="P58" i="1"/>
  <c r="Q58" i="1"/>
  <c r="R58" i="1"/>
  <c r="S58" i="1"/>
  <c r="T58" i="1"/>
  <c r="U58" i="1"/>
  <c r="L59" i="1"/>
  <c r="M59" i="1"/>
  <c r="N59" i="1"/>
  <c r="O59" i="1"/>
  <c r="P59" i="1"/>
  <c r="Q59" i="1"/>
  <c r="R59" i="1"/>
  <c r="S59" i="1"/>
  <c r="T59" i="1"/>
  <c r="U59" i="1"/>
  <c r="L60" i="1"/>
  <c r="M60" i="1"/>
  <c r="N60" i="1"/>
  <c r="O60" i="1"/>
  <c r="P60" i="1"/>
  <c r="Q60" i="1"/>
  <c r="R60" i="1"/>
  <c r="S60" i="1"/>
  <c r="T60" i="1"/>
  <c r="U60" i="1"/>
  <c r="L61" i="1"/>
  <c r="M61" i="1"/>
  <c r="N61" i="1"/>
  <c r="O61" i="1"/>
  <c r="P61" i="1"/>
  <c r="Q61" i="1"/>
  <c r="R61" i="1"/>
  <c r="S61" i="1"/>
  <c r="T61" i="1"/>
  <c r="U61" i="1"/>
  <c r="L62" i="1"/>
  <c r="M62" i="1"/>
  <c r="N62" i="1"/>
  <c r="O62" i="1"/>
  <c r="P62" i="1"/>
  <c r="Q62" i="1"/>
  <c r="R62" i="1"/>
  <c r="S62" i="1"/>
  <c r="T62" i="1"/>
  <c r="U62" i="1"/>
  <c r="L63" i="1"/>
  <c r="M63" i="1"/>
  <c r="N63" i="1"/>
  <c r="O63" i="1"/>
  <c r="P63" i="1"/>
  <c r="Q63" i="1"/>
  <c r="R63" i="1"/>
  <c r="S63" i="1"/>
  <c r="T63" i="1"/>
  <c r="U63" i="1"/>
  <c r="L64" i="1"/>
  <c r="M64" i="1"/>
  <c r="N64" i="1"/>
  <c r="O64" i="1"/>
  <c r="P64" i="1"/>
  <c r="Q64" i="1"/>
  <c r="R64" i="1"/>
  <c r="S64" i="1"/>
  <c r="T64" i="1"/>
  <c r="U64" i="1"/>
  <c r="L65" i="1"/>
  <c r="M65" i="1"/>
  <c r="N65" i="1"/>
  <c r="O65" i="1"/>
  <c r="P65" i="1"/>
  <c r="Q65" i="1"/>
  <c r="R65" i="1"/>
  <c r="S65" i="1"/>
  <c r="T65" i="1"/>
  <c r="U65" i="1"/>
  <c r="L66" i="1"/>
  <c r="M66" i="1"/>
  <c r="N66" i="1"/>
  <c r="O66" i="1"/>
  <c r="P66" i="1"/>
  <c r="Q66" i="1"/>
  <c r="R66" i="1"/>
  <c r="S66" i="1"/>
  <c r="T66" i="1"/>
  <c r="U66" i="1"/>
  <c r="L67" i="1"/>
  <c r="M67" i="1"/>
  <c r="N67" i="1"/>
  <c r="O67" i="1"/>
  <c r="P67" i="1"/>
  <c r="Q67" i="1"/>
  <c r="R67" i="1"/>
  <c r="S67" i="1"/>
  <c r="T67" i="1"/>
  <c r="U67" i="1"/>
  <c r="L68" i="1"/>
  <c r="M68" i="1"/>
  <c r="N68" i="1"/>
  <c r="O68" i="1"/>
  <c r="P68" i="1"/>
  <c r="Q68" i="1"/>
  <c r="R68" i="1"/>
  <c r="S68" i="1"/>
  <c r="T68" i="1"/>
  <c r="U68" i="1"/>
  <c r="L69" i="1"/>
  <c r="M69" i="1"/>
  <c r="N69" i="1"/>
  <c r="O69" i="1"/>
  <c r="P69" i="1"/>
  <c r="Q69" i="1"/>
  <c r="R69" i="1"/>
  <c r="S69" i="1"/>
  <c r="T69" i="1"/>
  <c r="U69" i="1"/>
  <c r="L70" i="1"/>
  <c r="M70" i="1"/>
  <c r="N70" i="1"/>
  <c r="O70" i="1"/>
  <c r="P70" i="1"/>
  <c r="Q70" i="1"/>
  <c r="R70" i="1"/>
  <c r="S70" i="1"/>
  <c r="T70" i="1"/>
  <c r="U70" i="1"/>
  <c r="L71" i="1"/>
  <c r="M71" i="1"/>
  <c r="N71" i="1"/>
  <c r="O71" i="1"/>
  <c r="P71" i="1"/>
  <c r="Q71" i="1"/>
  <c r="R71" i="1"/>
  <c r="S71" i="1"/>
  <c r="T71" i="1"/>
  <c r="U71" i="1"/>
  <c r="L72" i="1"/>
  <c r="M72" i="1"/>
  <c r="N72" i="1"/>
  <c r="O72" i="1"/>
  <c r="P72" i="1"/>
  <c r="Q72" i="1"/>
  <c r="R72" i="1"/>
  <c r="S72" i="1"/>
  <c r="T72" i="1"/>
  <c r="U72" i="1"/>
  <c r="L73" i="1"/>
  <c r="M73" i="1"/>
  <c r="N73" i="1"/>
  <c r="O73" i="1"/>
  <c r="P73" i="1"/>
  <c r="Q73" i="1"/>
  <c r="R73" i="1"/>
  <c r="S73" i="1"/>
  <c r="T73" i="1"/>
  <c r="U73" i="1"/>
  <c r="L74" i="1"/>
  <c r="M74" i="1"/>
  <c r="N74" i="1"/>
  <c r="O74" i="1"/>
  <c r="P74" i="1"/>
  <c r="Q74" i="1"/>
  <c r="R74" i="1"/>
  <c r="S74" i="1"/>
  <c r="T74" i="1"/>
  <c r="U74" i="1"/>
  <c r="L75" i="1"/>
  <c r="M75" i="1"/>
  <c r="N75" i="1"/>
  <c r="O75" i="1"/>
  <c r="P75" i="1"/>
  <c r="Q75" i="1"/>
  <c r="R75" i="1"/>
  <c r="S75" i="1"/>
  <c r="T75" i="1"/>
  <c r="U75" i="1"/>
  <c r="L76" i="1"/>
  <c r="M76" i="1"/>
  <c r="N76" i="1"/>
  <c r="O76" i="1"/>
  <c r="P76" i="1"/>
  <c r="Q76" i="1"/>
  <c r="R76" i="1"/>
  <c r="S76" i="1"/>
  <c r="T76" i="1"/>
  <c r="U76" i="1"/>
  <c r="L77" i="1"/>
  <c r="M77" i="1"/>
  <c r="N77" i="1"/>
  <c r="O77" i="1"/>
  <c r="P77" i="1"/>
  <c r="Q77" i="1"/>
  <c r="R77" i="1"/>
  <c r="S77" i="1"/>
  <c r="T77" i="1"/>
  <c r="U77" i="1"/>
  <c r="L78" i="1"/>
  <c r="M78" i="1"/>
  <c r="N78" i="1"/>
  <c r="O78" i="1"/>
  <c r="P78" i="1"/>
  <c r="Q78" i="1"/>
  <c r="R78" i="1"/>
  <c r="S78" i="1"/>
  <c r="T78" i="1"/>
  <c r="U78" i="1"/>
  <c r="L79" i="1"/>
  <c r="M79" i="1"/>
  <c r="N79" i="1"/>
  <c r="O79" i="1"/>
  <c r="P79" i="1"/>
  <c r="Q79" i="1"/>
  <c r="R79" i="1"/>
  <c r="S79" i="1"/>
  <c r="T79" i="1"/>
  <c r="U79" i="1"/>
  <c r="L80" i="1"/>
  <c r="M80" i="1"/>
  <c r="N80" i="1"/>
  <c r="O80" i="1"/>
  <c r="P80" i="1"/>
  <c r="Q80" i="1"/>
  <c r="R80" i="1"/>
  <c r="S80" i="1"/>
  <c r="T80" i="1"/>
  <c r="U80" i="1"/>
  <c r="L81" i="1"/>
  <c r="M81" i="1"/>
  <c r="N81" i="1"/>
  <c r="O81" i="1"/>
  <c r="P81" i="1"/>
  <c r="Q81" i="1"/>
  <c r="R81" i="1"/>
  <c r="S81" i="1"/>
  <c r="T81" i="1"/>
  <c r="U81" i="1"/>
  <c r="L82" i="1"/>
  <c r="M82" i="1"/>
  <c r="N82" i="1"/>
  <c r="O82" i="1"/>
  <c r="P82" i="1"/>
  <c r="Q82" i="1"/>
  <c r="R82" i="1"/>
  <c r="S82" i="1"/>
  <c r="T82" i="1"/>
  <c r="U82" i="1"/>
  <c r="L83" i="1"/>
  <c r="M83" i="1"/>
  <c r="N83" i="1"/>
  <c r="O83" i="1"/>
  <c r="P83" i="1"/>
  <c r="Q83" i="1"/>
  <c r="R83" i="1"/>
  <c r="S83" i="1"/>
  <c r="T83" i="1"/>
  <c r="U83" i="1"/>
  <c r="L84" i="1"/>
  <c r="M84" i="1"/>
  <c r="N84" i="1"/>
  <c r="O84" i="1"/>
  <c r="P84" i="1"/>
  <c r="Q84" i="1"/>
  <c r="R84" i="1"/>
  <c r="S84" i="1"/>
  <c r="T84" i="1"/>
  <c r="U84" i="1"/>
  <c r="L85" i="1"/>
  <c r="M85" i="1"/>
  <c r="N85" i="1"/>
  <c r="O85" i="1"/>
  <c r="P85" i="1"/>
  <c r="Q85" i="1"/>
  <c r="R85" i="1"/>
  <c r="S85" i="1"/>
  <c r="T85" i="1"/>
  <c r="U85" i="1"/>
  <c r="L86" i="1"/>
  <c r="M86" i="1"/>
  <c r="N86" i="1"/>
  <c r="O86" i="1"/>
  <c r="P86" i="1"/>
  <c r="Q86" i="1"/>
  <c r="R86" i="1"/>
  <c r="S86" i="1"/>
  <c r="T86" i="1"/>
  <c r="U86" i="1"/>
  <c r="L87" i="1"/>
  <c r="M87" i="1"/>
  <c r="N87" i="1"/>
  <c r="O87" i="1"/>
  <c r="P87" i="1"/>
  <c r="Q87" i="1"/>
  <c r="R87" i="1"/>
  <c r="S87" i="1"/>
  <c r="T87" i="1"/>
  <c r="U87" i="1"/>
  <c r="L88" i="1"/>
  <c r="M88" i="1"/>
  <c r="N88" i="1"/>
  <c r="O88" i="1"/>
  <c r="P88" i="1"/>
  <c r="Q88" i="1"/>
  <c r="R88" i="1"/>
  <c r="S88" i="1"/>
  <c r="T88" i="1"/>
  <c r="U88" i="1"/>
  <c r="L89" i="1"/>
  <c r="M89" i="1"/>
  <c r="N89" i="1"/>
  <c r="O89" i="1"/>
  <c r="P89" i="1"/>
  <c r="Q89" i="1"/>
  <c r="R89" i="1"/>
  <c r="S89" i="1"/>
  <c r="T89" i="1"/>
  <c r="U89" i="1"/>
  <c r="L90" i="1"/>
  <c r="M90" i="1"/>
  <c r="N90" i="1"/>
  <c r="O90" i="1"/>
  <c r="P90" i="1"/>
  <c r="Q90" i="1"/>
  <c r="R90" i="1"/>
  <c r="S90" i="1"/>
  <c r="T90" i="1"/>
  <c r="U90" i="1"/>
  <c r="L91" i="1"/>
  <c r="M91" i="1"/>
  <c r="N91" i="1"/>
  <c r="O91" i="1"/>
  <c r="P91" i="1"/>
  <c r="Q91" i="1"/>
  <c r="R91" i="1"/>
  <c r="S91" i="1"/>
  <c r="T91" i="1"/>
  <c r="U91" i="1"/>
  <c r="L92" i="1"/>
  <c r="M92" i="1"/>
  <c r="N92" i="1"/>
  <c r="O92" i="1"/>
  <c r="P92" i="1"/>
  <c r="Q92" i="1"/>
  <c r="R92" i="1"/>
  <c r="S92" i="1"/>
  <c r="T92" i="1"/>
  <c r="U92" i="1"/>
  <c r="L93" i="1"/>
  <c r="M93" i="1"/>
  <c r="N93" i="1"/>
  <c r="O93" i="1"/>
  <c r="P93" i="1"/>
  <c r="Q93" i="1"/>
  <c r="R93" i="1"/>
  <c r="S93" i="1"/>
  <c r="T93" i="1"/>
  <c r="U93" i="1"/>
  <c r="L94" i="1"/>
  <c r="M94" i="1"/>
  <c r="N94" i="1"/>
  <c r="O94" i="1"/>
  <c r="P94" i="1"/>
  <c r="Q94" i="1"/>
  <c r="R94" i="1"/>
  <c r="S94" i="1"/>
  <c r="T94" i="1"/>
  <c r="U94" i="1"/>
  <c r="L95" i="1"/>
  <c r="M95" i="1"/>
  <c r="N95" i="1"/>
  <c r="O95" i="1"/>
  <c r="P95" i="1"/>
  <c r="Q95" i="1"/>
  <c r="R95" i="1"/>
  <c r="S95" i="1"/>
  <c r="T95" i="1"/>
  <c r="U95" i="1"/>
  <c r="L96" i="1"/>
  <c r="M96" i="1"/>
  <c r="N96" i="1"/>
  <c r="O96" i="1"/>
  <c r="P96" i="1"/>
  <c r="Q96" i="1"/>
  <c r="R96" i="1"/>
  <c r="S96" i="1"/>
  <c r="T96" i="1"/>
  <c r="U96" i="1"/>
  <c r="L97" i="1"/>
  <c r="M97" i="1"/>
  <c r="N97" i="1"/>
  <c r="O97" i="1"/>
  <c r="P97" i="1"/>
  <c r="Q97" i="1"/>
  <c r="R97" i="1"/>
  <c r="S97" i="1"/>
  <c r="T97" i="1"/>
  <c r="U97" i="1"/>
  <c r="L98" i="1"/>
  <c r="M98" i="1"/>
  <c r="N98" i="1"/>
  <c r="O98" i="1"/>
  <c r="P98" i="1"/>
  <c r="Q98" i="1"/>
  <c r="R98" i="1"/>
  <c r="S98" i="1"/>
  <c r="T98" i="1"/>
  <c r="U98" i="1"/>
  <c r="L99" i="1"/>
  <c r="M99" i="1"/>
  <c r="N99" i="1"/>
  <c r="O99" i="1"/>
  <c r="P99" i="1"/>
  <c r="Q99" i="1"/>
  <c r="R99" i="1"/>
  <c r="S99" i="1"/>
  <c r="T99" i="1"/>
  <c r="U99" i="1"/>
  <c r="L100" i="1"/>
  <c r="M100" i="1"/>
  <c r="N100" i="1"/>
  <c r="O100" i="1"/>
  <c r="P100" i="1"/>
  <c r="Q100" i="1"/>
  <c r="R100" i="1"/>
  <c r="S100" i="1"/>
  <c r="T100" i="1"/>
  <c r="U100" i="1"/>
  <c r="L101" i="1"/>
  <c r="M101" i="1"/>
  <c r="N101" i="1"/>
  <c r="O101" i="1"/>
  <c r="P101" i="1"/>
  <c r="Q101" i="1"/>
  <c r="R101" i="1"/>
  <c r="S101" i="1"/>
  <c r="T101" i="1"/>
  <c r="U101" i="1"/>
  <c r="L102" i="1"/>
  <c r="M102" i="1"/>
  <c r="N102" i="1"/>
  <c r="O102" i="1"/>
  <c r="P102" i="1"/>
  <c r="Q102" i="1"/>
  <c r="R102" i="1"/>
  <c r="S102" i="1"/>
  <c r="T102" i="1"/>
  <c r="U102" i="1"/>
  <c r="L103" i="1"/>
  <c r="M103" i="1"/>
  <c r="N103" i="1"/>
  <c r="O103" i="1"/>
  <c r="P103" i="1"/>
  <c r="Q103" i="1"/>
  <c r="R103" i="1"/>
  <c r="S103" i="1"/>
  <c r="T103" i="1"/>
  <c r="U103" i="1"/>
  <c r="L104" i="1"/>
  <c r="M104" i="1"/>
  <c r="N104" i="1"/>
  <c r="O104" i="1"/>
  <c r="P104" i="1"/>
  <c r="Q104" i="1"/>
  <c r="R104" i="1"/>
  <c r="S104" i="1"/>
  <c r="T104" i="1"/>
  <c r="U104" i="1"/>
  <c r="L105" i="1"/>
  <c r="M105" i="1"/>
  <c r="N105" i="1"/>
  <c r="O105" i="1"/>
  <c r="P105" i="1"/>
  <c r="Q105" i="1"/>
  <c r="R105" i="1"/>
  <c r="S105" i="1"/>
  <c r="T105" i="1"/>
  <c r="U105" i="1"/>
  <c r="L106" i="1"/>
  <c r="M106" i="1"/>
  <c r="N106" i="1"/>
  <c r="O106" i="1"/>
  <c r="P106" i="1"/>
  <c r="Q106" i="1"/>
  <c r="R106" i="1"/>
  <c r="S106" i="1"/>
  <c r="T106" i="1"/>
  <c r="U106" i="1"/>
  <c r="L107" i="1"/>
  <c r="M107" i="1"/>
  <c r="N107" i="1"/>
  <c r="O107" i="1"/>
  <c r="P107" i="1"/>
  <c r="Q107" i="1"/>
  <c r="R107" i="1"/>
  <c r="S107" i="1"/>
  <c r="T107" i="1"/>
  <c r="U107" i="1"/>
  <c r="L108" i="1"/>
  <c r="M108" i="1"/>
  <c r="N108" i="1"/>
  <c r="O108" i="1"/>
  <c r="P108" i="1"/>
  <c r="Q108" i="1"/>
  <c r="R108" i="1"/>
  <c r="S108" i="1"/>
  <c r="T108" i="1"/>
  <c r="U108" i="1"/>
  <c r="L109" i="1"/>
  <c r="M109" i="1"/>
  <c r="N109" i="1"/>
  <c r="O109" i="1"/>
  <c r="P109" i="1"/>
  <c r="Q109" i="1"/>
  <c r="R109" i="1"/>
  <c r="S109" i="1"/>
  <c r="T109" i="1"/>
  <c r="U109" i="1"/>
  <c r="L110" i="1"/>
  <c r="M110" i="1"/>
  <c r="N110" i="1"/>
  <c r="O110" i="1"/>
  <c r="P110" i="1"/>
  <c r="Q110" i="1"/>
  <c r="R110" i="1"/>
  <c r="S110" i="1"/>
  <c r="T110" i="1"/>
  <c r="U110" i="1"/>
  <c r="L111" i="1"/>
  <c r="M111" i="1"/>
  <c r="N111" i="1"/>
  <c r="O111" i="1"/>
  <c r="P111" i="1"/>
  <c r="Q111" i="1"/>
  <c r="R111" i="1"/>
  <c r="S111" i="1"/>
  <c r="T111" i="1"/>
  <c r="U111" i="1"/>
  <c r="L112" i="1"/>
  <c r="M112" i="1"/>
  <c r="N112" i="1"/>
  <c r="O112" i="1"/>
  <c r="P112" i="1"/>
  <c r="Q112" i="1"/>
  <c r="R112" i="1"/>
  <c r="S112" i="1"/>
  <c r="T112" i="1"/>
  <c r="U112" i="1"/>
  <c r="L113" i="1"/>
  <c r="M113" i="1"/>
  <c r="N113" i="1"/>
  <c r="O113" i="1"/>
  <c r="P113" i="1"/>
  <c r="Q113" i="1"/>
  <c r="R113" i="1"/>
  <c r="S113" i="1"/>
  <c r="T113" i="1"/>
  <c r="U113" i="1"/>
  <c r="L114" i="1"/>
  <c r="M114" i="1"/>
  <c r="N114" i="1"/>
  <c r="O114" i="1"/>
  <c r="P114" i="1"/>
  <c r="Q114" i="1"/>
  <c r="R114" i="1"/>
  <c r="S114" i="1"/>
  <c r="T114" i="1"/>
  <c r="U114" i="1"/>
  <c r="L115" i="1"/>
  <c r="M115" i="1"/>
  <c r="N115" i="1"/>
  <c r="O115" i="1"/>
  <c r="P115" i="1"/>
  <c r="Q115" i="1"/>
  <c r="R115" i="1"/>
  <c r="S115" i="1"/>
  <c r="T115" i="1"/>
  <c r="U115" i="1"/>
  <c r="L116" i="1"/>
  <c r="M116" i="1"/>
  <c r="N116" i="1"/>
  <c r="O116" i="1"/>
  <c r="P116" i="1"/>
  <c r="Q116" i="1"/>
  <c r="R116" i="1"/>
  <c r="S116" i="1"/>
  <c r="T116" i="1"/>
  <c r="U116" i="1"/>
  <c r="L117" i="1"/>
  <c r="M117" i="1"/>
  <c r="N117" i="1"/>
  <c r="O117" i="1"/>
  <c r="P117" i="1"/>
  <c r="Q117" i="1"/>
  <c r="R117" i="1"/>
  <c r="S117" i="1"/>
  <c r="T117" i="1"/>
  <c r="U117" i="1"/>
  <c r="L118" i="1"/>
  <c r="M118" i="1"/>
  <c r="N118" i="1"/>
  <c r="O118" i="1"/>
  <c r="P118" i="1"/>
  <c r="Q118" i="1"/>
  <c r="R118" i="1"/>
  <c r="S118" i="1"/>
  <c r="T118" i="1"/>
  <c r="U118" i="1"/>
  <c r="L119" i="1"/>
  <c r="M119" i="1"/>
  <c r="N119" i="1"/>
  <c r="O119" i="1"/>
  <c r="P119" i="1"/>
  <c r="Q119" i="1"/>
  <c r="R119" i="1"/>
  <c r="S119" i="1"/>
  <c r="T119" i="1"/>
  <c r="U119" i="1"/>
  <c r="L120" i="1"/>
  <c r="M120" i="1"/>
  <c r="N120" i="1"/>
  <c r="O120" i="1"/>
  <c r="P120" i="1"/>
  <c r="Q120" i="1"/>
  <c r="R120" i="1"/>
  <c r="S120" i="1"/>
  <c r="T120" i="1"/>
  <c r="U120" i="1"/>
  <c r="L121" i="1"/>
  <c r="M121" i="1"/>
  <c r="N121" i="1"/>
  <c r="O121" i="1"/>
  <c r="P121" i="1"/>
  <c r="Q121" i="1"/>
  <c r="R121" i="1"/>
  <c r="S121" i="1"/>
  <c r="T121" i="1"/>
  <c r="U121" i="1"/>
  <c r="L122" i="1"/>
  <c r="M122" i="1"/>
  <c r="N122" i="1"/>
  <c r="O122" i="1"/>
  <c r="P122" i="1"/>
  <c r="Q122" i="1"/>
  <c r="R122" i="1"/>
  <c r="S122" i="1"/>
  <c r="T122" i="1"/>
  <c r="U122" i="1"/>
  <c r="L123" i="1"/>
  <c r="M123" i="1"/>
  <c r="N123" i="1"/>
  <c r="O123" i="1"/>
  <c r="P123" i="1"/>
  <c r="Q123" i="1"/>
  <c r="R123" i="1"/>
  <c r="S123" i="1"/>
  <c r="T123" i="1"/>
  <c r="U123" i="1"/>
  <c r="L124" i="1"/>
  <c r="M124" i="1"/>
  <c r="N124" i="1"/>
  <c r="O124" i="1"/>
  <c r="P124" i="1"/>
  <c r="Q124" i="1"/>
  <c r="R124" i="1"/>
  <c r="S124" i="1"/>
  <c r="T124" i="1"/>
  <c r="U124" i="1"/>
  <c r="L125" i="1"/>
  <c r="M125" i="1"/>
  <c r="N125" i="1"/>
  <c r="O125" i="1"/>
  <c r="P125" i="1"/>
  <c r="Q125" i="1"/>
  <c r="R125" i="1"/>
  <c r="S125" i="1"/>
  <c r="T125" i="1"/>
  <c r="U125" i="1"/>
  <c r="L126" i="1"/>
  <c r="M126" i="1"/>
  <c r="N126" i="1"/>
  <c r="O126" i="1"/>
  <c r="P126" i="1"/>
  <c r="Q126" i="1"/>
  <c r="R126" i="1"/>
  <c r="S126" i="1"/>
  <c r="T126" i="1"/>
  <c r="U126" i="1"/>
  <c r="L127" i="1"/>
  <c r="M127" i="1"/>
  <c r="N127" i="1"/>
  <c r="O127" i="1"/>
  <c r="P127" i="1"/>
  <c r="Q127" i="1"/>
  <c r="R127" i="1"/>
  <c r="S127" i="1"/>
  <c r="T127" i="1"/>
  <c r="U127" i="1"/>
  <c r="L128" i="1"/>
  <c r="M128" i="1"/>
  <c r="N128" i="1"/>
  <c r="O128" i="1"/>
  <c r="P128" i="1"/>
  <c r="Q128" i="1"/>
  <c r="R128" i="1"/>
  <c r="S128" i="1"/>
  <c r="T128" i="1"/>
  <c r="U128" i="1"/>
  <c r="L129" i="1"/>
  <c r="M129" i="1"/>
  <c r="N129" i="1"/>
  <c r="O129" i="1"/>
  <c r="P129" i="1"/>
  <c r="Q129" i="1"/>
  <c r="R129" i="1"/>
  <c r="S129" i="1"/>
  <c r="T129" i="1"/>
  <c r="U129" i="1"/>
  <c r="L130" i="1"/>
  <c r="M130" i="1"/>
  <c r="N130" i="1"/>
  <c r="O130" i="1"/>
  <c r="P130" i="1"/>
  <c r="Q130" i="1"/>
  <c r="R130" i="1"/>
  <c r="S130" i="1"/>
  <c r="T130" i="1"/>
  <c r="U130" i="1"/>
  <c r="L131" i="1"/>
  <c r="M131" i="1"/>
  <c r="N131" i="1"/>
  <c r="O131" i="1"/>
  <c r="P131" i="1"/>
  <c r="Q131" i="1"/>
  <c r="R131" i="1"/>
  <c r="S131" i="1"/>
  <c r="T131" i="1"/>
  <c r="U131" i="1"/>
  <c r="L132" i="1"/>
  <c r="M132" i="1"/>
  <c r="N132" i="1"/>
  <c r="O132" i="1"/>
  <c r="P132" i="1"/>
  <c r="Q132" i="1"/>
  <c r="R132" i="1"/>
  <c r="S132" i="1"/>
  <c r="T132" i="1"/>
  <c r="U132" i="1"/>
  <c r="L133" i="1"/>
  <c r="M133" i="1"/>
  <c r="N133" i="1"/>
  <c r="O133" i="1"/>
  <c r="P133" i="1"/>
  <c r="Q133" i="1"/>
  <c r="R133" i="1"/>
  <c r="S133" i="1"/>
  <c r="T133" i="1"/>
  <c r="U133" i="1"/>
  <c r="L134" i="1"/>
  <c r="M134" i="1"/>
  <c r="N134" i="1"/>
  <c r="O134" i="1"/>
  <c r="P134" i="1"/>
  <c r="Q134" i="1"/>
  <c r="R134" i="1"/>
  <c r="S134" i="1"/>
  <c r="T134" i="1"/>
  <c r="U134" i="1"/>
  <c r="L135" i="1"/>
  <c r="M135" i="1"/>
  <c r="N135" i="1"/>
  <c r="O135" i="1"/>
  <c r="P135" i="1"/>
  <c r="Q135" i="1"/>
  <c r="R135" i="1"/>
  <c r="S135" i="1"/>
  <c r="T135" i="1"/>
  <c r="U135" i="1"/>
  <c r="L136" i="1"/>
  <c r="M136" i="1"/>
  <c r="N136" i="1"/>
  <c r="O136" i="1"/>
  <c r="P136" i="1"/>
  <c r="Q136" i="1"/>
  <c r="R136" i="1"/>
  <c r="S136" i="1"/>
  <c r="T136" i="1"/>
  <c r="U136" i="1"/>
  <c r="L137" i="1"/>
  <c r="M137" i="1"/>
  <c r="N137" i="1"/>
  <c r="O137" i="1"/>
  <c r="P137" i="1"/>
  <c r="Q137" i="1"/>
  <c r="R137" i="1"/>
  <c r="S137" i="1"/>
  <c r="T137" i="1"/>
  <c r="U137" i="1"/>
  <c r="L138" i="1"/>
  <c r="M138" i="1"/>
  <c r="N138" i="1"/>
  <c r="O138" i="1"/>
  <c r="P138" i="1"/>
  <c r="Q138" i="1"/>
  <c r="R138" i="1"/>
  <c r="S138" i="1"/>
  <c r="T138" i="1"/>
  <c r="U138" i="1"/>
  <c r="L139" i="1"/>
  <c r="M139" i="1"/>
  <c r="N139" i="1"/>
  <c r="O139" i="1"/>
  <c r="P139" i="1"/>
  <c r="Q139" i="1"/>
  <c r="R139" i="1"/>
  <c r="S139" i="1"/>
  <c r="T139" i="1"/>
  <c r="U139" i="1"/>
  <c r="L140" i="1"/>
  <c r="M140" i="1"/>
  <c r="N140" i="1"/>
  <c r="O140" i="1"/>
  <c r="P140" i="1"/>
  <c r="Q140" i="1"/>
  <c r="R140" i="1"/>
  <c r="S140" i="1"/>
  <c r="T140" i="1"/>
  <c r="U140" i="1"/>
  <c r="L141" i="1"/>
  <c r="M141" i="1"/>
  <c r="N141" i="1"/>
  <c r="O141" i="1"/>
  <c r="P141" i="1"/>
  <c r="Q141" i="1"/>
  <c r="R141" i="1"/>
  <c r="S141" i="1"/>
  <c r="T141" i="1"/>
  <c r="U141" i="1"/>
  <c r="L142" i="1"/>
  <c r="M142" i="1"/>
  <c r="N142" i="1"/>
  <c r="O142" i="1"/>
  <c r="P142" i="1"/>
  <c r="Q142" i="1"/>
  <c r="R142" i="1"/>
  <c r="S142" i="1"/>
  <c r="T142" i="1"/>
  <c r="U142" i="1"/>
  <c r="L143" i="1"/>
  <c r="M143" i="1"/>
  <c r="N143" i="1"/>
  <c r="O143" i="1"/>
  <c r="P143" i="1"/>
  <c r="Q143" i="1"/>
  <c r="R143" i="1"/>
  <c r="S143" i="1"/>
  <c r="T143" i="1"/>
  <c r="U143" i="1"/>
  <c r="L144" i="1"/>
  <c r="M144" i="1"/>
  <c r="N144" i="1"/>
  <c r="O144" i="1"/>
  <c r="P144" i="1"/>
  <c r="Q144" i="1"/>
  <c r="R144" i="1"/>
  <c r="S144" i="1"/>
  <c r="T144" i="1"/>
  <c r="U144" i="1"/>
  <c r="L145" i="1"/>
  <c r="M145" i="1"/>
  <c r="N145" i="1"/>
  <c r="O145" i="1"/>
  <c r="P145" i="1"/>
  <c r="Q145" i="1"/>
  <c r="R145" i="1"/>
  <c r="S145" i="1"/>
  <c r="T145" i="1"/>
  <c r="U145" i="1"/>
  <c r="L146" i="1"/>
  <c r="M146" i="1"/>
  <c r="N146" i="1"/>
  <c r="O146" i="1"/>
  <c r="P146" i="1"/>
  <c r="Q146" i="1"/>
  <c r="R146" i="1"/>
  <c r="S146" i="1"/>
  <c r="T146" i="1"/>
  <c r="U146" i="1"/>
  <c r="L147" i="1"/>
  <c r="M147" i="1"/>
  <c r="N147" i="1"/>
  <c r="O147" i="1"/>
  <c r="P147" i="1"/>
  <c r="Q147" i="1"/>
  <c r="R147" i="1"/>
  <c r="S147" i="1"/>
  <c r="T147" i="1"/>
  <c r="U147" i="1"/>
  <c r="L148" i="1"/>
  <c r="M148" i="1"/>
  <c r="N148" i="1"/>
  <c r="O148" i="1"/>
  <c r="P148" i="1"/>
  <c r="Q148" i="1"/>
  <c r="R148" i="1"/>
  <c r="S148" i="1"/>
  <c r="T148" i="1"/>
  <c r="U148" i="1"/>
  <c r="L149" i="1"/>
  <c r="M149" i="1"/>
  <c r="N149" i="1"/>
  <c r="O149" i="1"/>
  <c r="P149" i="1"/>
  <c r="Q149" i="1"/>
  <c r="R149" i="1"/>
  <c r="S149" i="1"/>
  <c r="T149" i="1"/>
  <c r="U149" i="1"/>
  <c r="L150" i="1"/>
  <c r="M150" i="1"/>
  <c r="N150" i="1"/>
  <c r="O150" i="1"/>
  <c r="P150" i="1"/>
  <c r="Q150" i="1"/>
  <c r="R150" i="1"/>
  <c r="S150" i="1"/>
  <c r="T150" i="1"/>
  <c r="U150" i="1"/>
  <c r="L151" i="1"/>
  <c r="M151" i="1"/>
  <c r="N151" i="1"/>
  <c r="O151" i="1"/>
  <c r="P151" i="1"/>
  <c r="Q151" i="1"/>
  <c r="R151" i="1"/>
  <c r="S151" i="1"/>
  <c r="T151" i="1"/>
  <c r="U151" i="1"/>
  <c r="L152" i="1"/>
  <c r="M152" i="1"/>
  <c r="N152" i="1"/>
  <c r="O152" i="1"/>
  <c r="P152" i="1"/>
  <c r="Q152" i="1"/>
  <c r="R152" i="1"/>
  <c r="S152" i="1"/>
  <c r="T152" i="1"/>
  <c r="U152" i="1"/>
  <c r="L153" i="1"/>
  <c r="M153" i="1"/>
  <c r="N153" i="1"/>
  <c r="O153" i="1"/>
  <c r="P153" i="1"/>
  <c r="Q153" i="1"/>
  <c r="R153" i="1"/>
  <c r="S153" i="1"/>
  <c r="T153" i="1"/>
  <c r="U153" i="1"/>
  <c r="L154" i="1"/>
  <c r="M154" i="1"/>
  <c r="N154" i="1"/>
  <c r="O154" i="1"/>
  <c r="P154" i="1"/>
  <c r="Q154" i="1"/>
  <c r="R154" i="1"/>
  <c r="S154" i="1"/>
  <c r="T154" i="1"/>
  <c r="U154" i="1"/>
  <c r="L155" i="1"/>
  <c r="M155" i="1"/>
  <c r="N155" i="1"/>
  <c r="O155" i="1"/>
  <c r="P155" i="1"/>
  <c r="Q155" i="1"/>
  <c r="R155" i="1"/>
  <c r="S155" i="1"/>
  <c r="T155" i="1"/>
  <c r="U155" i="1"/>
  <c r="L156" i="1"/>
  <c r="M156" i="1"/>
  <c r="N156" i="1"/>
  <c r="O156" i="1"/>
  <c r="P156" i="1"/>
  <c r="Q156" i="1"/>
  <c r="R156" i="1"/>
  <c r="S156" i="1"/>
  <c r="T156" i="1"/>
  <c r="U156" i="1"/>
  <c r="L157" i="1"/>
  <c r="M157" i="1"/>
  <c r="N157" i="1"/>
  <c r="O157" i="1"/>
  <c r="P157" i="1"/>
  <c r="Q157" i="1"/>
  <c r="R157" i="1"/>
  <c r="S157" i="1"/>
  <c r="T157" i="1"/>
  <c r="U157" i="1"/>
  <c r="L158" i="1"/>
  <c r="M158" i="1"/>
  <c r="N158" i="1"/>
  <c r="O158" i="1"/>
  <c r="P158" i="1"/>
  <c r="Q158" i="1"/>
  <c r="R158" i="1"/>
  <c r="S158" i="1"/>
  <c r="T158" i="1"/>
  <c r="U158" i="1"/>
  <c r="L159" i="1"/>
  <c r="M159" i="1"/>
  <c r="N159" i="1"/>
  <c r="O159" i="1"/>
  <c r="P159" i="1"/>
  <c r="Q159" i="1"/>
  <c r="R159" i="1"/>
  <c r="S159" i="1"/>
  <c r="T159" i="1"/>
  <c r="U159" i="1"/>
  <c r="L160" i="1"/>
  <c r="M160" i="1"/>
  <c r="N160" i="1"/>
  <c r="O160" i="1"/>
  <c r="P160" i="1"/>
  <c r="Q160" i="1"/>
  <c r="R160" i="1"/>
  <c r="S160" i="1"/>
  <c r="T160" i="1"/>
  <c r="U160" i="1"/>
  <c r="L161" i="1"/>
  <c r="M161" i="1"/>
  <c r="N161" i="1"/>
  <c r="O161" i="1"/>
  <c r="P161" i="1"/>
  <c r="Q161" i="1"/>
  <c r="R161" i="1"/>
  <c r="S161" i="1"/>
  <c r="T161" i="1"/>
  <c r="U161" i="1"/>
  <c r="L162" i="1"/>
  <c r="M162" i="1"/>
  <c r="N162" i="1"/>
  <c r="O162" i="1"/>
  <c r="P162" i="1"/>
  <c r="Q162" i="1"/>
  <c r="R162" i="1"/>
  <c r="S162" i="1"/>
  <c r="T162" i="1"/>
  <c r="U162" i="1"/>
  <c r="L163" i="1"/>
  <c r="M163" i="1"/>
  <c r="N163" i="1"/>
  <c r="O163" i="1"/>
  <c r="P163" i="1"/>
  <c r="Q163" i="1"/>
  <c r="R163" i="1"/>
  <c r="S163" i="1"/>
  <c r="T163" i="1"/>
  <c r="U163" i="1"/>
  <c r="L164" i="1"/>
  <c r="M164" i="1"/>
  <c r="N164" i="1"/>
  <c r="O164" i="1"/>
  <c r="P164" i="1"/>
  <c r="Q164" i="1"/>
  <c r="R164" i="1"/>
  <c r="S164" i="1"/>
  <c r="T164" i="1"/>
  <c r="U164" i="1"/>
  <c r="L165" i="1"/>
  <c r="M165" i="1"/>
  <c r="N165" i="1"/>
  <c r="O165" i="1"/>
  <c r="P165" i="1"/>
  <c r="Q165" i="1"/>
  <c r="R165" i="1"/>
  <c r="S165" i="1"/>
  <c r="T165" i="1"/>
  <c r="U165" i="1"/>
  <c r="L166" i="1"/>
  <c r="M166" i="1"/>
  <c r="N166" i="1"/>
  <c r="O166" i="1"/>
  <c r="P166" i="1"/>
  <c r="Q166" i="1"/>
  <c r="R166" i="1"/>
  <c r="S166" i="1"/>
  <c r="T166" i="1"/>
  <c r="U166" i="1"/>
  <c r="L167" i="1"/>
  <c r="M167" i="1"/>
  <c r="N167" i="1"/>
  <c r="O167" i="1"/>
  <c r="P167" i="1"/>
  <c r="Q167" i="1"/>
  <c r="R167" i="1"/>
  <c r="S167" i="1"/>
  <c r="T167" i="1"/>
  <c r="U167" i="1"/>
  <c r="L168" i="1"/>
  <c r="M168" i="1"/>
  <c r="N168" i="1"/>
  <c r="O168" i="1"/>
  <c r="P168" i="1"/>
  <c r="Q168" i="1"/>
  <c r="R168" i="1"/>
  <c r="S168" i="1"/>
  <c r="T168" i="1"/>
  <c r="U168" i="1"/>
  <c r="L169" i="1"/>
  <c r="M169" i="1"/>
  <c r="N169" i="1"/>
  <c r="O169" i="1"/>
  <c r="P169" i="1"/>
  <c r="Q169" i="1"/>
  <c r="R169" i="1"/>
  <c r="S169" i="1"/>
  <c r="T169" i="1"/>
  <c r="U169" i="1"/>
  <c r="L170" i="1"/>
  <c r="M170" i="1"/>
  <c r="N170" i="1"/>
  <c r="O170" i="1"/>
  <c r="P170" i="1"/>
  <c r="Q170" i="1"/>
  <c r="R170" i="1"/>
  <c r="S170" i="1"/>
  <c r="T170" i="1"/>
  <c r="U170" i="1"/>
  <c r="L171" i="1"/>
  <c r="M171" i="1"/>
  <c r="N171" i="1"/>
  <c r="O171" i="1"/>
  <c r="P171" i="1"/>
  <c r="Q171" i="1"/>
  <c r="R171" i="1"/>
  <c r="S171" i="1"/>
  <c r="T171" i="1"/>
  <c r="U171" i="1"/>
  <c r="L172" i="1"/>
  <c r="M172" i="1"/>
  <c r="N172" i="1"/>
  <c r="O172" i="1"/>
  <c r="P172" i="1"/>
  <c r="Q172" i="1"/>
  <c r="R172" i="1"/>
  <c r="S172" i="1"/>
  <c r="T172" i="1"/>
  <c r="U172" i="1"/>
  <c r="L173" i="1"/>
  <c r="M173" i="1"/>
  <c r="N173" i="1"/>
  <c r="O173" i="1"/>
  <c r="P173" i="1"/>
  <c r="Q173" i="1"/>
  <c r="R173" i="1"/>
  <c r="S173" i="1"/>
  <c r="T173" i="1"/>
  <c r="U173" i="1"/>
  <c r="L174" i="1"/>
  <c r="M174" i="1"/>
  <c r="N174" i="1"/>
  <c r="O174" i="1"/>
  <c r="P174" i="1"/>
  <c r="Q174" i="1"/>
  <c r="R174" i="1"/>
  <c r="S174" i="1"/>
  <c r="T174" i="1"/>
  <c r="U174" i="1"/>
  <c r="L175" i="1"/>
  <c r="M175" i="1"/>
  <c r="N175" i="1"/>
  <c r="O175" i="1"/>
  <c r="P175" i="1"/>
  <c r="Q175" i="1"/>
  <c r="R175" i="1"/>
  <c r="S175" i="1"/>
  <c r="T175" i="1"/>
  <c r="U175" i="1"/>
  <c r="L176" i="1"/>
  <c r="M176" i="1"/>
  <c r="N176" i="1"/>
  <c r="O176" i="1"/>
  <c r="P176" i="1"/>
  <c r="Q176" i="1"/>
  <c r="R176" i="1"/>
  <c r="S176" i="1"/>
  <c r="T176" i="1"/>
  <c r="U176" i="1"/>
  <c r="L177" i="1"/>
  <c r="M177" i="1"/>
  <c r="N177" i="1"/>
  <c r="O177" i="1"/>
  <c r="P177" i="1"/>
  <c r="Q177" i="1"/>
  <c r="R177" i="1"/>
  <c r="S177" i="1"/>
  <c r="T177" i="1"/>
  <c r="U177" i="1"/>
  <c r="L178" i="1"/>
  <c r="M178" i="1"/>
  <c r="N178" i="1"/>
  <c r="O178" i="1"/>
  <c r="P178" i="1"/>
  <c r="Q178" i="1"/>
  <c r="R178" i="1"/>
  <c r="S178" i="1"/>
  <c r="T178" i="1"/>
  <c r="U178" i="1"/>
  <c r="L179" i="1"/>
  <c r="M179" i="1"/>
  <c r="N179" i="1"/>
  <c r="O179" i="1"/>
  <c r="P179" i="1"/>
  <c r="Q179" i="1"/>
  <c r="R179" i="1"/>
  <c r="S179" i="1"/>
  <c r="T179" i="1"/>
  <c r="U179" i="1"/>
  <c r="L180" i="1"/>
  <c r="M180" i="1"/>
  <c r="N180" i="1"/>
  <c r="O180" i="1"/>
  <c r="P180" i="1"/>
  <c r="Q180" i="1"/>
  <c r="R180" i="1"/>
  <c r="S180" i="1"/>
  <c r="T180" i="1"/>
  <c r="U180" i="1"/>
  <c r="L181" i="1"/>
  <c r="M181" i="1"/>
  <c r="N181" i="1"/>
  <c r="O181" i="1"/>
  <c r="P181" i="1"/>
  <c r="Q181" i="1"/>
  <c r="R181" i="1"/>
  <c r="S181" i="1"/>
  <c r="T181" i="1"/>
  <c r="U181" i="1"/>
  <c r="L182" i="1"/>
  <c r="M182" i="1"/>
  <c r="N182" i="1"/>
  <c r="O182" i="1"/>
  <c r="P182" i="1"/>
  <c r="Q182" i="1"/>
  <c r="R182" i="1"/>
  <c r="S182" i="1"/>
  <c r="T182" i="1"/>
  <c r="U182" i="1"/>
  <c r="L183" i="1"/>
  <c r="M183" i="1"/>
  <c r="N183" i="1"/>
  <c r="O183" i="1"/>
  <c r="P183" i="1"/>
  <c r="Q183" i="1"/>
  <c r="R183" i="1"/>
  <c r="S183" i="1"/>
  <c r="T183" i="1"/>
  <c r="U183" i="1"/>
  <c r="L184" i="1"/>
  <c r="M184" i="1"/>
  <c r="N184" i="1"/>
  <c r="O184" i="1"/>
  <c r="P184" i="1"/>
  <c r="Q184" i="1"/>
  <c r="R184" i="1"/>
  <c r="S184" i="1"/>
  <c r="T184" i="1"/>
  <c r="U184" i="1"/>
  <c r="L185" i="1"/>
  <c r="M185" i="1"/>
  <c r="N185" i="1"/>
  <c r="O185" i="1"/>
  <c r="P185" i="1"/>
  <c r="Q185" i="1"/>
  <c r="R185" i="1"/>
  <c r="S185" i="1"/>
  <c r="T185" i="1"/>
  <c r="U185" i="1"/>
  <c r="L186" i="1"/>
  <c r="M186" i="1"/>
  <c r="N186" i="1"/>
  <c r="O186" i="1"/>
  <c r="P186" i="1"/>
  <c r="Q186" i="1"/>
  <c r="R186" i="1"/>
  <c r="S186" i="1"/>
  <c r="T186" i="1"/>
  <c r="U186" i="1"/>
  <c r="L187" i="1"/>
  <c r="M187" i="1"/>
  <c r="N187" i="1"/>
  <c r="O187" i="1"/>
  <c r="P187" i="1"/>
  <c r="Q187" i="1"/>
  <c r="R187" i="1"/>
  <c r="S187" i="1"/>
  <c r="T187" i="1"/>
  <c r="U187" i="1"/>
  <c r="L188" i="1"/>
  <c r="M188" i="1"/>
  <c r="N188" i="1"/>
  <c r="O188" i="1"/>
  <c r="P188" i="1"/>
  <c r="Q188" i="1"/>
  <c r="R188" i="1"/>
  <c r="S188" i="1"/>
  <c r="T188" i="1"/>
  <c r="U188" i="1"/>
  <c r="L189" i="1"/>
  <c r="M189" i="1"/>
  <c r="N189" i="1"/>
  <c r="O189" i="1"/>
  <c r="P189" i="1"/>
  <c r="Q189" i="1"/>
  <c r="R189" i="1"/>
  <c r="S189" i="1"/>
  <c r="T189" i="1"/>
  <c r="U189" i="1"/>
  <c r="L190" i="1"/>
  <c r="M190" i="1"/>
  <c r="N190" i="1"/>
  <c r="O190" i="1"/>
  <c r="P190" i="1"/>
  <c r="Q190" i="1"/>
  <c r="R190" i="1"/>
  <c r="S190" i="1"/>
  <c r="T190" i="1"/>
  <c r="U190" i="1"/>
  <c r="L191" i="1"/>
  <c r="M191" i="1"/>
  <c r="N191" i="1"/>
  <c r="O191" i="1"/>
  <c r="P191" i="1"/>
  <c r="Q191" i="1"/>
  <c r="R191" i="1"/>
  <c r="S191" i="1"/>
  <c r="T191" i="1"/>
  <c r="U191" i="1"/>
  <c r="L192" i="1"/>
  <c r="M192" i="1"/>
  <c r="N192" i="1"/>
  <c r="O192" i="1"/>
  <c r="P192" i="1"/>
  <c r="Q192" i="1"/>
  <c r="R192" i="1"/>
  <c r="S192" i="1"/>
  <c r="T192" i="1"/>
  <c r="U192" i="1"/>
  <c r="L193" i="1"/>
  <c r="M193" i="1"/>
  <c r="N193" i="1"/>
  <c r="O193" i="1"/>
  <c r="P193" i="1"/>
  <c r="Q193" i="1"/>
  <c r="R193" i="1"/>
  <c r="S193" i="1"/>
  <c r="T193" i="1"/>
  <c r="U193" i="1"/>
  <c r="L194" i="1"/>
  <c r="M194" i="1"/>
  <c r="N194" i="1"/>
  <c r="O194" i="1"/>
  <c r="P194" i="1"/>
  <c r="Q194" i="1"/>
  <c r="R194" i="1"/>
  <c r="S194" i="1"/>
  <c r="T194" i="1"/>
  <c r="U194" i="1"/>
  <c r="L195" i="1"/>
  <c r="M195" i="1"/>
  <c r="N195" i="1"/>
  <c r="O195" i="1"/>
  <c r="P195" i="1"/>
  <c r="Q195" i="1"/>
  <c r="R195" i="1"/>
  <c r="S195" i="1"/>
  <c r="T195" i="1"/>
  <c r="U195" i="1"/>
  <c r="L196" i="1"/>
  <c r="M196" i="1"/>
  <c r="N196" i="1"/>
  <c r="O196" i="1"/>
  <c r="P196" i="1"/>
  <c r="Q196" i="1"/>
  <c r="R196" i="1"/>
  <c r="S196" i="1"/>
  <c r="T196" i="1"/>
  <c r="U196" i="1"/>
  <c r="L197" i="1"/>
  <c r="M197" i="1"/>
  <c r="N197" i="1"/>
  <c r="O197" i="1"/>
  <c r="P197" i="1"/>
  <c r="Q197" i="1"/>
  <c r="R197" i="1"/>
  <c r="S197" i="1"/>
  <c r="T197" i="1"/>
  <c r="U197" i="1"/>
  <c r="L198" i="1"/>
  <c r="M198" i="1"/>
  <c r="N198" i="1"/>
  <c r="O198" i="1"/>
  <c r="P198" i="1"/>
  <c r="Q198" i="1"/>
  <c r="R198" i="1"/>
  <c r="S198" i="1"/>
  <c r="T198" i="1"/>
  <c r="U198" i="1"/>
  <c r="L199" i="1"/>
  <c r="M199" i="1"/>
  <c r="N199" i="1"/>
  <c r="O199" i="1"/>
  <c r="P199" i="1"/>
  <c r="Q199" i="1"/>
  <c r="R199" i="1"/>
  <c r="S199" i="1"/>
  <c r="T199" i="1"/>
  <c r="U199" i="1"/>
  <c r="L200" i="1"/>
  <c r="M200" i="1"/>
  <c r="N200" i="1"/>
  <c r="O200" i="1"/>
  <c r="P200" i="1"/>
  <c r="Q200" i="1"/>
  <c r="R200" i="1"/>
  <c r="S200" i="1"/>
  <c r="T200" i="1"/>
  <c r="U200" i="1"/>
  <c r="L201" i="1"/>
  <c r="M201" i="1"/>
  <c r="N201" i="1"/>
  <c r="O201" i="1"/>
  <c r="P201" i="1"/>
  <c r="Q201" i="1"/>
  <c r="R201" i="1"/>
  <c r="S201" i="1"/>
  <c r="T201" i="1"/>
  <c r="U201" i="1"/>
  <c r="L202" i="1"/>
  <c r="M202" i="1"/>
  <c r="N202" i="1"/>
  <c r="O202" i="1"/>
  <c r="P202" i="1"/>
  <c r="Q202" i="1"/>
  <c r="R202" i="1"/>
  <c r="S202" i="1"/>
  <c r="T202" i="1"/>
  <c r="U202" i="1"/>
  <c r="L203" i="1"/>
  <c r="M203" i="1"/>
  <c r="N203" i="1"/>
  <c r="O203" i="1"/>
  <c r="P203" i="1"/>
  <c r="Q203" i="1"/>
  <c r="R203" i="1"/>
  <c r="S203" i="1"/>
  <c r="T203" i="1"/>
  <c r="U203" i="1"/>
  <c r="L204" i="1"/>
  <c r="M204" i="1"/>
  <c r="N204" i="1"/>
  <c r="O204" i="1"/>
  <c r="P204" i="1"/>
  <c r="Q204" i="1"/>
  <c r="R204" i="1"/>
  <c r="S204" i="1"/>
  <c r="T204" i="1"/>
  <c r="U204" i="1"/>
  <c r="L205" i="1"/>
  <c r="M205" i="1"/>
  <c r="N205" i="1"/>
  <c r="O205" i="1"/>
  <c r="P205" i="1"/>
  <c r="Q205" i="1"/>
  <c r="R205" i="1"/>
  <c r="S205" i="1"/>
  <c r="T205" i="1"/>
  <c r="U205" i="1"/>
  <c r="L206" i="1"/>
  <c r="M206" i="1"/>
  <c r="N206" i="1"/>
  <c r="O206" i="1"/>
  <c r="P206" i="1"/>
  <c r="Q206" i="1"/>
  <c r="R206" i="1"/>
  <c r="S206" i="1"/>
  <c r="T206" i="1"/>
  <c r="U206" i="1"/>
  <c r="L207" i="1"/>
  <c r="M207" i="1"/>
  <c r="N207" i="1"/>
  <c r="O207" i="1"/>
  <c r="P207" i="1"/>
  <c r="Q207" i="1"/>
  <c r="R207" i="1"/>
  <c r="S207" i="1"/>
  <c r="T207" i="1"/>
  <c r="U207" i="1"/>
  <c r="L208" i="1"/>
  <c r="M208" i="1"/>
  <c r="N208" i="1"/>
  <c r="O208" i="1"/>
  <c r="P208" i="1"/>
  <c r="Q208" i="1"/>
  <c r="R208" i="1"/>
  <c r="S208" i="1"/>
  <c r="T208" i="1"/>
  <c r="U208" i="1"/>
  <c r="L209" i="1"/>
  <c r="M209" i="1"/>
  <c r="N209" i="1"/>
  <c r="O209" i="1"/>
  <c r="P209" i="1"/>
  <c r="Q209" i="1"/>
  <c r="R209" i="1"/>
  <c r="S209" i="1"/>
  <c r="T209" i="1"/>
  <c r="U209" i="1"/>
  <c r="L210" i="1"/>
  <c r="M210" i="1"/>
  <c r="N210" i="1"/>
  <c r="O210" i="1"/>
  <c r="P210" i="1"/>
  <c r="Q210" i="1"/>
  <c r="R210" i="1"/>
  <c r="S210" i="1"/>
  <c r="T210" i="1"/>
  <c r="U210" i="1"/>
  <c r="L211" i="1"/>
  <c r="M211" i="1"/>
  <c r="N211" i="1"/>
  <c r="O211" i="1"/>
  <c r="P211" i="1"/>
  <c r="Q211" i="1"/>
  <c r="R211" i="1"/>
  <c r="S211" i="1"/>
  <c r="T211" i="1"/>
  <c r="U211" i="1"/>
  <c r="L212" i="1"/>
  <c r="M212" i="1"/>
  <c r="N212" i="1"/>
  <c r="O212" i="1"/>
  <c r="P212" i="1"/>
  <c r="Q212" i="1"/>
  <c r="R212" i="1"/>
  <c r="S212" i="1"/>
  <c r="T212" i="1"/>
  <c r="U212" i="1"/>
  <c r="L213" i="1"/>
  <c r="M213" i="1"/>
  <c r="N213" i="1"/>
  <c r="O213" i="1"/>
  <c r="P213" i="1"/>
  <c r="Q213" i="1"/>
  <c r="R213" i="1"/>
  <c r="S213" i="1"/>
  <c r="T213" i="1"/>
  <c r="U213" i="1"/>
  <c r="L214" i="1"/>
  <c r="M214" i="1"/>
  <c r="N214" i="1"/>
  <c r="O214" i="1"/>
  <c r="P214" i="1"/>
  <c r="Q214" i="1"/>
  <c r="R214" i="1"/>
  <c r="S214" i="1"/>
  <c r="T214" i="1"/>
  <c r="U214" i="1"/>
  <c r="L215" i="1"/>
  <c r="M215" i="1"/>
  <c r="N215" i="1"/>
  <c r="O215" i="1"/>
  <c r="P215" i="1"/>
  <c r="Q215" i="1"/>
  <c r="R215" i="1"/>
  <c r="S215" i="1"/>
  <c r="T215" i="1"/>
  <c r="U215" i="1"/>
  <c r="L216" i="1"/>
  <c r="M216" i="1"/>
  <c r="N216" i="1"/>
  <c r="O216" i="1"/>
  <c r="P216" i="1"/>
  <c r="Q216" i="1"/>
  <c r="R216" i="1"/>
  <c r="S216" i="1"/>
  <c r="T216" i="1"/>
  <c r="U216" i="1"/>
  <c r="L217" i="1"/>
  <c r="M217" i="1"/>
  <c r="N217" i="1"/>
  <c r="O217" i="1"/>
  <c r="P217" i="1"/>
  <c r="Q217" i="1"/>
  <c r="R217" i="1"/>
  <c r="S217" i="1"/>
  <c r="T217" i="1"/>
  <c r="U217" i="1"/>
  <c r="L218" i="1"/>
  <c r="M218" i="1"/>
  <c r="N218" i="1"/>
  <c r="O218" i="1"/>
  <c r="P218" i="1"/>
  <c r="Q218" i="1"/>
  <c r="R218" i="1"/>
  <c r="S218" i="1"/>
  <c r="T218" i="1"/>
  <c r="U218" i="1"/>
  <c r="L219" i="1"/>
  <c r="M219" i="1"/>
  <c r="N219" i="1"/>
  <c r="O219" i="1"/>
  <c r="P219" i="1"/>
  <c r="Q219" i="1"/>
  <c r="R219" i="1"/>
  <c r="S219" i="1"/>
  <c r="T219" i="1"/>
  <c r="U219" i="1"/>
  <c r="L220" i="1"/>
  <c r="M220" i="1"/>
  <c r="N220" i="1"/>
  <c r="O220" i="1"/>
  <c r="P220" i="1"/>
  <c r="Q220" i="1"/>
  <c r="R220" i="1"/>
  <c r="S220" i="1"/>
  <c r="T220" i="1"/>
  <c r="U220" i="1"/>
  <c r="L221" i="1"/>
  <c r="M221" i="1"/>
  <c r="N221" i="1"/>
  <c r="O221" i="1"/>
  <c r="P221" i="1"/>
  <c r="Q221" i="1"/>
  <c r="R221" i="1"/>
  <c r="S221" i="1"/>
  <c r="T221" i="1"/>
  <c r="U221" i="1"/>
  <c r="L222" i="1"/>
  <c r="M222" i="1"/>
  <c r="N222" i="1"/>
  <c r="O222" i="1"/>
  <c r="P222" i="1"/>
  <c r="Q222" i="1"/>
  <c r="R222" i="1"/>
  <c r="S222" i="1"/>
  <c r="T222" i="1"/>
  <c r="U222" i="1"/>
  <c r="L223" i="1"/>
  <c r="M223" i="1"/>
  <c r="N223" i="1"/>
  <c r="O223" i="1"/>
  <c r="P223" i="1"/>
  <c r="Q223" i="1"/>
  <c r="R223" i="1"/>
  <c r="S223" i="1"/>
  <c r="T223" i="1"/>
  <c r="U223" i="1"/>
  <c r="L224" i="1"/>
  <c r="M224" i="1"/>
  <c r="N224" i="1"/>
  <c r="O224" i="1"/>
  <c r="P224" i="1"/>
  <c r="Q224" i="1"/>
  <c r="R224" i="1"/>
  <c r="S224" i="1"/>
  <c r="T224" i="1"/>
  <c r="U224" i="1"/>
  <c r="L225" i="1"/>
  <c r="M225" i="1"/>
  <c r="N225" i="1"/>
  <c r="O225" i="1"/>
  <c r="P225" i="1"/>
  <c r="Q225" i="1"/>
  <c r="R225" i="1"/>
  <c r="S225" i="1"/>
  <c r="T225" i="1"/>
  <c r="U225" i="1"/>
  <c r="L226" i="1"/>
  <c r="M226" i="1"/>
  <c r="N226" i="1"/>
  <c r="O226" i="1"/>
  <c r="P226" i="1"/>
  <c r="Q226" i="1"/>
  <c r="R226" i="1"/>
  <c r="S226" i="1"/>
  <c r="T226" i="1"/>
  <c r="U226" i="1"/>
  <c r="L227" i="1"/>
  <c r="M227" i="1"/>
  <c r="N227" i="1"/>
  <c r="O227" i="1"/>
  <c r="P227" i="1"/>
  <c r="Q227" i="1"/>
  <c r="R227" i="1"/>
  <c r="S227" i="1"/>
  <c r="T227" i="1"/>
  <c r="U227" i="1"/>
  <c r="L228" i="1"/>
  <c r="M228" i="1"/>
  <c r="N228" i="1"/>
  <c r="O228" i="1"/>
  <c r="P228" i="1"/>
  <c r="Q228" i="1"/>
  <c r="R228" i="1"/>
  <c r="S228" i="1"/>
  <c r="T228" i="1"/>
  <c r="U228" i="1"/>
  <c r="L229" i="1"/>
  <c r="M229" i="1"/>
  <c r="N229" i="1"/>
  <c r="O229" i="1"/>
  <c r="P229" i="1"/>
  <c r="Q229" i="1"/>
  <c r="R229" i="1"/>
  <c r="S229" i="1"/>
  <c r="T229" i="1"/>
  <c r="U229" i="1"/>
  <c r="L230" i="1"/>
  <c r="M230" i="1"/>
  <c r="N230" i="1"/>
  <c r="O230" i="1"/>
  <c r="P230" i="1"/>
  <c r="Q230" i="1"/>
  <c r="R230" i="1"/>
  <c r="S230" i="1"/>
  <c r="T230" i="1"/>
  <c r="U230" i="1"/>
  <c r="L231" i="1"/>
  <c r="M231" i="1"/>
  <c r="N231" i="1"/>
  <c r="O231" i="1"/>
  <c r="P231" i="1"/>
  <c r="Q231" i="1"/>
  <c r="R231" i="1"/>
  <c r="S231" i="1"/>
  <c r="T231" i="1"/>
  <c r="U231" i="1"/>
  <c r="L232" i="1"/>
  <c r="M232" i="1"/>
  <c r="N232" i="1"/>
  <c r="O232" i="1"/>
  <c r="P232" i="1"/>
  <c r="Q232" i="1"/>
  <c r="R232" i="1"/>
  <c r="S232" i="1"/>
  <c r="T232" i="1"/>
  <c r="U232" i="1"/>
  <c r="L233" i="1"/>
  <c r="M233" i="1"/>
  <c r="N233" i="1"/>
  <c r="O233" i="1"/>
  <c r="P233" i="1"/>
  <c r="Q233" i="1"/>
  <c r="R233" i="1"/>
  <c r="S233" i="1"/>
  <c r="T233" i="1"/>
  <c r="U233" i="1"/>
  <c r="L234" i="1"/>
  <c r="M234" i="1"/>
  <c r="N234" i="1"/>
  <c r="O234" i="1"/>
  <c r="P234" i="1"/>
  <c r="Q234" i="1"/>
  <c r="R234" i="1"/>
  <c r="S234" i="1"/>
  <c r="T234" i="1"/>
  <c r="U234" i="1"/>
  <c r="L235" i="1"/>
  <c r="M235" i="1"/>
  <c r="N235" i="1"/>
  <c r="O235" i="1"/>
  <c r="P235" i="1"/>
  <c r="Q235" i="1"/>
  <c r="R235" i="1"/>
  <c r="S235" i="1"/>
  <c r="T235" i="1"/>
  <c r="U235" i="1"/>
  <c r="L236" i="1"/>
  <c r="M236" i="1"/>
  <c r="N236" i="1"/>
  <c r="O236" i="1"/>
  <c r="P236" i="1"/>
  <c r="Q236" i="1"/>
  <c r="R236" i="1"/>
  <c r="S236" i="1"/>
  <c r="T236" i="1"/>
  <c r="U236" i="1"/>
  <c r="L237" i="1"/>
  <c r="M237" i="1"/>
  <c r="N237" i="1"/>
  <c r="O237" i="1"/>
  <c r="P237" i="1"/>
  <c r="Q237" i="1"/>
  <c r="R237" i="1"/>
  <c r="S237" i="1"/>
  <c r="T237" i="1"/>
  <c r="U237" i="1"/>
  <c r="L238" i="1"/>
  <c r="M238" i="1"/>
  <c r="N238" i="1"/>
  <c r="O238" i="1"/>
  <c r="P238" i="1"/>
  <c r="Q238" i="1"/>
  <c r="R238" i="1"/>
  <c r="S238" i="1"/>
  <c r="T238" i="1"/>
  <c r="U238" i="1"/>
  <c r="L239" i="1"/>
  <c r="M239" i="1"/>
  <c r="N239" i="1"/>
  <c r="O239" i="1"/>
  <c r="P239" i="1"/>
  <c r="Q239" i="1"/>
  <c r="R239" i="1"/>
  <c r="S239" i="1"/>
  <c r="T239" i="1"/>
  <c r="U239" i="1"/>
  <c r="L240" i="1"/>
  <c r="M240" i="1"/>
  <c r="N240" i="1"/>
  <c r="O240" i="1"/>
  <c r="P240" i="1"/>
  <c r="Q240" i="1"/>
  <c r="R240" i="1"/>
  <c r="S240" i="1"/>
  <c r="T240" i="1"/>
  <c r="U240" i="1"/>
  <c r="L241" i="1"/>
  <c r="M241" i="1"/>
  <c r="N241" i="1"/>
  <c r="O241" i="1"/>
  <c r="P241" i="1"/>
  <c r="Q241" i="1"/>
  <c r="R241" i="1"/>
  <c r="S241" i="1"/>
  <c r="T241" i="1"/>
  <c r="U241" i="1"/>
  <c r="L242" i="1"/>
  <c r="M242" i="1"/>
  <c r="N242" i="1"/>
  <c r="O242" i="1"/>
  <c r="P242" i="1"/>
  <c r="Q242" i="1"/>
  <c r="R242" i="1"/>
  <c r="S242" i="1"/>
  <c r="T242" i="1"/>
  <c r="U242" i="1"/>
  <c r="L243" i="1"/>
  <c r="M243" i="1"/>
  <c r="N243" i="1"/>
  <c r="O243" i="1"/>
  <c r="P243" i="1"/>
  <c r="Q243" i="1"/>
  <c r="R243" i="1"/>
  <c r="S243" i="1"/>
  <c r="T243" i="1"/>
  <c r="U243" i="1"/>
  <c r="L244" i="1"/>
  <c r="M244" i="1"/>
  <c r="N244" i="1"/>
  <c r="O244" i="1"/>
  <c r="P244" i="1"/>
  <c r="Q244" i="1"/>
  <c r="R244" i="1"/>
  <c r="S244" i="1"/>
  <c r="T244" i="1"/>
  <c r="U244" i="1"/>
  <c r="L245" i="1"/>
  <c r="M245" i="1"/>
  <c r="N245" i="1"/>
  <c r="O245" i="1"/>
  <c r="P245" i="1"/>
  <c r="Q245" i="1"/>
  <c r="R245" i="1"/>
  <c r="S245" i="1"/>
  <c r="T245" i="1"/>
  <c r="U245" i="1"/>
  <c r="L246" i="1"/>
  <c r="M246" i="1"/>
  <c r="N246" i="1"/>
  <c r="O246" i="1"/>
  <c r="P246" i="1"/>
  <c r="Q246" i="1"/>
  <c r="R246" i="1"/>
  <c r="S246" i="1"/>
  <c r="T246" i="1"/>
  <c r="U246" i="1"/>
  <c r="L247" i="1"/>
  <c r="M247" i="1"/>
  <c r="N247" i="1"/>
  <c r="O247" i="1"/>
  <c r="P247" i="1"/>
  <c r="Q247" i="1"/>
  <c r="R247" i="1"/>
  <c r="S247" i="1"/>
  <c r="T247" i="1"/>
  <c r="U247" i="1"/>
  <c r="L248" i="1"/>
  <c r="M248" i="1"/>
  <c r="N248" i="1"/>
  <c r="O248" i="1"/>
  <c r="P248" i="1"/>
  <c r="Q248" i="1"/>
  <c r="R248" i="1"/>
  <c r="S248" i="1"/>
  <c r="T248" i="1"/>
  <c r="U248" i="1"/>
  <c r="L249" i="1"/>
  <c r="M249" i="1"/>
  <c r="N249" i="1"/>
  <c r="O249" i="1"/>
  <c r="P249" i="1"/>
  <c r="Q249" i="1"/>
  <c r="R249" i="1"/>
  <c r="S249" i="1"/>
  <c r="T249" i="1"/>
  <c r="U249" i="1"/>
  <c r="L250" i="1"/>
  <c r="M250" i="1"/>
  <c r="N250" i="1"/>
  <c r="O250" i="1"/>
  <c r="P250" i="1"/>
  <c r="Q250" i="1"/>
  <c r="R250" i="1"/>
  <c r="S250" i="1"/>
  <c r="T250" i="1"/>
  <c r="U250" i="1"/>
  <c r="L251" i="1"/>
  <c r="M251" i="1"/>
  <c r="N251" i="1"/>
  <c r="O251" i="1"/>
  <c r="P251" i="1"/>
  <c r="Q251" i="1"/>
  <c r="R251" i="1"/>
  <c r="S251" i="1"/>
  <c r="T251" i="1"/>
  <c r="U251" i="1"/>
  <c r="L252" i="1"/>
  <c r="M252" i="1"/>
  <c r="N252" i="1"/>
  <c r="O252" i="1"/>
  <c r="P252" i="1"/>
  <c r="Q252" i="1"/>
  <c r="R252" i="1"/>
  <c r="S252" i="1"/>
  <c r="T252" i="1"/>
  <c r="U252" i="1"/>
  <c r="L253" i="1"/>
  <c r="M253" i="1"/>
  <c r="N253" i="1"/>
  <c r="O253" i="1"/>
  <c r="P253" i="1"/>
  <c r="Q253" i="1"/>
  <c r="R253" i="1"/>
  <c r="S253" i="1"/>
  <c r="T253" i="1"/>
  <c r="U253" i="1"/>
  <c r="L254" i="1"/>
  <c r="M254" i="1"/>
  <c r="N254" i="1"/>
  <c r="O254" i="1"/>
  <c r="P254" i="1"/>
  <c r="Q254" i="1"/>
  <c r="R254" i="1"/>
  <c r="S254" i="1"/>
  <c r="T254" i="1"/>
  <c r="U254" i="1"/>
  <c r="L255" i="1"/>
  <c r="M255" i="1"/>
  <c r="N255" i="1"/>
  <c r="O255" i="1"/>
  <c r="P255" i="1"/>
  <c r="Q255" i="1"/>
  <c r="R255" i="1"/>
  <c r="S255" i="1"/>
  <c r="T255" i="1"/>
  <c r="U255" i="1"/>
  <c r="L256" i="1"/>
  <c r="M256" i="1"/>
  <c r="N256" i="1"/>
  <c r="O256" i="1"/>
  <c r="P256" i="1"/>
  <c r="Q256" i="1"/>
  <c r="R256" i="1"/>
  <c r="S256" i="1"/>
  <c r="T256" i="1"/>
  <c r="U256" i="1"/>
  <c r="L257" i="1"/>
  <c r="M257" i="1"/>
  <c r="N257" i="1"/>
  <c r="O257" i="1"/>
  <c r="P257" i="1"/>
  <c r="Q257" i="1"/>
  <c r="R257" i="1"/>
  <c r="S257" i="1"/>
  <c r="T257" i="1"/>
  <c r="U257" i="1"/>
  <c r="L258" i="1"/>
  <c r="M258" i="1"/>
  <c r="N258" i="1"/>
  <c r="O258" i="1"/>
  <c r="P258" i="1"/>
  <c r="Q258" i="1"/>
  <c r="R258" i="1"/>
  <c r="S258" i="1"/>
  <c r="T258" i="1"/>
  <c r="U258" i="1"/>
  <c r="L259" i="1"/>
  <c r="M259" i="1"/>
  <c r="N259" i="1"/>
  <c r="O259" i="1"/>
  <c r="P259" i="1"/>
  <c r="Q259" i="1"/>
  <c r="R259" i="1"/>
  <c r="S259" i="1"/>
  <c r="T259" i="1"/>
  <c r="U259" i="1"/>
  <c r="L260" i="1"/>
  <c r="M260" i="1"/>
  <c r="N260" i="1"/>
  <c r="O260" i="1"/>
  <c r="P260" i="1"/>
  <c r="Q260" i="1"/>
  <c r="R260" i="1"/>
  <c r="S260" i="1"/>
  <c r="T260" i="1"/>
  <c r="U260" i="1"/>
  <c r="L261" i="1"/>
  <c r="M261" i="1"/>
  <c r="N261" i="1"/>
  <c r="O261" i="1"/>
  <c r="P261" i="1"/>
  <c r="Q261" i="1"/>
  <c r="R261" i="1"/>
  <c r="S261" i="1"/>
  <c r="T261" i="1"/>
  <c r="U261" i="1"/>
  <c r="L262" i="1"/>
  <c r="M262" i="1"/>
  <c r="N262" i="1"/>
  <c r="O262" i="1"/>
  <c r="P262" i="1"/>
  <c r="Q262" i="1"/>
  <c r="R262" i="1"/>
  <c r="S262" i="1"/>
  <c r="T262" i="1"/>
  <c r="U262" i="1"/>
  <c r="L263" i="1"/>
  <c r="M263" i="1"/>
  <c r="N263" i="1"/>
  <c r="O263" i="1"/>
  <c r="P263" i="1"/>
  <c r="Q263" i="1"/>
  <c r="R263" i="1"/>
  <c r="S263" i="1"/>
  <c r="T263" i="1"/>
  <c r="U263" i="1"/>
  <c r="L264" i="1"/>
  <c r="M264" i="1"/>
  <c r="N264" i="1"/>
  <c r="O264" i="1"/>
  <c r="P264" i="1"/>
  <c r="Q264" i="1"/>
  <c r="R264" i="1"/>
  <c r="S264" i="1"/>
  <c r="T264" i="1"/>
  <c r="U264" i="1"/>
  <c r="L265" i="1"/>
  <c r="M265" i="1"/>
  <c r="N265" i="1"/>
  <c r="O265" i="1"/>
  <c r="P265" i="1"/>
  <c r="Q265" i="1"/>
  <c r="R265" i="1"/>
  <c r="S265" i="1"/>
  <c r="T265" i="1"/>
  <c r="U265" i="1"/>
  <c r="L266" i="1"/>
  <c r="M266" i="1"/>
  <c r="N266" i="1"/>
  <c r="O266" i="1"/>
  <c r="P266" i="1"/>
  <c r="Q266" i="1"/>
  <c r="R266" i="1"/>
  <c r="S266" i="1"/>
  <c r="T266" i="1"/>
  <c r="U266" i="1"/>
  <c r="L267" i="1"/>
  <c r="M267" i="1"/>
  <c r="N267" i="1"/>
  <c r="O267" i="1"/>
  <c r="P267" i="1"/>
  <c r="Q267" i="1"/>
  <c r="R267" i="1"/>
  <c r="S267" i="1"/>
  <c r="T267" i="1"/>
  <c r="U267" i="1"/>
  <c r="L268" i="1"/>
  <c r="M268" i="1"/>
  <c r="N268" i="1"/>
  <c r="O268" i="1"/>
  <c r="P268" i="1"/>
  <c r="Q268" i="1"/>
  <c r="R268" i="1"/>
  <c r="S268" i="1"/>
  <c r="T268" i="1"/>
  <c r="U268" i="1"/>
  <c r="L269" i="1"/>
  <c r="M269" i="1"/>
  <c r="N269" i="1"/>
  <c r="O269" i="1"/>
  <c r="P269" i="1"/>
  <c r="Q269" i="1"/>
  <c r="R269" i="1"/>
  <c r="S269" i="1"/>
  <c r="T269" i="1"/>
  <c r="U269" i="1"/>
  <c r="L270" i="1"/>
  <c r="M270" i="1"/>
  <c r="N270" i="1"/>
  <c r="O270" i="1"/>
  <c r="P270" i="1"/>
  <c r="Q270" i="1"/>
  <c r="R270" i="1"/>
  <c r="S270" i="1"/>
  <c r="T270" i="1"/>
  <c r="U270" i="1"/>
  <c r="L271" i="1"/>
  <c r="M271" i="1"/>
  <c r="N271" i="1"/>
  <c r="O271" i="1"/>
  <c r="P271" i="1"/>
  <c r="Q271" i="1"/>
  <c r="R271" i="1"/>
  <c r="S271" i="1"/>
  <c r="T271" i="1"/>
  <c r="U271" i="1"/>
  <c r="L272" i="1"/>
  <c r="M272" i="1"/>
  <c r="N272" i="1"/>
  <c r="O272" i="1"/>
  <c r="P272" i="1"/>
  <c r="Q272" i="1"/>
  <c r="R272" i="1"/>
  <c r="S272" i="1"/>
  <c r="T272" i="1"/>
  <c r="U272" i="1"/>
  <c r="L273" i="1"/>
  <c r="M273" i="1"/>
  <c r="N273" i="1"/>
  <c r="O273" i="1"/>
  <c r="P273" i="1"/>
  <c r="Q273" i="1"/>
  <c r="R273" i="1"/>
  <c r="S273" i="1"/>
  <c r="T273" i="1"/>
  <c r="U273" i="1"/>
  <c r="L274" i="1"/>
  <c r="M274" i="1"/>
  <c r="N274" i="1"/>
  <c r="O274" i="1"/>
  <c r="P274" i="1"/>
  <c r="Q274" i="1"/>
  <c r="R274" i="1"/>
  <c r="S274" i="1"/>
  <c r="T274" i="1"/>
  <c r="U274" i="1"/>
  <c r="L275" i="1"/>
  <c r="M275" i="1"/>
  <c r="N275" i="1"/>
  <c r="O275" i="1"/>
  <c r="P275" i="1"/>
  <c r="Q275" i="1"/>
  <c r="R275" i="1"/>
  <c r="S275" i="1"/>
  <c r="T275" i="1"/>
  <c r="U275" i="1"/>
  <c r="L276" i="1"/>
  <c r="M276" i="1"/>
  <c r="N276" i="1"/>
  <c r="O276" i="1"/>
  <c r="P276" i="1"/>
  <c r="Q276" i="1"/>
  <c r="R276" i="1"/>
  <c r="S276" i="1"/>
  <c r="T276" i="1"/>
  <c r="U276" i="1"/>
  <c r="L277" i="1"/>
  <c r="M277" i="1"/>
  <c r="N277" i="1"/>
  <c r="O277" i="1"/>
  <c r="P277" i="1"/>
  <c r="Q277" i="1"/>
  <c r="R277" i="1"/>
  <c r="S277" i="1"/>
  <c r="T277" i="1"/>
  <c r="U277" i="1"/>
  <c r="L278" i="1"/>
  <c r="M278" i="1"/>
  <c r="N278" i="1"/>
  <c r="O278" i="1"/>
  <c r="P278" i="1"/>
  <c r="Q278" i="1"/>
  <c r="R278" i="1"/>
  <c r="S278" i="1"/>
  <c r="T278" i="1"/>
  <c r="U278" i="1"/>
  <c r="L279" i="1"/>
  <c r="M279" i="1"/>
  <c r="N279" i="1"/>
  <c r="O279" i="1"/>
  <c r="P279" i="1"/>
  <c r="Q279" i="1"/>
  <c r="R279" i="1"/>
  <c r="S279" i="1"/>
  <c r="T279" i="1"/>
  <c r="U279" i="1"/>
  <c r="L280" i="1"/>
  <c r="M280" i="1"/>
  <c r="N280" i="1"/>
  <c r="O280" i="1"/>
  <c r="P280" i="1"/>
  <c r="Q280" i="1"/>
  <c r="R280" i="1"/>
  <c r="S280" i="1"/>
  <c r="T280" i="1"/>
  <c r="U280" i="1"/>
  <c r="L281" i="1"/>
  <c r="M281" i="1"/>
  <c r="N281" i="1"/>
  <c r="O281" i="1"/>
  <c r="P281" i="1"/>
  <c r="Q281" i="1"/>
  <c r="R281" i="1"/>
  <c r="S281" i="1"/>
  <c r="T281" i="1"/>
  <c r="U281" i="1"/>
  <c r="L282" i="1"/>
  <c r="M282" i="1"/>
  <c r="N282" i="1"/>
  <c r="O282" i="1"/>
  <c r="P282" i="1"/>
  <c r="Q282" i="1"/>
  <c r="R282" i="1"/>
  <c r="S282" i="1"/>
  <c r="T282" i="1"/>
  <c r="U282" i="1"/>
  <c r="L283" i="1"/>
  <c r="M283" i="1"/>
  <c r="N283" i="1"/>
  <c r="O283" i="1"/>
  <c r="P283" i="1"/>
  <c r="Q283" i="1"/>
  <c r="R283" i="1"/>
  <c r="S283" i="1"/>
  <c r="T283" i="1"/>
  <c r="U283" i="1"/>
  <c r="L284" i="1"/>
  <c r="M284" i="1"/>
  <c r="N284" i="1"/>
  <c r="O284" i="1"/>
  <c r="P284" i="1"/>
  <c r="Q284" i="1"/>
  <c r="R284" i="1"/>
  <c r="S284" i="1"/>
  <c r="T284" i="1"/>
  <c r="U284" i="1"/>
  <c r="L285" i="1"/>
  <c r="M285" i="1"/>
  <c r="N285" i="1"/>
  <c r="O285" i="1"/>
  <c r="P285" i="1"/>
  <c r="Q285" i="1"/>
  <c r="R285" i="1"/>
  <c r="S285" i="1"/>
  <c r="T285" i="1"/>
  <c r="U285" i="1"/>
  <c r="L286" i="1"/>
  <c r="M286" i="1"/>
  <c r="N286" i="1"/>
  <c r="O286" i="1"/>
  <c r="P286" i="1"/>
  <c r="Q286" i="1"/>
  <c r="R286" i="1"/>
  <c r="S286" i="1"/>
  <c r="T286" i="1"/>
  <c r="U286" i="1"/>
  <c r="L287" i="1"/>
  <c r="M287" i="1"/>
  <c r="N287" i="1"/>
  <c r="O287" i="1"/>
  <c r="P287" i="1"/>
  <c r="Q287" i="1"/>
  <c r="R287" i="1"/>
  <c r="S287" i="1"/>
  <c r="T287" i="1"/>
  <c r="U287" i="1"/>
  <c r="L288" i="1"/>
  <c r="M288" i="1"/>
  <c r="N288" i="1"/>
  <c r="O288" i="1"/>
  <c r="P288" i="1"/>
  <c r="Q288" i="1"/>
  <c r="R288" i="1"/>
  <c r="S288" i="1"/>
  <c r="T288" i="1"/>
  <c r="U288" i="1"/>
  <c r="L289" i="1"/>
  <c r="M289" i="1"/>
  <c r="N289" i="1"/>
  <c r="O289" i="1"/>
  <c r="P289" i="1"/>
  <c r="Q289" i="1"/>
  <c r="R289" i="1"/>
  <c r="S289" i="1"/>
  <c r="T289" i="1"/>
  <c r="U289" i="1"/>
  <c r="L290" i="1"/>
  <c r="M290" i="1"/>
  <c r="N290" i="1"/>
  <c r="O290" i="1"/>
  <c r="P290" i="1"/>
  <c r="Q290" i="1"/>
  <c r="R290" i="1"/>
  <c r="S290" i="1"/>
  <c r="T290" i="1"/>
  <c r="U290" i="1"/>
  <c r="L291" i="1"/>
  <c r="M291" i="1"/>
  <c r="N291" i="1"/>
  <c r="O291" i="1"/>
  <c r="P291" i="1"/>
  <c r="Q291" i="1"/>
  <c r="R291" i="1"/>
  <c r="S291" i="1"/>
  <c r="T291" i="1"/>
  <c r="U291" i="1"/>
  <c r="L292" i="1"/>
  <c r="M292" i="1"/>
  <c r="N292" i="1"/>
  <c r="O292" i="1"/>
  <c r="P292" i="1"/>
  <c r="Q292" i="1"/>
  <c r="R292" i="1"/>
  <c r="S292" i="1"/>
  <c r="T292" i="1"/>
  <c r="U292" i="1"/>
  <c r="L293" i="1"/>
  <c r="M293" i="1"/>
  <c r="N293" i="1"/>
  <c r="O293" i="1"/>
  <c r="P293" i="1"/>
  <c r="Q293" i="1"/>
  <c r="R293" i="1"/>
  <c r="S293" i="1"/>
  <c r="T293" i="1"/>
  <c r="U293" i="1"/>
  <c r="L294" i="1"/>
  <c r="M294" i="1"/>
  <c r="N294" i="1"/>
  <c r="O294" i="1"/>
  <c r="P294" i="1"/>
  <c r="Q294" i="1"/>
  <c r="R294" i="1"/>
  <c r="S294" i="1"/>
  <c r="T294" i="1"/>
  <c r="U294" i="1"/>
  <c r="L295" i="1"/>
  <c r="M295" i="1"/>
  <c r="N295" i="1"/>
  <c r="O295" i="1"/>
  <c r="P295" i="1"/>
  <c r="Q295" i="1"/>
  <c r="R295" i="1"/>
  <c r="S295" i="1"/>
  <c r="T295" i="1"/>
  <c r="U295" i="1"/>
  <c r="L296" i="1"/>
  <c r="M296" i="1"/>
  <c r="N296" i="1"/>
  <c r="O296" i="1"/>
  <c r="P296" i="1"/>
  <c r="Q296" i="1"/>
  <c r="R296" i="1"/>
  <c r="S296" i="1"/>
  <c r="T296" i="1"/>
  <c r="U296" i="1"/>
  <c r="L297" i="1"/>
  <c r="M297" i="1"/>
  <c r="N297" i="1"/>
  <c r="O297" i="1"/>
  <c r="P297" i="1"/>
  <c r="Q297" i="1"/>
  <c r="R297" i="1"/>
  <c r="S297" i="1"/>
  <c r="T297" i="1"/>
  <c r="U297" i="1"/>
  <c r="L298" i="1"/>
  <c r="M298" i="1"/>
  <c r="N298" i="1"/>
  <c r="O298" i="1"/>
  <c r="P298" i="1"/>
  <c r="Q298" i="1"/>
  <c r="R298" i="1"/>
  <c r="S298" i="1"/>
  <c r="T298" i="1"/>
  <c r="U298" i="1"/>
  <c r="L299" i="1"/>
  <c r="M299" i="1"/>
  <c r="N299" i="1"/>
  <c r="O299" i="1"/>
  <c r="P299" i="1"/>
  <c r="Q299" i="1"/>
  <c r="R299" i="1"/>
  <c r="S299" i="1"/>
  <c r="T299" i="1"/>
  <c r="U299" i="1"/>
  <c r="L300" i="1"/>
  <c r="M300" i="1"/>
  <c r="N300" i="1"/>
  <c r="O300" i="1"/>
  <c r="P300" i="1"/>
  <c r="Q300" i="1"/>
  <c r="R300" i="1"/>
  <c r="S300" i="1"/>
  <c r="T300" i="1"/>
  <c r="U300" i="1"/>
  <c r="L301" i="1"/>
  <c r="M301" i="1"/>
  <c r="N301" i="1"/>
  <c r="O301" i="1"/>
  <c r="P301" i="1"/>
  <c r="Q301" i="1"/>
  <c r="R301" i="1"/>
  <c r="S301" i="1"/>
  <c r="T301" i="1"/>
  <c r="U301" i="1"/>
  <c r="L302" i="1"/>
  <c r="M302" i="1"/>
  <c r="N302" i="1"/>
  <c r="O302" i="1"/>
  <c r="P302" i="1"/>
  <c r="Q302" i="1"/>
  <c r="R302" i="1"/>
  <c r="S302" i="1"/>
  <c r="T302" i="1"/>
  <c r="U302" i="1"/>
  <c r="L303" i="1"/>
  <c r="M303" i="1"/>
  <c r="N303" i="1"/>
  <c r="O303" i="1"/>
  <c r="P303" i="1"/>
  <c r="Q303" i="1"/>
  <c r="R303" i="1"/>
  <c r="S303" i="1"/>
  <c r="T303" i="1"/>
  <c r="U303" i="1"/>
  <c r="L304" i="1"/>
  <c r="M304" i="1"/>
  <c r="N304" i="1"/>
  <c r="O304" i="1"/>
  <c r="P304" i="1"/>
  <c r="Q304" i="1"/>
  <c r="R304" i="1"/>
  <c r="S304" i="1"/>
  <c r="T304" i="1"/>
  <c r="U304" i="1"/>
  <c r="L305" i="1"/>
  <c r="M305" i="1"/>
  <c r="N305" i="1"/>
  <c r="O305" i="1"/>
  <c r="P305" i="1"/>
  <c r="Q305" i="1"/>
  <c r="R305" i="1"/>
  <c r="S305" i="1"/>
  <c r="T305" i="1"/>
  <c r="U305" i="1"/>
  <c r="L306" i="1"/>
  <c r="M306" i="1"/>
  <c r="N306" i="1"/>
  <c r="O306" i="1"/>
  <c r="P306" i="1"/>
  <c r="Q306" i="1"/>
  <c r="R306" i="1"/>
  <c r="S306" i="1"/>
  <c r="T306" i="1"/>
  <c r="U306" i="1"/>
  <c r="L307" i="1"/>
  <c r="M307" i="1"/>
  <c r="N307" i="1"/>
  <c r="O307" i="1"/>
  <c r="P307" i="1"/>
  <c r="Q307" i="1"/>
  <c r="R307" i="1"/>
  <c r="S307" i="1"/>
  <c r="T307" i="1"/>
  <c r="U307" i="1"/>
  <c r="L308" i="1"/>
  <c r="M308" i="1"/>
  <c r="N308" i="1"/>
  <c r="O308" i="1"/>
  <c r="P308" i="1"/>
  <c r="Q308" i="1"/>
  <c r="R308" i="1"/>
  <c r="S308" i="1"/>
  <c r="T308" i="1"/>
  <c r="U308" i="1"/>
  <c r="L309" i="1"/>
  <c r="M309" i="1"/>
  <c r="N309" i="1"/>
  <c r="O309" i="1"/>
  <c r="P309" i="1"/>
  <c r="Q309" i="1"/>
  <c r="R309" i="1"/>
  <c r="S309" i="1"/>
  <c r="T309" i="1"/>
  <c r="U309" i="1"/>
  <c r="L310" i="1"/>
  <c r="M310" i="1"/>
  <c r="N310" i="1"/>
  <c r="O310" i="1"/>
  <c r="P310" i="1"/>
  <c r="Q310" i="1"/>
  <c r="R310" i="1"/>
  <c r="S310" i="1"/>
  <c r="T310" i="1"/>
  <c r="U310" i="1"/>
  <c r="L311" i="1"/>
  <c r="M311" i="1"/>
  <c r="N311" i="1"/>
  <c r="O311" i="1"/>
  <c r="P311" i="1"/>
  <c r="Q311" i="1"/>
  <c r="R311" i="1"/>
  <c r="S311" i="1"/>
  <c r="T311" i="1"/>
  <c r="U311" i="1"/>
  <c r="L312" i="1"/>
  <c r="M312" i="1"/>
  <c r="N312" i="1"/>
  <c r="O312" i="1"/>
  <c r="P312" i="1"/>
  <c r="Q312" i="1"/>
  <c r="R312" i="1"/>
  <c r="S312" i="1"/>
  <c r="T312" i="1"/>
  <c r="U312" i="1"/>
  <c r="L313" i="1"/>
  <c r="M313" i="1"/>
  <c r="N313" i="1"/>
  <c r="O313" i="1"/>
  <c r="P313" i="1"/>
  <c r="Q313" i="1"/>
  <c r="R313" i="1"/>
  <c r="S313" i="1"/>
  <c r="T313" i="1"/>
  <c r="U313" i="1"/>
  <c r="L314" i="1"/>
  <c r="M314" i="1"/>
  <c r="N314" i="1"/>
  <c r="O314" i="1"/>
  <c r="P314" i="1"/>
  <c r="Q314" i="1"/>
  <c r="R314" i="1"/>
  <c r="S314" i="1"/>
  <c r="T314" i="1"/>
  <c r="U314" i="1"/>
  <c r="L315" i="1"/>
  <c r="M315" i="1"/>
  <c r="N315" i="1"/>
  <c r="O315" i="1"/>
  <c r="P315" i="1"/>
  <c r="Q315" i="1"/>
  <c r="R315" i="1"/>
  <c r="S315" i="1"/>
  <c r="T315" i="1"/>
  <c r="U315" i="1"/>
  <c r="L316" i="1"/>
  <c r="M316" i="1"/>
  <c r="N316" i="1"/>
  <c r="O316" i="1"/>
  <c r="P316" i="1"/>
  <c r="Q316" i="1"/>
  <c r="R316" i="1"/>
  <c r="S316" i="1"/>
  <c r="T316" i="1"/>
  <c r="U316" i="1"/>
  <c r="L317" i="1"/>
  <c r="M317" i="1"/>
  <c r="N317" i="1"/>
  <c r="O317" i="1"/>
  <c r="P317" i="1"/>
  <c r="Q317" i="1"/>
  <c r="R317" i="1"/>
  <c r="S317" i="1"/>
  <c r="T317" i="1"/>
  <c r="U317" i="1"/>
  <c r="L318" i="1"/>
  <c r="M318" i="1"/>
  <c r="N318" i="1"/>
  <c r="O318" i="1"/>
  <c r="P318" i="1"/>
  <c r="Q318" i="1"/>
  <c r="R318" i="1"/>
  <c r="S318" i="1"/>
  <c r="T318" i="1"/>
  <c r="U318" i="1"/>
  <c r="L319" i="1"/>
  <c r="M319" i="1"/>
  <c r="N319" i="1"/>
  <c r="O319" i="1"/>
  <c r="P319" i="1"/>
  <c r="Q319" i="1"/>
  <c r="R319" i="1"/>
  <c r="S319" i="1"/>
  <c r="T319" i="1"/>
  <c r="U319" i="1"/>
  <c r="L320" i="1"/>
  <c r="M320" i="1"/>
  <c r="N320" i="1"/>
  <c r="O320" i="1"/>
  <c r="P320" i="1"/>
  <c r="Q320" i="1"/>
  <c r="R320" i="1"/>
  <c r="S320" i="1"/>
  <c r="T320" i="1"/>
  <c r="U320" i="1"/>
  <c r="L321" i="1"/>
  <c r="M321" i="1"/>
  <c r="N321" i="1"/>
  <c r="O321" i="1"/>
  <c r="P321" i="1"/>
  <c r="Q321" i="1"/>
  <c r="R321" i="1"/>
  <c r="S321" i="1"/>
  <c r="T321" i="1"/>
  <c r="U321" i="1"/>
  <c r="L322" i="1"/>
  <c r="M322" i="1"/>
  <c r="N322" i="1"/>
  <c r="O322" i="1"/>
  <c r="P322" i="1"/>
  <c r="Q322" i="1"/>
  <c r="R322" i="1"/>
  <c r="S322" i="1"/>
  <c r="T322" i="1"/>
  <c r="U322" i="1"/>
  <c r="L323" i="1"/>
  <c r="M323" i="1"/>
  <c r="N323" i="1"/>
  <c r="O323" i="1"/>
  <c r="P323" i="1"/>
  <c r="Q323" i="1"/>
  <c r="R323" i="1"/>
  <c r="S323" i="1"/>
  <c r="T323" i="1"/>
  <c r="U323" i="1"/>
  <c r="L324" i="1"/>
  <c r="M324" i="1"/>
  <c r="N324" i="1"/>
  <c r="O324" i="1"/>
  <c r="P324" i="1"/>
  <c r="Q324" i="1"/>
  <c r="R324" i="1"/>
  <c r="S324" i="1"/>
  <c r="T324" i="1"/>
  <c r="U324" i="1"/>
  <c r="L325" i="1"/>
  <c r="M325" i="1"/>
  <c r="N325" i="1"/>
  <c r="O325" i="1"/>
  <c r="P325" i="1"/>
  <c r="Q325" i="1"/>
  <c r="R325" i="1"/>
  <c r="S325" i="1"/>
  <c r="T325" i="1"/>
  <c r="U325" i="1"/>
  <c r="L326" i="1"/>
  <c r="M326" i="1"/>
  <c r="N326" i="1"/>
  <c r="O326" i="1"/>
  <c r="P326" i="1"/>
  <c r="Q326" i="1"/>
  <c r="R326" i="1"/>
  <c r="S326" i="1"/>
  <c r="T326" i="1"/>
  <c r="U326" i="1"/>
  <c r="L327" i="1"/>
  <c r="M327" i="1"/>
  <c r="N327" i="1"/>
  <c r="O327" i="1"/>
  <c r="P327" i="1"/>
  <c r="Q327" i="1"/>
  <c r="R327" i="1"/>
  <c r="S327" i="1"/>
  <c r="T327" i="1"/>
  <c r="U327" i="1"/>
  <c r="L328" i="1"/>
  <c r="M328" i="1"/>
  <c r="N328" i="1"/>
  <c r="O328" i="1"/>
  <c r="P328" i="1"/>
  <c r="Q328" i="1"/>
  <c r="R328" i="1"/>
  <c r="S328" i="1"/>
  <c r="T328" i="1"/>
  <c r="U328" i="1"/>
  <c r="L329" i="1"/>
  <c r="M329" i="1"/>
  <c r="N329" i="1"/>
  <c r="O329" i="1"/>
  <c r="P329" i="1"/>
  <c r="Q329" i="1"/>
  <c r="R329" i="1"/>
  <c r="S329" i="1"/>
  <c r="T329" i="1"/>
  <c r="U329" i="1"/>
  <c r="L330" i="1"/>
  <c r="M330" i="1"/>
  <c r="N330" i="1"/>
  <c r="O330" i="1"/>
  <c r="P330" i="1"/>
  <c r="Q330" i="1"/>
  <c r="R330" i="1"/>
  <c r="S330" i="1"/>
  <c r="T330" i="1"/>
  <c r="U330" i="1"/>
  <c r="L331" i="1"/>
  <c r="M331" i="1"/>
  <c r="N331" i="1"/>
  <c r="O331" i="1"/>
  <c r="P331" i="1"/>
  <c r="Q331" i="1"/>
  <c r="R331" i="1"/>
  <c r="S331" i="1"/>
  <c r="T331" i="1"/>
  <c r="U331" i="1"/>
  <c r="L332" i="1"/>
  <c r="M332" i="1"/>
  <c r="N332" i="1"/>
  <c r="O332" i="1"/>
  <c r="P332" i="1"/>
  <c r="Q332" i="1"/>
  <c r="R332" i="1"/>
  <c r="S332" i="1"/>
  <c r="T332" i="1"/>
  <c r="U332" i="1"/>
  <c r="L333" i="1"/>
  <c r="M333" i="1"/>
  <c r="N333" i="1"/>
  <c r="O333" i="1"/>
  <c r="P333" i="1"/>
  <c r="Q333" i="1"/>
  <c r="R333" i="1"/>
  <c r="S333" i="1"/>
  <c r="T333" i="1"/>
  <c r="U333" i="1"/>
  <c r="L334" i="1"/>
  <c r="M334" i="1"/>
  <c r="N334" i="1"/>
  <c r="O334" i="1"/>
  <c r="P334" i="1"/>
  <c r="Q334" i="1"/>
  <c r="R334" i="1"/>
  <c r="S334" i="1"/>
  <c r="T334" i="1"/>
  <c r="U334" i="1"/>
  <c r="L335" i="1"/>
  <c r="M335" i="1"/>
  <c r="N335" i="1"/>
  <c r="O335" i="1"/>
  <c r="P335" i="1"/>
  <c r="Q335" i="1"/>
  <c r="R335" i="1"/>
  <c r="S335" i="1"/>
  <c r="T335" i="1"/>
  <c r="U335" i="1"/>
  <c r="L336" i="1"/>
  <c r="M336" i="1"/>
  <c r="N336" i="1"/>
  <c r="O336" i="1"/>
  <c r="P336" i="1"/>
  <c r="Q336" i="1"/>
  <c r="R336" i="1"/>
  <c r="S336" i="1"/>
  <c r="T336" i="1"/>
  <c r="U336" i="1"/>
  <c r="L337" i="1"/>
  <c r="M337" i="1"/>
  <c r="N337" i="1"/>
  <c r="O337" i="1"/>
  <c r="P337" i="1"/>
  <c r="Q337" i="1"/>
  <c r="R337" i="1"/>
  <c r="S337" i="1"/>
  <c r="T337" i="1"/>
  <c r="U337" i="1"/>
  <c r="L338" i="1"/>
  <c r="M338" i="1"/>
  <c r="N338" i="1"/>
  <c r="O338" i="1"/>
  <c r="P338" i="1"/>
  <c r="Q338" i="1"/>
  <c r="R338" i="1"/>
  <c r="S338" i="1"/>
  <c r="T338" i="1"/>
  <c r="U338" i="1"/>
  <c r="L339" i="1"/>
  <c r="M339" i="1"/>
  <c r="N339" i="1"/>
  <c r="O339" i="1"/>
  <c r="P339" i="1"/>
  <c r="Q339" i="1"/>
  <c r="R339" i="1"/>
  <c r="S339" i="1"/>
  <c r="T339" i="1"/>
  <c r="U339" i="1"/>
  <c r="L340" i="1"/>
  <c r="M340" i="1"/>
  <c r="N340" i="1"/>
  <c r="O340" i="1"/>
  <c r="P340" i="1"/>
  <c r="Q340" i="1"/>
  <c r="R340" i="1"/>
  <c r="S340" i="1"/>
  <c r="T340" i="1"/>
  <c r="U340" i="1"/>
  <c r="L341" i="1"/>
  <c r="M341" i="1"/>
  <c r="N341" i="1"/>
  <c r="O341" i="1"/>
  <c r="P341" i="1"/>
  <c r="Q341" i="1"/>
  <c r="R341" i="1"/>
  <c r="S341" i="1"/>
  <c r="T341" i="1"/>
  <c r="U341" i="1"/>
  <c r="L342" i="1"/>
  <c r="M342" i="1"/>
  <c r="N342" i="1"/>
  <c r="O342" i="1"/>
  <c r="P342" i="1"/>
  <c r="Q342" i="1"/>
  <c r="R342" i="1"/>
  <c r="S342" i="1"/>
  <c r="T342" i="1"/>
  <c r="U342" i="1"/>
  <c r="L343" i="1"/>
  <c r="M343" i="1"/>
  <c r="N343" i="1"/>
  <c r="O343" i="1"/>
  <c r="P343" i="1"/>
  <c r="Q343" i="1"/>
  <c r="R343" i="1"/>
  <c r="S343" i="1"/>
  <c r="T343" i="1"/>
  <c r="U343" i="1"/>
  <c r="L344" i="1"/>
  <c r="M344" i="1"/>
  <c r="N344" i="1"/>
  <c r="O344" i="1"/>
  <c r="P344" i="1"/>
  <c r="Q344" i="1"/>
  <c r="R344" i="1"/>
  <c r="S344" i="1"/>
  <c r="T344" i="1"/>
  <c r="U344" i="1"/>
  <c r="L345" i="1"/>
  <c r="M345" i="1"/>
  <c r="N345" i="1"/>
  <c r="O345" i="1"/>
  <c r="P345" i="1"/>
  <c r="Q345" i="1"/>
  <c r="R345" i="1"/>
  <c r="S345" i="1"/>
  <c r="T345" i="1"/>
  <c r="U345" i="1"/>
  <c r="L346" i="1"/>
  <c r="M346" i="1"/>
  <c r="N346" i="1"/>
  <c r="O346" i="1"/>
  <c r="P346" i="1"/>
  <c r="Q346" i="1"/>
  <c r="R346" i="1"/>
  <c r="S346" i="1"/>
  <c r="T346" i="1"/>
  <c r="U346" i="1"/>
  <c r="L347" i="1"/>
  <c r="M347" i="1"/>
  <c r="N347" i="1"/>
  <c r="O347" i="1"/>
  <c r="P347" i="1"/>
  <c r="Q347" i="1"/>
  <c r="R347" i="1"/>
  <c r="S347" i="1"/>
  <c r="T347" i="1"/>
  <c r="U347" i="1"/>
  <c r="L348" i="1"/>
  <c r="M348" i="1"/>
  <c r="N348" i="1"/>
  <c r="O348" i="1"/>
  <c r="P348" i="1"/>
  <c r="Q348" i="1"/>
  <c r="R348" i="1"/>
  <c r="S348" i="1"/>
  <c r="T348" i="1"/>
  <c r="U348" i="1"/>
  <c r="L349" i="1"/>
  <c r="M349" i="1"/>
  <c r="N349" i="1"/>
  <c r="O349" i="1"/>
  <c r="P349" i="1"/>
  <c r="Q349" i="1"/>
  <c r="R349" i="1"/>
  <c r="S349" i="1"/>
  <c r="T349" i="1"/>
  <c r="U349" i="1"/>
  <c r="L350" i="1"/>
  <c r="M350" i="1"/>
  <c r="N350" i="1"/>
  <c r="O350" i="1"/>
  <c r="P350" i="1"/>
  <c r="Q350" i="1"/>
  <c r="R350" i="1"/>
  <c r="S350" i="1"/>
  <c r="T350" i="1"/>
  <c r="U350" i="1"/>
  <c r="L351" i="1"/>
  <c r="M351" i="1"/>
  <c r="N351" i="1"/>
  <c r="O351" i="1"/>
  <c r="P351" i="1"/>
  <c r="Q351" i="1"/>
  <c r="R351" i="1"/>
  <c r="S351" i="1"/>
  <c r="T351" i="1"/>
  <c r="U351" i="1"/>
  <c r="L352" i="1"/>
  <c r="M352" i="1"/>
  <c r="N352" i="1"/>
  <c r="O352" i="1"/>
  <c r="P352" i="1"/>
  <c r="Q352" i="1"/>
  <c r="R352" i="1"/>
  <c r="S352" i="1"/>
  <c r="T352" i="1"/>
  <c r="U352" i="1"/>
  <c r="L353" i="1"/>
  <c r="M353" i="1"/>
  <c r="N353" i="1"/>
  <c r="O353" i="1"/>
  <c r="P353" i="1"/>
  <c r="Q353" i="1"/>
  <c r="R353" i="1"/>
  <c r="S353" i="1"/>
  <c r="T353" i="1"/>
  <c r="U353" i="1"/>
  <c r="L354" i="1"/>
  <c r="M354" i="1"/>
  <c r="N354" i="1"/>
  <c r="O354" i="1"/>
  <c r="P354" i="1"/>
  <c r="Q354" i="1"/>
  <c r="R354" i="1"/>
  <c r="S354" i="1"/>
  <c r="T354" i="1"/>
  <c r="U354" i="1"/>
  <c r="L355" i="1"/>
  <c r="M355" i="1"/>
  <c r="N355" i="1"/>
  <c r="O355" i="1"/>
  <c r="P355" i="1"/>
  <c r="Q355" i="1"/>
  <c r="R355" i="1"/>
  <c r="S355" i="1"/>
  <c r="T355" i="1"/>
  <c r="U355" i="1"/>
  <c r="L356" i="1"/>
  <c r="M356" i="1"/>
  <c r="N356" i="1"/>
  <c r="O356" i="1"/>
  <c r="P356" i="1"/>
  <c r="Q356" i="1"/>
  <c r="R356" i="1"/>
  <c r="S356" i="1"/>
  <c r="T356" i="1"/>
  <c r="U356" i="1"/>
  <c r="L357" i="1"/>
  <c r="M357" i="1"/>
  <c r="N357" i="1"/>
  <c r="O357" i="1"/>
  <c r="P357" i="1"/>
  <c r="Q357" i="1"/>
  <c r="R357" i="1"/>
  <c r="S357" i="1"/>
  <c r="T357" i="1"/>
  <c r="U357" i="1"/>
  <c r="L358" i="1"/>
  <c r="M358" i="1"/>
  <c r="N358" i="1"/>
  <c r="O358" i="1"/>
  <c r="P358" i="1"/>
  <c r="Q358" i="1"/>
  <c r="R358" i="1"/>
  <c r="S358" i="1"/>
  <c r="T358" i="1"/>
  <c r="U358" i="1"/>
  <c r="L359" i="1"/>
  <c r="M359" i="1"/>
  <c r="N359" i="1"/>
  <c r="O359" i="1"/>
  <c r="P359" i="1"/>
  <c r="Q359" i="1"/>
  <c r="R359" i="1"/>
  <c r="S359" i="1"/>
  <c r="T359" i="1"/>
  <c r="U359" i="1"/>
  <c r="L360" i="1"/>
  <c r="M360" i="1"/>
  <c r="N360" i="1"/>
  <c r="O360" i="1"/>
  <c r="P360" i="1"/>
  <c r="Q360" i="1"/>
  <c r="R360" i="1"/>
  <c r="S360" i="1"/>
  <c r="T360" i="1"/>
  <c r="U360" i="1"/>
  <c r="L361" i="1"/>
  <c r="M361" i="1"/>
  <c r="N361" i="1"/>
  <c r="O361" i="1"/>
  <c r="P361" i="1"/>
  <c r="Q361" i="1"/>
  <c r="R361" i="1"/>
  <c r="S361" i="1"/>
  <c r="T361" i="1"/>
  <c r="U361" i="1"/>
  <c r="L362" i="1"/>
  <c r="M362" i="1"/>
  <c r="N362" i="1"/>
  <c r="O362" i="1"/>
  <c r="P362" i="1"/>
  <c r="Q362" i="1"/>
  <c r="R362" i="1"/>
  <c r="S362" i="1"/>
  <c r="T362" i="1"/>
  <c r="U362" i="1"/>
  <c r="L363" i="1"/>
  <c r="M363" i="1"/>
  <c r="N363" i="1"/>
  <c r="O363" i="1"/>
  <c r="P363" i="1"/>
  <c r="Q363" i="1"/>
  <c r="R363" i="1"/>
  <c r="S363" i="1"/>
  <c r="T363" i="1"/>
  <c r="U363" i="1"/>
  <c r="L364" i="1"/>
  <c r="M364" i="1"/>
  <c r="N364" i="1"/>
  <c r="O364" i="1"/>
  <c r="P364" i="1"/>
  <c r="Q364" i="1"/>
  <c r="R364" i="1"/>
  <c r="S364" i="1"/>
  <c r="T364" i="1"/>
  <c r="U364" i="1"/>
  <c r="L365" i="1"/>
  <c r="M365" i="1"/>
  <c r="N365" i="1"/>
  <c r="O365" i="1"/>
  <c r="P365" i="1"/>
  <c r="Q365" i="1"/>
  <c r="R365" i="1"/>
  <c r="S365" i="1"/>
  <c r="T365" i="1"/>
  <c r="U365" i="1"/>
  <c r="L366" i="1"/>
  <c r="M366" i="1"/>
  <c r="N366" i="1"/>
  <c r="O366" i="1"/>
  <c r="P366" i="1"/>
  <c r="Q366" i="1"/>
  <c r="R366" i="1"/>
  <c r="S366" i="1"/>
  <c r="T366" i="1"/>
  <c r="U366" i="1"/>
  <c r="L367" i="1"/>
  <c r="M367" i="1"/>
  <c r="N367" i="1"/>
  <c r="O367" i="1"/>
  <c r="P367" i="1"/>
  <c r="Q367" i="1"/>
  <c r="R367" i="1"/>
  <c r="S367" i="1"/>
  <c r="T367" i="1"/>
  <c r="U367" i="1"/>
  <c r="L368" i="1"/>
  <c r="M368" i="1"/>
  <c r="N368" i="1"/>
  <c r="O368" i="1"/>
  <c r="P368" i="1"/>
  <c r="Q368" i="1"/>
  <c r="R368" i="1"/>
  <c r="S368" i="1"/>
  <c r="T368" i="1"/>
  <c r="U368" i="1"/>
  <c r="L369" i="1"/>
  <c r="M369" i="1"/>
  <c r="N369" i="1"/>
  <c r="O369" i="1"/>
  <c r="P369" i="1"/>
  <c r="Q369" i="1"/>
  <c r="R369" i="1"/>
  <c r="S369" i="1"/>
  <c r="T369" i="1"/>
  <c r="U369" i="1"/>
  <c r="L370" i="1"/>
  <c r="M370" i="1"/>
  <c r="N370" i="1"/>
  <c r="O370" i="1"/>
  <c r="P370" i="1"/>
  <c r="Q370" i="1"/>
  <c r="R370" i="1"/>
  <c r="S370" i="1"/>
  <c r="T370" i="1"/>
  <c r="U370" i="1"/>
  <c r="L371" i="1"/>
  <c r="M371" i="1"/>
  <c r="N371" i="1"/>
  <c r="O371" i="1"/>
  <c r="P371" i="1"/>
  <c r="Q371" i="1"/>
  <c r="R371" i="1"/>
  <c r="S371" i="1"/>
  <c r="T371" i="1"/>
  <c r="U371" i="1"/>
  <c r="L372" i="1"/>
  <c r="M372" i="1"/>
  <c r="N372" i="1"/>
  <c r="O372" i="1"/>
  <c r="P372" i="1"/>
  <c r="Q372" i="1"/>
  <c r="R372" i="1"/>
  <c r="S372" i="1"/>
  <c r="T372" i="1"/>
  <c r="U372" i="1"/>
  <c r="L373" i="1"/>
  <c r="M373" i="1"/>
  <c r="N373" i="1"/>
  <c r="O373" i="1"/>
  <c r="P373" i="1"/>
  <c r="Q373" i="1"/>
  <c r="R373" i="1"/>
  <c r="S373" i="1"/>
  <c r="T373" i="1"/>
  <c r="U373" i="1"/>
  <c r="L374" i="1"/>
  <c r="M374" i="1"/>
  <c r="N374" i="1"/>
  <c r="O374" i="1"/>
  <c r="P374" i="1"/>
  <c r="Q374" i="1"/>
  <c r="R374" i="1"/>
  <c r="S374" i="1"/>
  <c r="T374" i="1"/>
  <c r="U374" i="1"/>
  <c r="L375" i="1"/>
  <c r="M375" i="1"/>
  <c r="N375" i="1"/>
  <c r="O375" i="1"/>
  <c r="P375" i="1"/>
  <c r="Q375" i="1"/>
  <c r="R375" i="1"/>
  <c r="S375" i="1"/>
  <c r="T375" i="1"/>
  <c r="U375" i="1"/>
  <c r="L376" i="1"/>
  <c r="M376" i="1"/>
  <c r="N376" i="1"/>
  <c r="O376" i="1"/>
  <c r="P376" i="1"/>
  <c r="Q376" i="1"/>
  <c r="R376" i="1"/>
  <c r="S376" i="1"/>
  <c r="T376" i="1"/>
  <c r="U376" i="1"/>
  <c r="L377" i="1"/>
  <c r="M377" i="1"/>
  <c r="N377" i="1"/>
  <c r="O377" i="1"/>
  <c r="P377" i="1"/>
  <c r="Q377" i="1"/>
  <c r="R377" i="1"/>
  <c r="S377" i="1"/>
  <c r="T377" i="1"/>
  <c r="U377" i="1"/>
  <c r="L378" i="1"/>
  <c r="M378" i="1"/>
  <c r="N378" i="1"/>
  <c r="O378" i="1"/>
  <c r="P378" i="1"/>
  <c r="Q378" i="1"/>
  <c r="R378" i="1"/>
  <c r="S378" i="1"/>
  <c r="T378" i="1"/>
  <c r="U378" i="1"/>
  <c r="L379" i="1"/>
  <c r="M379" i="1"/>
  <c r="N379" i="1"/>
  <c r="O379" i="1"/>
  <c r="P379" i="1"/>
  <c r="Q379" i="1"/>
  <c r="R379" i="1"/>
  <c r="S379" i="1"/>
  <c r="T379" i="1"/>
  <c r="U379" i="1"/>
  <c r="L380" i="1"/>
  <c r="M380" i="1"/>
  <c r="N380" i="1"/>
  <c r="O380" i="1"/>
  <c r="P380" i="1"/>
  <c r="Q380" i="1"/>
  <c r="R380" i="1"/>
  <c r="S380" i="1"/>
  <c r="T380" i="1"/>
  <c r="U380" i="1"/>
  <c r="L381" i="1"/>
  <c r="M381" i="1"/>
  <c r="N381" i="1"/>
  <c r="O381" i="1"/>
  <c r="P381" i="1"/>
  <c r="Q381" i="1"/>
  <c r="R381" i="1"/>
  <c r="S381" i="1"/>
  <c r="T381" i="1"/>
  <c r="U381" i="1"/>
  <c r="L382" i="1"/>
  <c r="M382" i="1"/>
  <c r="N382" i="1"/>
  <c r="O382" i="1"/>
  <c r="P382" i="1"/>
  <c r="Q382" i="1"/>
  <c r="R382" i="1"/>
  <c r="S382" i="1"/>
  <c r="T382" i="1"/>
  <c r="U382" i="1"/>
  <c r="L383" i="1"/>
  <c r="M383" i="1"/>
  <c r="N383" i="1"/>
  <c r="O383" i="1"/>
  <c r="P383" i="1"/>
  <c r="Q383" i="1"/>
  <c r="R383" i="1"/>
  <c r="S383" i="1"/>
  <c r="T383" i="1"/>
  <c r="U383" i="1"/>
  <c r="L384" i="1"/>
  <c r="M384" i="1"/>
  <c r="N384" i="1"/>
  <c r="O384" i="1"/>
  <c r="P384" i="1"/>
  <c r="Q384" i="1"/>
  <c r="R384" i="1"/>
  <c r="S384" i="1"/>
  <c r="T384" i="1"/>
  <c r="U384" i="1"/>
  <c r="L385" i="1"/>
  <c r="M385" i="1"/>
  <c r="N385" i="1"/>
  <c r="O385" i="1"/>
  <c r="P385" i="1"/>
  <c r="Q385" i="1"/>
  <c r="R385" i="1"/>
  <c r="S385" i="1"/>
  <c r="T385" i="1"/>
  <c r="U385" i="1"/>
  <c r="L386" i="1"/>
  <c r="M386" i="1"/>
  <c r="N386" i="1"/>
  <c r="O386" i="1"/>
  <c r="P386" i="1"/>
  <c r="Q386" i="1"/>
  <c r="R386" i="1"/>
  <c r="S386" i="1"/>
  <c r="T386" i="1"/>
  <c r="U386" i="1"/>
  <c r="L387" i="1"/>
  <c r="M387" i="1"/>
  <c r="N387" i="1"/>
  <c r="O387" i="1"/>
  <c r="P387" i="1"/>
  <c r="Q387" i="1"/>
  <c r="R387" i="1"/>
  <c r="S387" i="1"/>
  <c r="T387" i="1"/>
  <c r="U387" i="1"/>
  <c r="L388" i="1"/>
  <c r="M388" i="1"/>
  <c r="N388" i="1"/>
  <c r="O388" i="1"/>
  <c r="P388" i="1"/>
  <c r="Q388" i="1"/>
  <c r="R388" i="1"/>
  <c r="S388" i="1"/>
  <c r="T388" i="1"/>
  <c r="U388" i="1"/>
  <c r="L389" i="1"/>
  <c r="M389" i="1"/>
  <c r="N389" i="1"/>
  <c r="O389" i="1"/>
  <c r="P389" i="1"/>
  <c r="Q389" i="1"/>
  <c r="R389" i="1"/>
  <c r="S389" i="1"/>
  <c r="T389" i="1"/>
  <c r="U389" i="1"/>
  <c r="L390" i="1"/>
  <c r="M390" i="1"/>
  <c r="N390" i="1"/>
  <c r="O390" i="1"/>
  <c r="P390" i="1"/>
  <c r="Q390" i="1"/>
  <c r="R390" i="1"/>
  <c r="S390" i="1"/>
  <c r="T390" i="1"/>
  <c r="U390" i="1"/>
  <c r="L391" i="1"/>
  <c r="M391" i="1"/>
  <c r="N391" i="1"/>
  <c r="O391" i="1"/>
  <c r="P391" i="1"/>
  <c r="Q391" i="1"/>
  <c r="R391" i="1"/>
  <c r="S391" i="1"/>
  <c r="T391" i="1"/>
  <c r="U391" i="1"/>
  <c r="L392" i="1"/>
  <c r="M392" i="1"/>
  <c r="N392" i="1"/>
  <c r="O392" i="1"/>
  <c r="P392" i="1"/>
  <c r="Q392" i="1"/>
  <c r="R392" i="1"/>
  <c r="S392" i="1"/>
  <c r="T392" i="1"/>
  <c r="U392" i="1"/>
  <c r="L393" i="1"/>
  <c r="M393" i="1"/>
  <c r="N393" i="1"/>
  <c r="O393" i="1"/>
  <c r="P393" i="1"/>
  <c r="Q393" i="1"/>
  <c r="R393" i="1"/>
  <c r="S393" i="1"/>
  <c r="T393" i="1"/>
  <c r="U393" i="1"/>
  <c r="L394" i="1"/>
  <c r="M394" i="1"/>
  <c r="N394" i="1"/>
  <c r="O394" i="1"/>
  <c r="P394" i="1"/>
  <c r="Q394" i="1"/>
  <c r="R394" i="1"/>
  <c r="S394" i="1"/>
  <c r="T394" i="1"/>
  <c r="U394" i="1"/>
  <c r="L395" i="1"/>
  <c r="M395" i="1"/>
  <c r="N395" i="1"/>
  <c r="O395" i="1"/>
  <c r="P395" i="1"/>
  <c r="Q395" i="1"/>
  <c r="R395" i="1"/>
  <c r="S395" i="1"/>
  <c r="T395" i="1"/>
  <c r="U395" i="1"/>
  <c r="L396" i="1"/>
  <c r="M396" i="1"/>
  <c r="N396" i="1"/>
  <c r="O396" i="1"/>
  <c r="P396" i="1"/>
  <c r="Q396" i="1"/>
  <c r="R396" i="1"/>
  <c r="S396" i="1"/>
  <c r="T396" i="1"/>
  <c r="U396" i="1"/>
  <c r="L397" i="1"/>
  <c r="M397" i="1"/>
  <c r="N397" i="1"/>
  <c r="O397" i="1"/>
  <c r="P397" i="1"/>
  <c r="Q397" i="1"/>
  <c r="R397" i="1"/>
  <c r="S397" i="1"/>
  <c r="T397" i="1"/>
  <c r="U397" i="1"/>
  <c r="L398" i="1"/>
  <c r="M398" i="1"/>
  <c r="N398" i="1"/>
  <c r="O398" i="1"/>
  <c r="P398" i="1"/>
  <c r="Q398" i="1"/>
  <c r="R398" i="1"/>
  <c r="S398" i="1"/>
  <c r="T398" i="1"/>
  <c r="U398" i="1"/>
  <c r="L399" i="1"/>
  <c r="M399" i="1"/>
  <c r="N399" i="1"/>
  <c r="O399" i="1"/>
  <c r="P399" i="1"/>
  <c r="Q399" i="1"/>
  <c r="R399" i="1"/>
  <c r="S399" i="1"/>
  <c r="T399" i="1"/>
  <c r="U399" i="1"/>
  <c r="L400" i="1"/>
  <c r="M400" i="1"/>
  <c r="N400" i="1"/>
  <c r="O400" i="1"/>
  <c r="P400" i="1"/>
  <c r="Q400" i="1"/>
  <c r="R400" i="1"/>
  <c r="S400" i="1"/>
  <c r="T400" i="1"/>
  <c r="U400" i="1"/>
  <c r="L401" i="1"/>
  <c r="M401" i="1"/>
  <c r="N401" i="1"/>
  <c r="O401" i="1"/>
  <c r="P401" i="1"/>
  <c r="Q401" i="1"/>
  <c r="R401" i="1"/>
  <c r="S401" i="1"/>
  <c r="T401" i="1"/>
  <c r="U401" i="1"/>
  <c r="L402" i="1"/>
  <c r="M402" i="1"/>
  <c r="N402" i="1"/>
  <c r="O402" i="1"/>
  <c r="P402" i="1"/>
  <c r="Q402" i="1"/>
  <c r="R402" i="1"/>
  <c r="S402" i="1"/>
  <c r="T402" i="1"/>
  <c r="U402" i="1"/>
  <c r="L403" i="1"/>
  <c r="M403" i="1"/>
  <c r="N403" i="1"/>
  <c r="O403" i="1"/>
  <c r="P403" i="1"/>
  <c r="Q403" i="1"/>
  <c r="R403" i="1"/>
  <c r="S403" i="1"/>
  <c r="T403" i="1"/>
  <c r="U403" i="1"/>
  <c r="L404" i="1"/>
  <c r="M404" i="1"/>
  <c r="N404" i="1"/>
  <c r="O404" i="1"/>
  <c r="P404" i="1"/>
  <c r="Q404" i="1"/>
  <c r="R404" i="1"/>
  <c r="S404" i="1"/>
  <c r="T404" i="1"/>
  <c r="U404" i="1"/>
  <c r="L405" i="1"/>
  <c r="M405" i="1"/>
  <c r="N405" i="1"/>
  <c r="O405" i="1"/>
  <c r="P405" i="1"/>
  <c r="Q405" i="1"/>
  <c r="R405" i="1"/>
  <c r="S405" i="1"/>
  <c r="T405" i="1"/>
  <c r="U405" i="1"/>
  <c r="L406" i="1"/>
  <c r="M406" i="1"/>
  <c r="N406" i="1"/>
  <c r="O406" i="1"/>
  <c r="P406" i="1"/>
  <c r="Q406" i="1"/>
  <c r="R406" i="1"/>
  <c r="S406" i="1"/>
  <c r="T406" i="1"/>
  <c r="U406" i="1"/>
  <c r="L407" i="1"/>
  <c r="M407" i="1"/>
  <c r="N407" i="1"/>
  <c r="O407" i="1"/>
  <c r="P407" i="1"/>
  <c r="Q407" i="1"/>
  <c r="R407" i="1"/>
  <c r="S407" i="1"/>
  <c r="T407" i="1"/>
  <c r="U407" i="1"/>
  <c r="L408" i="1"/>
  <c r="M408" i="1"/>
  <c r="N408" i="1"/>
  <c r="O408" i="1"/>
  <c r="P408" i="1"/>
  <c r="Q408" i="1"/>
  <c r="R408" i="1"/>
  <c r="S408" i="1"/>
  <c r="T408" i="1"/>
  <c r="U408" i="1"/>
  <c r="L409" i="1"/>
  <c r="M409" i="1"/>
  <c r="N409" i="1"/>
  <c r="O409" i="1"/>
  <c r="P409" i="1"/>
  <c r="Q409" i="1"/>
  <c r="R409" i="1"/>
  <c r="S409" i="1"/>
  <c r="T409" i="1"/>
  <c r="U409" i="1"/>
  <c r="L410" i="1"/>
  <c r="M410" i="1"/>
  <c r="N410" i="1"/>
  <c r="O410" i="1"/>
  <c r="P410" i="1"/>
  <c r="Q410" i="1"/>
  <c r="R410" i="1"/>
  <c r="S410" i="1"/>
  <c r="T410" i="1"/>
  <c r="U410" i="1"/>
  <c r="L411" i="1"/>
  <c r="M411" i="1"/>
  <c r="N411" i="1"/>
  <c r="O411" i="1"/>
  <c r="P411" i="1"/>
  <c r="Q411" i="1"/>
  <c r="R411" i="1"/>
  <c r="S411" i="1"/>
  <c r="T411" i="1"/>
  <c r="U411" i="1"/>
  <c r="L412" i="1"/>
  <c r="M412" i="1"/>
  <c r="N412" i="1"/>
  <c r="O412" i="1"/>
  <c r="P412" i="1"/>
  <c r="Q412" i="1"/>
  <c r="R412" i="1"/>
  <c r="S412" i="1"/>
  <c r="T412" i="1"/>
  <c r="U412" i="1"/>
  <c r="L413" i="1"/>
  <c r="M413" i="1"/>
  <c r="N413" i="1"/>
  <c r="O413" i="1"/>
  <c r="P413" i="1"/>
  <c r="Q413" i="1"/>
  <c r="R413" i="1"/>
  <c r="S413" i="1"/>
  <c r="T413" i="1"/>
  <c r="U413" i="1"/>
  <c r="L414" i="1"/>
  <c r="M414" i="1"/>
  <c r="N414" i="1"/>
  <c r="O414" i="1"/>
  <c r="P414" i="1"/>
  <c r="Q414" i="1"/>
  <c r="R414" i="1"/>
  <c r="S414" i="1"/>
  <c r="T414" i="1"/>
  <c r="U414" i="1"/>
  <c r="L415" i="1"/>
  <c r="M415" i="1"/>
  <c r="N415" i="1"/>
  <c r="O415" i="1"/>
  <c r="P415" i="1"/>
  <c r="Q415" i="1"/>
  <c r="R415" i="1"/>
  <c r="S415" i="1"/>
  <c r="T415" i="1"/>
  <c r="U415" i="1"/>
  <c r="L416" i="1"/>
  <c r="M416" i="1"/>
  <c r="N416" i="1"/>
  <c r="O416" i="1"/>
  <c r="P416" i="1"/>
  <c r="Q416" i="1"/>
  <c r="R416" i="1"/>
  <c r="S416" i="1"/>
  <c r="T416" i="1"/>
  <c r="U416" i="1"/>
  <c r="L417" i="1"/>
  <c r="M417" i="1"/>
  <c r="N417" i="1"/>
  <c r="O417" i="1"/>
  <c r="P417" i="1"/>
  <c r="Q417" i="1"/>
  <c r="R417" i="1"/>
  <c r="S417" i="1"/>
  <c r="T417" i="1"/>
  <c r="U417" i="1"/>
  <c r="L418" i="1"/>
  <c r="M418" i="1"/>
  <c r="N418" i="1"/>
  <c r="O418" i="1"/>
  <c r="P418" i="1"/>
  <c r="Q418" i="1"/>
  <c r="R418" i="1"/>
  <c r="S418" i="1"/>
  <c r="T418" i="1"/>
  <c r="U418" i="1"/>
  <c r="L419" i="1"/>
  <c r="M419" i="1"/>
  <c r="N419" i="1"/>
  <c r="O419" i="1"/>
  <c r="P419" i="1"/>
  <c r="Q419" i="1"/>
  <c r="R419" i="1"/>
  <c r="S419" i="1"/>
  <c r="T419" i="1"/>
  <c r="U419" i="1"/>
  <c r="L420" i="1"/>
  <c r="M420" i="1"/>
  <c r="N420" i="1"/>
  <c r="O420" i="1"/>
  <c r="P420" i="1"/>
  <c r="Q420" i="1"/>
  <c r="R420" i="1"/>
  <c r="S420" i="1"/>
  <c r="T420" i="1"/>
  <c r="U420" i="1"/>
  <c r="L421" i="1"/>
  <c r="M421" i="1"/>
  <c r="N421" i="1"/>
  <c r="O421" i="1"/>
  <c r="P421" i="1"/>
  <c r="Q421" i="1"/>
  <c r="R421" i="1"/>
  <c r="S421" i="1"/>
  <c r="T421" i="1"/>
  <c r="U421" i="1"/>
  <c r="L422" i="1"/>
  <c r="M422" i="1"/>
  <c r="N422" i="1"/>
  <c r="O422" i="1"/>
  <c r="P422" i="1"/>
  <c r="Q422" i="1"/>
  <c r="R422" i="1"/>
  <c r="S422" i="1"/>
  <c r="T422" i="1"/>
  <c r="U422" i="1"/>
  <c r="L423" i="1"/>
  <c r="M423" i="1"/>
  <c r="N423" i="1"/>
  <c r="O423" i="1"/>
  <c r="P423" i="1"/>
  <c r="Q423" i="1"/>
  <c r="R423" i="1"/>
  <c r="S423" i="1"/>
  <c r="T423" i="1"/>
  <c r="U423" i="1"/>
  <c r="L424" i="1"/>
  <c r="M424" i="1"/>
  <c r="N424" i="1"/>
  <c r="O424" i="1"/>
  <c r="P424" i="1"/>
  <c r="Q424" i="1"/>
  <c r="R424" i="1"/>
  <c r="S424" i="1"/>
  <c r="T424" i="1"/>
  <c r="U424" i="1"/>
  <c r="L425" i="1"/>
  <c r="M425" i="1"/>
  <c r="N425" i="1"/>
  <c r="O425" i="1"/>
  <c r="P425" i="1"/>
  <c r="Q425" i="1"/>
  <c r="R425" i="1"/>
  <c r="S425" i="1"/>
  <c r="T425" i="1"/>
  <c r="U425" i="1"/>
  <c r="L426" i="1"/>
  <c r="M426" i="1"/>
  <c r="N426" i="1"/>
  <c r="O426" i="1"/>
  <c r="P426" i="1"/>
  <c r="Q426" i="1"/>
  <c r="R426" i="1"/>
  <c r="S426" i="1"/>
  <c r="T426" i="1"/>
  <c r="U426" i="1"/>
  <c r="L427" i="1"/>
  <c r="M427" i="1"/>
  <c r="N427" i="1"/>
  <c r="O427" i="1"/>
  <c r="P427" i="1"/>
  <c r="Q427" i="1"/>
  <c r="R427" i="1"/>
  <c r="S427" i="1"/>
  <c r="T427" i="1"/>
  <c r="U427" i="1"/>
  <c r="L428" i="1"/>
  <c r="M428" i="1"/>
  <c r="N428" i="1"/>
  <c r="O428" i="1"/>
  <c r="P428" i="1"/>
  <c r="Q428" i="1"/>
  <c r="R428" i="1"/>
  <c r="S428" i="1"/>
  <c r="T428" i="1"/>
  <c r="U428" i="1"/>
  <c r="L429" i="1"/>
  <c r="M429" i="1"/>
  <c r="N429" i="1"/>
  <c r="O429" i="1"/>
  <c r="P429" i="1"/>
  <c r="Q429" i="1"/>
  <c r="R429" i="1"/>
  <c r="S429" i="1"/>
  <c r="T429" i="1"/>
  <c r="U429" i="1"/>
  <c r="L430" i="1"/>
  <c r="M430" i="1"/>
  <c r="N430" i="1"/>
  <c r="O430" i="1"/>
  <c r="P430" i="1"/>
  <c r="Q430" i="1"/>
  <c r="R430" i="1"/>
  <c r="S430" i="1"/>
  <c r="T430" i="1"/>
  <c r="U430" i="1"/>
  <c r="L431" i="1"/>
  <c r="M431" i="1"/>
  <c r="N431" i="1"/>
  <c r="O431" i="1"/>
  <c r="P431" i="1"/>
  <c r="Q431" i="1"/>
  <c r="R431" i="1"/>
  <c r="S431" i="1"/>
  <c r="T431" i="1"/>
  <c r="U431" i="1"/>
  <c r="L432" i="1"/>
  <c r="M432" i="1"/>
  <c r="N432" i="1"/>
  <c r="O432" i="1"/>
  <c r="P432" i="1"/>
  <c r="Q432" i="1"/>
  <c r="R432" i="1"/>
  <c r="S432" i="1"/>
  <c r="T432" i="1"/>
  <c r="U432" i="1"/>
  <c r="L433" i="1"/>
  <c r="M433" i="1"/>
  <c r="N433" i="1"/>
  <c r="O433" i="1"/>
  <c r="P433" i="1"/>
  <c r="Q433" i="1"/>
  <c r="R433" i="1"/>
  <c r="S433" i="1"/>
  <c r="T433" i="1"/>
  <c r="U433" i="1"/>
  <c r="L434" i="1"/>
  <c r="M434" i="1"/>
  <c r="N434" i="1"/>
  <c r="O434" i="1"/>
  <c r="P434" i="1"/>
  <c r="Q434" i="1"/>
  <c r="R434" i="1"/>
  <c r="S434" i="1"/>
  <c r="T434" i="1"/>
  <c r="U434" i="1"/>
  <c r="L435" i="1"/>
  <c r="M435" i="1"/>
  <c r="N435" i="1"/>
  <c r="O435" i="1"/>
  <c r="P435" i="1"/>
  <c r="Q435" i="1"/>
  <c r="R435" i="1"/>
  <c r="S435" i="1"/>
  <c r="T435" i="1"/>
  <c r="U435" i="1"/>
  <c r="L436" i="1"/>
  <c r="M436" i="1"/>
  <c r="N436" i="1"/>
  <c r="O436" i="1"/>
  <c r="P436" i="1"/>
  <c r="Q436" i="1"/>
  <c r="R436" i="1"/>
  <c r="S436" i="1"/>
  <c r="T436" i="1"/>
  <c r="U436" i="1"/>
  <c r="L437" i="1"/>
  <c r="M437" i="1"/>
  <c r="N437" i="1"/>
  <c r="O437" i="1"/>
  <c r="P437" i="1"/>
  <c r="Q437" i="1"/>
  <c r="R437" i="1"/>
  <c r="S437" i="1"/>
  <c r="T437" i="1"/>
  <c r="U437" i="1"/>
  <c r="L438" i="1"/>
  <c r="M438" i="1"/>
  <c r="N438" i="1"/>
  <c r="O438" i="1"/>
  <c r="P438" i="1"/>
  <c r="Q438" i="1"/>
  <c r="R438" i="1"/>
  <c r="S438" i="1"/>
  <c r="T438" i="1"/>
  <c r="U438" i="1"/>
  <c r="L439" i="1"/>
  <c r="M439" i="1"/>
  <c r="N439" i="1"/>
  <c r="O439" i="1"/>
  <c r="P439" i="1"/>
  <c r="Q439" i="1"/>
  <c r="R439" i="1"/>
  <c r="S439" i="1"/>
  <c r="T439" i="1"/>
  <c r="U439" i="1"/>
  <c r="L440" i="1"/>
  <c r="M440" i="1"/>
  <c r="N440" i="1"/>
  <c r="O440" i="1"/>
  <c r="P440" i="1"/>
  <c r="Q440" i="1"/>
  <c r="R440" i="1"/>
  <c r="S440" i="1"/>
  <c r="T440" i="1"/>
  <c r="U440" i="1"/>
  <c r="L441" i="1"/>
  <c r="M441" i="1"/>
  <c r="N441" i="1"/>
  <c r="O441" i="1"/>
  <c r="P441" i="1"/>
  <c r="Q441" i="1"/>
  <c r="R441" i="1"/>
  <c r="S441" i="1"/>
  <c r="T441" i="1"/>
  <c r="U441" i="1"/>
  <c r="L442" i="1"/>
  <c r="M442" i="1"/>
  <c r="N442" i="1"/>
  <c r="O442" i="1"/>
  <c r="P442" i="1"/>
  <c r="Q442" i="1"/>
  <c r="R442" i="1"/>
  <c r="S442" i="1"/>
  <c r="T442" i="1"/>
  <c r="U442" i="1"/>
  <c r="L443" i="1"/>
  <c r="M443" i="1"/>
  <c r="N443" i="1"/>
  <c r="O443" i="1"/>
  <c r="P443" i="1"/>
  <c r="Q443" i="1"/>
  <c r="R443" i="1"/>
  <c r="S443" i="1"/>
  <c r="T443" i="1"/>
  <c r="U443" i="1"/>
  <c r="L444" i="1"/>
  <c r="M444" i="1"/>
  <c r="N444" i="1"/>
  <c r="O444" i="1"/>
  <c r="P444" i="1"/>
  <c r="Q444" i="1"/>
  <c r="R444" i="1"/>
  <c r="S444" i="1"/>
  <c r="T444" i="1"/>
  <c r="U444" i="1"/>
  <c r="L445" i="1"/>
  <c r="M445" i="1"/>
  <c r="N445" i="1"/>
  <c r="O445" i="1"/>
  <c r="P445" i="1"/>
  <c r="Q445" i="1"/>
  <c r="R445" i="1"/>
  <c r="S445" i="1"/>
  <c r="T445" i="1"/>
  <c r="U445" i="1"/>
  <c r="L446" i="1"/>
  <c r="M446" i="1"/>
  <c r="N446" i="1"/>
  <c r="O446" i="1"/>
  <c r="P446" i="1"/>
  <c r="Q446" i="1"/>
  <c r="R446" i="1"/>
  <c r="S446" i="1"/>
  <c r="T446" i="1"/>
  <c r="U446" i="1"/>
  <c r="L447" i="1"/>
  <c r="M447" i="1"/>
  <c r="N447" i="1"/>
  <c r="O447" i="1"/>
  <c r="P447" i="1"/>
  <c r="Q447" i="1"/>
  <c r="R447" i="1"/>
  <c r="S447" i="1"/>
  <c r="T447" i="1"/>
  <c r="U447" i="1"/>
  <c r="L448" i="1"/>
  <c r="M448" i="1"/>
  <c r="N448" i="1"/>
  <c r="O448" i="1"/>
  <c r="P448" i="1"/>
  <c r="Q448" i="1"/>
  <c r="R448" i="1"/>
  <c r="S448" i="1"/>
  <c r="T448" i="1"/>
  <c r="U448" i="1"/>
  <c r="L449" i="1"/>
  <c r="M449" i="1"/>
  <c r="N449" i="1"/>
  <c r="O449" i="1"/>
  <c r="P449" i="1"/>
  <c r="Q449" i="1"/>
  <c r="R449" i="1"/>
  <c r="S449" i="1"/>
  <c r="T449" i="1"/>
  <c r="U449" i="1"/>
  <c r="L450" i="1"/>
  <c r="M450" i="1"/>
  <c r="N450" i="1"/>
  <c r="O450" i="1"/>
  <c r="P450" i="1"/>
  <c r="Q450" i="1"/>
  <c r="R450" i="1"/>
  <c r="S450" i="1"/>
  <c r="T450" i="1"/>
  <c r="U450" i="1"/>
  <c r="L451" i="1"/>
  <c r="M451" i="1"/>
  <c r="N451" i="1"/>
  <c r="O451" i="1"/>
  <c r="P451" i="1"/>
  <c r="Q451" i="1"/>
  <c r="R451" i="1"/>
  <c r="S451" i="1"/>
  <c r="T451" i="1"/>
  <c r="U451" i="1"/>
  <c r="L452" i="1"/>
  <c r="M452" i="1"/>
  <c r="N452" i="1"/>
  <c r="O452" i="1"/>
  <c r="P452" i="1"/>
  <c r="Q452" i="1"/>
  <c r="R452" i="1"/>
  <c r="S452" i="1"/>
  <c r="T452" i="1"/>
  <c r="U452" i="1"/>
  <c r="L453" i="1"/>
  <c r="M453" i="1"/>
  <c r="N453" i="1"/>
  <c r="O453" i="1"/>
  <c r="P453" i="1"/>
  <c r="Q453" i="1"/>
  <c r="R453" i="1"/>
  <c r="S453" i="1"/>
  <c r="T453" i="1"/>
  <c r="U453" i="1"/>
  <c r="L454" i="1"/>
  <c r="M454" i="1"/>
  <c r="N454" i="1"/>
  <c r="O454" i="1"/>
  <c r="P454" i="1"/>
  <c r="Q454" i="1"/>
  <c r="R454" i="1"/>
  <c r="S454" i="1"/>
  <c r="T454" i="1"/>
  <c r="U454" i="1"/>
  <c r="L455" i="1"/>
  <c r="M455" i="1"/>
  <c r="N455" i="1"/>
  <c r="O455" i="1"/>
  <c r="P455" i="1"/>
  <c r="Q455" i="1"/>
  <c r="R455" i="1"/>
  <c r="S455" i="1"/>
  <c r="T455" i="1"/>
  <c r="U455" i="1"/>
  <c r="L456" i="1"/>
  <c r="M456" i="1"/>
  <c r="N456" i="1"/>
  <c r="O456" i="1"/>
  <c r="P456" i="1"/>
  <c r="Q456" i="1"/>
  <c r="R456" i="1"/>
  <c r="S456" i="1"/>
  <c r="T456" i="1"/>
  <c r="U456" i="1"/>
  <c r="L457" i="1"/>
  <c r="M457" i="1"/>
  <c r="N457" i="1"/>
  <c r="O457" i="1"/>
  <c r="P457" i="1"/>
  <c r="Q457" i="1"/>
  <c r="R457" i="1"/>
  <c r="S457" i="1"/>
  <c r="T457" i="1"/>
  <c r="U457" i="1"/>
  <c r="L458" i="1"/>
  <c r="M458" i="1"/>
  <c r="N458" i="1"/>
  <c r="O458" i="1"/>
  <c r="P458" i="1"/>
  <c r="Q458" i="1"/>
  <c r="R458" i="1"/>
  <c r="S458" i="1"/>
  <c r="T458" i="1"/>
  <c r="U458" i="1"/>
  <c r="L459" i="1"/>
  <c r="M459" i="1"/>
  <c r="N459" i="1"/>
  <c r="O459" i="1"/>
  <c r="P459" i="1"/>
  <c r="Q459" i="1"/>
  <c r="R459" i="1"/>
  <c r="S459" i="1"/>
  <c r="T459" i="1"/>
  <c r="U459" i="1"/>
  <c r="L460" i="1"/>
  <c r="M460" i="1"/>
  <c r="N460" i="1"/>
  <c r="O460" i="1"/>
  <c r="P460" i="1"/>
  <c r="Q460" i="1"/>
  <c r="R460" i="1"/>
  <c r="S460" i="1"/>
  <c r="T460" i="1"/>
  <c r="U460" i="1"/>
  <c r="L461" i="1"/>
  <c r="M461" i="1"/>
  <c r="N461" i="1"/>
  <c r="O461" i="1"/>
  <c r="P461" i="1"/>
  <c r="Q461" i="1"/>
  <c r="R461" i="1"/>
  <c r="S461" i="1"/>
  <c r="T461" i="1"/>
  <c r="U461" i="1"/>
  <c r="L462" i="1"/>
  <c r="M462" i="1"/>
  <c r="N462" i="1"/>
  <c r="O462" i="1"/>
  <c r="P462" i="1"/>
  <c r="Q462" i="1"/>
  <c r="R462" i="1"/>
  <c r="S462" i="1"/>
  <c r="T462" i="1"/>
  <c r="U462" i="1"/>
  <c r="L463" i="1"/>
  <c r="M463" i="1"/>
  <c r="N463" i="1"/>
  <c r="O463" i="1"/>
  <c r="P463" i="1"/>
  <c r="Q463" i="1"/>
  <c r="R463" i="1"/>
  <c r="S463" i="1"/>
  <c r="T463" i="1"/>
  <c r="U463" i="1"/>
  <c r="L464" i="1"/>
  <c r="M464" i="1"/>
  <c r="N464" i="1"/>
  <c r="O464" i="1"/>
  <c r="P464" i="1"/>
  <c r="Q464" i="1"/>
  <c r="R464" i="1"/>
  <c r="S464" i="1"/>
  <c r="T464" i="1"/>
  <c r="U464" i="1"/>
  <c r="L465" i="1"/>
  <c r="M465" i="1"/>
  <c r="N465" i="1"/>
  <c r="O465" i="1"/>
  <c r="P465" i="1"/>
  <c r="Q465" i="1"/>
  <c r="R465" i="1"/>
  <c r="S465" i="1"/>
  <c r="T465" i="1"/>
  <c r="U465" i="1"/>
  <c r="L466" i="1"/>
  <c r="M466" i="1"/>
  <c r="N466" i="1"/>
  <c r="O466" i="1"/>
  <c r="P466" i="1"/>
  <c r="Q466" i="1"/>
  <c r="R466" i="1"/>
  <c r="S466" i="1"/>
  <c r="T466" i="1"/>
  <c r="U466" i="1"/>
  <c r="L467" i="1"/>
  <c r="M467" i="1"/>
  <c r="N467" i="1"/>
  <c r="O467" i="1"/>
  <c r="P467" i="1"/>
  <c r="Q467" i="1"/>
  <c r="R467" i="1"/>
  <c r="S467" i="1"/>
  <c r="T467" i="1"/>
  <c r="U467" i="1"/>
  <c r="L468" i="1"/>
  <c r="M468" i="1"/>
  <c r="N468" i="1"/>
  <c r="O468" i="1"/>
  <c r="P468" i="1"/>
  <c r="Q468" i="1"/>
  <c r="R468" i="1"/>
  <c r="S468" i="1"/>
  <c r="T468" i="1"/>
  <c r="U468" i="1"/>
  <c r="L469" i="1"/>
  <c r="M469" i="1"/>
  <c r="N469" i="1"/>
  <c r="O469" i="1"/>
  <c r="P469" i="1"/>
  <c r="Q469" i="1"/>
  <c r="R469" i="1"/>
  <c r="S469" i="1"/>
  <c r="T469" i="1"/>
  <c r="U469" i="1"/>
  <c r="L470" i="1"/>
  <c r="M470" i="1"/>
  <c r="N470" i="1"/>
  <c r="O470" i="1"/>
  <c r="P470" i="1"/>
  <c r="Q470" i="1"/>
  <c r="R470" i="1"/>
  <c r="S470" i="1"/>
  <c r="T470" i="1"/>
  <c r="U470" i="1"/>
  <c r="L471" i="1"/>
  <c r="M471" i="1"/>
  <c r="N471" i="1"/>
  <c r="O471" i="1"/>
  <c r="P471" i="1"/>
  <c r="Q471" i="1"/>
  <c r="R471" i="1"/>
  <c r="S471" i="1"/>
  <c r="T471" i="1"/>
  <c r="U471" i="1"/>
  <c r="L472" i="1"/>
  <c r="M472" i="1"/>
  <c r="N472" i="1"/>
  <c r="O472" i="1"/>
  <c r="P472" i="1"/>
  <c r="Q472" i="1"/>
  <c r="R472" i="1"/>
  <c r="S472" i="1"/>
  <c r="T472" i="1"/>
  <c r="U472" i="1"/>
  <c r="L473" i="1"/>
  <c r="M473" i="1"/>
  <c r="N473" i="1"/>
  <c r="O473" i="1"/>
  <c r="P473" i="1"/>
  <c r="Q473" i="1"/>
  <c r="R473" i="1"/>
  <c r="S473" i="1"/>
  <c r="T473" i="1"/>
  <c r="U473" i="1"/>
  <c r="L474" i="1"/>
  <c r="M474" i="1"/>
  <c r="N474" i="1"/>
  <c r="O474" i="1"/>
  <c r="P474" i="1"/>
  <c r="Q474" i="1"/>
  <c r="R474" i="1"/>
  <c r="S474" i="1"/>
  <c r="T474" i="1"/>
  <c r="U474" i="1"/>
  <c r="L475" i="1"/>
  <c r="M475" i="1"/>
  <c r="N475" i="1"/>
  <c r="O475" i="1"/>
  <c r="P475" i="1"/>
  <c r="Q475" i="1"/>
  <c r="R475" i="1"/>
  <c r="S475" i="1"/>
  <c r="T475" i="1"/>
  <c r="U475" i="1"/>
  <c r="Y469" i="13" l="1"/>
  <c r="Y453" i="13"/>
  <c r="Q438" i="13"/>
  <c r="X316" i="13"/>
  <c r="W2" i="13"/>
  <c r="W422" i="13"/>
  <c r="W474" i="13"/>
  <c r="W435" i="13"/>
  <c r="W471" i="13"/>
  <c r="W395" i="13"/>
  <c r="W467" i="13"/>
  <c r="AB359" i="13"/>
  <c r="W463" i="13"/>
  <c r="W458" i="13"/>
  <c r="P438" i="13"/>
  <c r="Z417" i="13"/>
  <c r="R451" i="13"/>
  <c r="W454" i="13"/>
  <c r="T8" i="8"/>
  <c r="T16" i="8"/>
  <c r="T9" i="8"/>
  <c r="T17" i="8"/>
  <c r="T10" i="8"/>
  <c r="T18" i="8"/>
  <c r="T11" i="8"/>
  <c r="T19" i="8"/>
  <c r="T12" i="8"/>
  <c r="T20" i="8"/>
  <c r="T14" i="8"/>
  <c r="T5" i="8"/>
  <c r="U5" i="8" s="1"/>
  <c r="V5" i="8" s="1"/>
  <c r="W5" i="8" s="1"/>
  <c r="X5" i="8" s="1"/>
  <c r="Y5" i="8" s="1"/>
  <c r="Z5" i="8" s="1"/>
  <c r="AA5" i="8" s="1"/>
  <c r="AB5" i="8" s="1"/>
  <c r="AC5" i="8" s="1"/>
  <c r="S17" i="8"/>
  <c r="S15" i="8"/>
  <c r="S10" i="8"/>
  <c r="S18" i="8"/>
  <c r="S11" i="8"/>
  <c r="S19" i="8"/>
  <c r="S12" i="8"/>
  <c r="S20" i="8"/>
  <c r="S13" i="8"/>
  <c r="S14" i="8"/>
  <c r="S8" i="8"/>
  <c r="S16" i="8"/>
  <c r="T15" i="8"/>
  <c r="R29" i="8"/>
  <c r="R37" i="8"/>
  <c r="R45" i="8"/>
  <c r="R53" i="8"/>
  <c r="R61" i="8"/>
  <c r="R69" i="8"/>
  <c r="R77" i="8"/>
  <c r="R85" i="8"/>
  <c r="R93" i="8"/>
  <c r="R101" i="8"/>
  <c r="R109" i="8"/>
  <c r="R117" i="8"/>
  <c r="R125" i="8"/>
  <c r="R133" i="8"/>
  <c r="R141" i="8"/>
  <c r="R149" i="8"/>
  <c r="R157" i="8"/>
  <c r="R165" i="8"/>
  <c r="R173" i="8"/>
  <c r="R181" i="8"/>
  <c r="R189" i="8"/>
  <c r="R197" i="8"/>
  <c r="R205" i="8"/>
  <c r="R213" i="8"/>
  <c r="R221" i="8"/>
  <c r="R229" i="8"/>
  <c r="R237" i="8"/>
  <c r="R245" i="8"/>
  <c r="R253" i="8"/>
  <c r="R261" i="8"/>
  <c r="R269" i="8"/>
  <c r="R277" i="8"/>
  <c r="R285" i="8"/>
  <c r="R293" i="8"/>
  <c r="R301" i="8"/>
  <c r="R309" i="8"/>
  <c r="R317" i="8"/>
  <c r="R325" i="8"/>
  <c r="R333" i="8"/>
  <c r="R341" i="8"/>
  <c r="R349" i="8"/>
  <c r="R357" i="8"/>
  <c r="R365" i="8"/>
  <c r="R373" i="8"/>
  <c r="R381" i="8"/>
  <c r="R389" i="8"/>
  <c r="R397" i="8"/>
  <c r="R405" i="8"/>
  <c r="R413" i="8"/>
  <c r="R421" i="8"/>
  <c r="R429" i="8"/>
  <c r="R437" i="8"/>
  <c r="R445" i="8"/>
  <c r="R453" i="8"/>
  <c r="R461" i="8"/>
  <c r="R469" i="8"/>
  <c r="R477" i="8"/>
  <c r="R485" i="8"/>
  <c r="R493" i="8"/>
  <c r="R24" i="8"/>
  <c r="R32" i="8"/>
  <c r="R40" i="8"/>
  <c r="R48" i="8"/>
  <c r="R56" i="8"/>
  <c r="R64" i="8"/>
  <c r="R72" i="8"/>
  <c r="R80" i="8"/>
  <c r="R88" i="8"/>
  <c r="R96" i="8"/>
  <c r="R104" i="8"/>
  <c r="R112" i="8"/>
  <c r="R120" i="8"/>
  <c r="R128" i="8"/>
  <c r="R136" i="8"/>
  <c r="R144" i="8"/>
  <c r="R152" i="8"/>
  <c r="R160" i="8"/>
  <c r="R168" i="8"/>
  <c r="R176" i="8"/>
  <c r="R184" i="8"/>
  <c r="R192" i="8"/>
  <c r="R200" i="8"/>
  <c r="R208" i="8"/>
  <c r="R216" i="8"/>
  <c r="R224" i="8"/>
  <c r="R232" i="8"/>
  <c r="R240" i="8"/>
  <c r="R248" i="8"/>
  <c r="R256" i="8"/>
  <c r="R264" i="8"/>
  <c r="R272" i="8"/>
  <c r="R280" i="8"/>
  <c r="R288" i="8"/>
  <c r="R296" i="8"/>
  <c r="R304" i="8"/>
  <c r="R312" i="8"/>
  <c r="R320" i="8"/>
  <c r="R328" i="8"/>
  <c r="R336" i="8"/>
  <c r="R344" i="8"/>
  <c r="R352" i="8"/>
  <c r="R360" i="8"/>
  <c r="R368" i="8"/>
  <c r="R376" i="8"/>
  <c r="R384" i="8"/>
  <c r="R392" i="8"/>
  <c r="R400" i="8"/>
  <c r="R25" i="8"/>
  <c r="R33" i="8"/>
  <c r="R41" i="8"/>
  <c r="R49" i="8"/>
  <c r="R57" i="8"/>
  <c r="R65" i="8"/>
  <c r="R73" i="8"/>
  <c r="R81" i="8"/>
  <c r="R89" i="8"/>
  <c r="R97" i="8"/>
  <c r="R105" i="8"/>
  <c r="R113" i="8"/>
  <c r="R121" i="8"/>
  <c r="R129" i="8"/>
  <c r="R137" i="8"/>
  <c r="R145" i="8"/>
  <c r="R153" i="8"/>
  <c r="R161" i="8"/>
  <c r="R169" i="8"/>
  <c r="R177" i="8"/>
  <c r="R185" i="8"/>
  <c r="R193" i="8"/>
  <c r="R201" i="8"/>
  <c r="R209" i="8"/>
  <c r="R217" i="8"/>
  <c r="R225" i="8"/>
  <c r="R233" i="8"/>
  <c r="R241" i="8"/>
  <c r="R249" i="8"/>
  <c r="R257" i="8"/>
  <c r="R265" i="8"/>
  <c r="R273" i="8"/>
  <c r="R281" i="8"/>
  <c r="R289" i="8"/>
  <c r="R297" i="8"/>
  <c r="R305" i="8"/>
  <c r="R313" i="8"/>
  <c r="R321" i="8"/>
  <c r="R329" i="8"/>
  <c r="R337" i="8"/>
  <c r="R345" i="8"/>
  <c r="R353" i="8"/>
  <c r="R361" i="8"/>
  <c r="R369" i="8"/>
  <c r="R377" i="8"/>
  <c r="R385" i="8"/>
  <c r="R393" i="8"/>
  <c r="R401" i="8"/>
  <c r="R409" i="8"/>
  <c r="R417" i="8"/>
  <c r="R425" i="8"/>
  <c r="R433" i="8"/>
  <c r="R441" i="8"/>
  <c r="R449" i="8"/>
  <c r="R457" i="8"/>
  <c r="R465" i="8"/>
  <c r="R473" i="8"/>
  <c r="R481" i="8"/>
  <c r="R489" i="8"/>
  <c r="R28" i="8"/>
  <c r="R36" i="8"/>
  <c r="R44" i="8"/>
  <c r="R52" i="8"/>
  <c r="R60" i="8"/>
  <c r="R68" i="8"/>
  <c r="R76" i="8"/>
  <c r="R84" i="8"/>
  <c r="R92" i="8"/>
  <c r="R100" i="8"/>
  <c r="R108" i="8"/>
  <c r="R116" i="8"/>
  <c r="R124" i="8"/>
  <c r="R132" i="8"/>
  <c r="R140" i="8"/>
  <c r="R148" i="8"/>
  <c r="R156" i="8"/>
  <c r="R164" i="8"/>
  <c r="R172" i="8"/>
  <c r="R180" i="8"/>
  <c r="R188" i="8"/>
  <c r="R196" i="8"/>
  <c r="R204" i="8"/>
  <c r="R212" i="8"/>
  <c r="R220" i="8"/>
  <c r="R228" i="8"/>
  <c r="R236" i="8"/>
  <c r="R244" i="8"/>
  <c r="R252" i="8"/>
  <c r="R260" i="8"/>
  <c r="R268" i="8"/>
  <c r="R276" i="8"/>
  <c r="S481" i="8"/>
  <c r="S465" i="8"/>
  <c r="S449" i="8"/>
  <c r="S433" i="8"/>
  <c r="S417" i="8"/>
  <c r="S401" i="8"/>
  <c r="S385" i="8"/>
  <c r="S369" i="8"/>
  <c r="S353" i="8"/>
  <c r="S337" i="8"/>
  <c r="S321" i="8"/>
  <c r="S305" i="8"/>
  <c r="S289" i="8"/>
  <c r="S273" i="8"/>
  <c r="S257" i="8"/>
  <c r="S241" i="8"/>
  <c r="S225" i="8"/>
  <c r="S209" i="8"/>
  <c r="S193" i="8"/>
  <c r="S177" i="8"/>
  <c r="S161" i="8"/>
  <c r="S145" i="8"/>
  <c r="S129" i="8"/>
  <c r="S113" i="8"/>
  <c r="S97" i="8"/>
  <c r="S81" i="8"/>
  <c r="S65" i="8"/>
  <c r="S49" i="8"/>
  <c r="S33" i="8"/>
  <c r="U488" i="8"/>
  <c r="U458" i="8"/>
  <c r="U430" i="8"/>
  <c r="U402" i="8"/>
  <c r="U373" i="8"/>
  <c r="U345" i="8"/>
  <c r="U317" i="8"/>
  <c r="U284" i="8"/>
  <c r="U252" i="8"/>
  <c r="U220" i="8"/>
  <c r="U186" i="8"/>
  <c r="U154" i="8"/>
  <c r="U120" i="8"/>
  <c r="U77" i="8"/>
  <c r="Q20" i="8"/>
  <c r="Q12" i="8"/>
  <c r="R18" i="8"/>
  <c r="R10" i="8"/>
  <c r="U20" i="8"/>
  <c r="U12" i="8"/>
  <c r="V18" i="8"/>
  <c r="V10" i="8"/>
  <c r="W16" i="8"/>
  <c r="W8" i="8"/>
  <c r="X14" i="8"/>
  <c r="Y20" i="8"/>
  <c r="Y12" i="8"/>
  <c r="AA16" i="8"/>
  <c r="AA8" i="8"/>
  <c r="AB14" i="8"/>
  <c r="AC20" i="8"/>
  <c r="AC12" i="8"/>
  <c r="R490" i="8"/>
  <c r="R479" i="8"/>
  <c r="R468" i="8"/>
  <c r="R458" i="8"/>
  <c r="R447" i="8"/>
  <c r="R436" i="8"/>
  <c r="R426" i="8"/>
  <c r="R415" i="8"/>
  <c r="R404" i="8"/>
  <c r="R391" i="8"/>
  <c r="R379" i="8"/>
  <c r="R366" i="8"/>
  <c r="R354" i="8"/>
  <c r="R340" i="8"/>
  <c r="R327" i="8"/>
  <c r="R315" i="8"/>
  <c r="R302" i="8"/>
  <c r="R290" i="8"/>
  <c r="R275" i="8"/>
  <c r="R259" i="8"/>
  <c r="R243" i="8"/>
  <c r="R227" i="8"/>
  <c r="R211" i="8"/>
  <c r="R195" i="8"/>
  <c r="R179" i="8"/>
  <c r="R163" i="8"/>
  <c r="R147" i="8"/>
  <c r="R131" i="8"/>
  <c r="R115" i="8"/>
  <c r="R99" i="8"/>
  <c r="R83" i="8"/>
  <c r="R67" i="8"/>
  <c r="R51" i="8"/>
  <c r="R35" i="8"/>
  <c r="U23" i="8"/>
  <c r="U31" i="8"/>
  <c r="U39" i="8"/>
  <c r="U47" i="8"/>
  <c r="U55" i="8"/>
  <c r="U63" i="8"/>
  <c r="U71" i="8"/>
  <c r="U79" i="8"/>
  <c r="U87" i="8"/>
  <c r="U95" i="8"/>
  <c r="U103" i="8"/>
  <c r="U111" i="8"/>
  <c r="U119" i="8"/>
  <c r="U127" i="8"/>
  <c r="U135" i="8"/>
  <c r="U143" i="8"/>
  <c r="U151" i="8"/>
  <c r="U159" i="8"/>
  <c r="U167" i="8"/>
  <c r="U175" i="8"/>
  <c r="U183" i="8"/>
  <c r="U191" i="8"/>
  <c r="U199" i="8"/>
  <c r="U207" i="8"/>
  <c r="U215" i="8"/>
  <c r="U223" i="8"/>
  <c r="U231" i="8"/>
  <c r="U239" i="8"/>
  <c r="U247" i="8"/>
  <c r="U255" i="8"/>
  <c r="U263" i="8"/>
  <c r="U271" i="8"/>
  <c r="U279" i="8"/>
  <c r="U287" i="8"/>
  <c r="U295" i="8"/>
  <c r="U303" i="8"/>
  <c r="U311" i="8"/>
  <c r="U319" i="8"/>
  <c r="U327" i="8"/>
  <c r="U335" i="8"/>
  <c r="U343" i="8"/>
  <c r="U351" i="8"/>
  <c r="U359" i="8"/>
  <c r="U367" i="8"/>
  <c r="U375" i="8"/>
  <c r="U383" i="8"/>
  <c r="U391" i="8"/>
  <c r="U399" i="8"/>
  <c r="U407" i="8"/>
  <c r="U415" i="8"/>
  <c r="U423" i="8"/>
  <c r="U431" i="8"/>
  <c r="U439" i="8"/>
  <c r="U447" i="8"/>
  <c r="U455" i="8"/>
  <c r="U463" i="8"/>
  <c r="U471" i="8"/>
  <c r="U479" i="8"/>
  <c r="U487" i="8"/>
  <c r="U495" i="8"/>
  <c r="U27" i="8"/>
  <c r="U35" i="8"/>
  <c r="U43" i="8"/>
  <c r="U51" i="8"/>
  <c r="U59" i="8"/>
  <c r="U67" i="8"/>
  <c r="U75" i="8"/>
  <c r="U83" i="8"/>
  <c r="U91" i="8"/>
  <c r="U99" i="8"/>
  <c r="U107" i="8"/>
  <c r="U115" i="8"/>
  <c r="U123" i="8"/>
  <c r="U131" i="8"/>
  <c r="U139" i="8"/>
  <c r="U147" i="8"/>
  <c r="U155" i="8"/>
  <c r="U163" i="8"/>
  <c r="U171" i="8"/>
  <c r="U179" i="8"/>
  <c r="U187" i="8"/>
  <c r="U195" i="8"/>
  <c r="U203" i="8"/>
  <c r="U211" i="8"/>
  <c r="U219" i="8"/>
  <c r="U227" i="8"/>
  <c r="U235" i="8"/>
  <c r="U243" i="8"/>
  <c r="U251" i="8"/>
  <c r="U259" i="8"/>
  <c r="U267" i="8"/>
  <c r="U275" i="8"/>
  <c r="U283" i="8"/>
  <c r="U291" i="8"/>
  <c r="U299" i="8"/>
  <c r="U307" i="8"/>
  <c r="U315" i="8"/>
  <c r="U323" i="8"/>
  <c r="U331" i="8"/>
  <c r="U339" i="8"/>
  <c r="U347" i="8"/>
  <c r="U355" i="8"/>
  <c r="U363" i="8"/>
  <c r="U371" i="8"/>
  <c r="U379" i="8"/>
  <c r="U387" i="8"/>
  <c r="U395" i="8"/>
  <c r="U403" i="8"/>
  <c r="U411" i="8"/>
  <c r="U419" i="8"/>
  <c r="U427" i="8"/>
  <c r="U435" i="8"/>
  <c r="U443" i="8"/>
  <c r="U451" i="8"/>
  <c r="U459" i="8"/>
  <c r="U467" i="8"/>
  <c r="U475" i="8"/>
  <c r="U483" i="8"/>
  <c r="U491" i="8"/>
  <c r="U29" i="8"/>
  <c r="U40" i="8"/>
  <c r="U50" i="8"/>
  <c r="U61" i="8"/>
  <c r="U72" i="8"/>
  <c r="U82" i="8"/>
  <c r="U93" i="8"/>
  <c r="U104" i="8"/>
  <c r="U114" i="8"/>
  <c r="U125" i="8"/>
  <c r="U136" i="8"/>
  <c r="U32" i="8"/>
  <c r="U42" i="8"/>
  <c r="U53" i="8"/>
  <c r="U64" i="8"/>
  <c r="U74" i="8"/>
  <c r="U85" i="8"/>
  <c r="U96" i="8"/>
  <c r="U106" i="8"/>
  <c r="U117" i="8"/>
  <c r="U128" i="8"/>
  <c r="U138" i="8"/>
  <c r="U149" i="8"/>
  <c r="U160" i="8"/>
  <c r="U170" i="8"/>
  <c r="U181" i="8"/>
  <c r="U192" i="8"/>
  <c r="U202" i="8"/>
  <c r="U213" i="8"/>
  <c r="U224" i="8"/>
  <c r="U234" i="8"/>
  <c r="U245" i="8"/>
  <c r="U256" i="8"/>
  <c r="U266" i="8"/>
  <c r="U277" i="8"/>
  <c r="U288" i="8"/>
  <c r="U298" i="8"/>
  <c r="U309" i="8"/>
  <c r="U25" i="8"/>
  <c r="U38" i="8"/>
  <c r="U54" i="8"/>
  <c r="U68" i="8"/>
  <c r="U81" i="8"/>
  <c r="U97" i="8"/>
  <c r="U110" i="8"/>
  <c r="U124" i="8"/>
  <c r="U140" i="8"/>
  <c r="U152" i="8"/>
  <c r="U164" i="8"/>
  <c r="U176" i="8"/>
  <c r="U188" i="8"/>
  <c r="U200" i="8"/>
  <c r="U212" i="8"/>
  <c r="U225" i="8"/>
  <c r="U237" i="8"/>
  <c r="U249" i="8"/>
  <c r="U261" i="8"/>
  <c r="U273" i="8"/>
  <c r="U285" i="8"/>
  <c r="U297" i="8"/>
  <c r="U310" i="8"/>
  <c r="U321" i="8"/>
  <c r="U332" i="8"/>
  <c r="U342" i="8"/>
  <c r="U353" i="8"/>
  <c r="U364" i="8"/>
  <c r="U374" i="8"/>
  <c r="U385" i="8"/>
  <c r="U396" i="8"/>
  <c r="U406" i="8"/>
  <c r="U417" i="8"/>
  <c r="U428" i="8"/>
  <c r="U438" i="8"/>
  <c r="U449" i="8"/>
  <c r="U460" i="8"/>
  <c r="U470" i="8"/>
  <c r="U481" i="8"/>
  <c r="U492" i="8"/>
  <c r="U30" i="8"/>
  <c r="U45" i="8"/>
  <c r="U58" i="8"/>
  <c r="U73" i="8"/>
  <c r="U88" i="8"/>
  <c r="U101" i="8"/>
  <c r="U33" i="8"/>
  <c r="U46" i="8"/>
  <c r="U60" i="8"/>
  <c r="U76" i="8"/>
  <c r="U89" i="8"/>
  <c r="U102" i="8"/>
  <c r="U118" i="8"/>
  <c r="U132" i="8"/>
  <c r="U145" i="8"/>
  <c r="U157" i="8"/>
  <c r="U169" i="8"/>
  <c r="U182" i="8"/>
  <c r="U194" i="8"/>
  <c r="U206" i="8"/>
  <c r="U218" i="8"/>
  <c r="U230" i="8"/>
  <c r="U242" i="8"/>
  <c r="U254" i="8"/>
  <c r="U268" i="8"/>
  <c r="U280" i="8"/>
  <c r="U292" i="8"/>
  <c r="U304" i="8"/>
  <c r="U316" i="8"/>
  <c r="U326" i="8"/>
  <c r="U337" i="8"/>
  <c r="U348" i="8"/>
  <c r="U358" i="8"/>
  <c r="U369" i="8"/>
  <c r="U380" i="8"/>
  <c r="U390" i="8"/>
  <c r="U401" i="8"/>
  <c r="U412" i="8"/>
  <c r="U422" i="8"/>
  <c r="U433" i="8"/>
  <c r="U444" i="8"/>
  <c r="U454" i="8"/>
  <c r="U465" i="8"/>
  <c r="U476" i="8"/>
  <c r="U486" i="8"/>
  <c r="U26" i="8"/>
  <c r="U49" i="8"/>
  <c r="U70" i="8"/>
  <c r="U94" i="8"/>
  <c r="U116" i="8"/>
  <c r="U134" i="8"/>
  <c r="U153" i="8"/>
  <c r="U168" i="8"/>
  <c r="U185" i="8"/>
  <c r="U201" i="8"/>
  <c r="U217" i="8"/>
  <c r="U233" i="8"/>
  <c r="U250" i="8"/>
  <c r="U265" i="8"/>
  <c r="U282" i="8"/>
  <c r="U300" i="8"/>
  <c r="U314" i="8"/>
  <c r="U329" i="8"/>
  <c r="U344" i="8"/>
  <c r="U357" i="8"/>
  <c r="U372" i="8"/>
  <c r="U386" i="8"/>
  <c r="U400" i="8"/>
  <c r="U414" i="8"/>
  <c r="U429" i="8"/>
  <c r="U442" i="8"/>
  <c r="U457" i="8"/>
  <c r="U472" i="8"/>
  <c r="U485" i="8"/>
  <c r="U36" i="8"/>
  <c r="U57" i="8"/>
  <c r="U80" i="8"/>
  <c r="U105" i="8"/>
  <c r="U122" i="8"/>
  <c r="U142" i="8"/>
  <c r="U158" i="8"/>
  <c r="U174" i="8"/>
  <c r="U190" i="8"/>
  <c r="U208" i="8"/>
  <c r="U222" i="8"/>
  <c r="U240" i="8"/>
  <c r="U257" i="8"/>
  <c r="U272" i="8"/>
  <c r="U289" i="8"/>
  <c r="U305" i="8"/>
  <c r="U320" i="8"/>
  <c r="U334" i="8"/>
  <c r="U349" i="8"/>
  <c r="U362" i="8"/>
  <c r="U377" i="8"/>
  <c r="U392" i="8"/>
  <c r="U405" i="8"/>
  <c r="U420" i="8"/>
  <c r="U434" i="8"/>
  <c r="U448" i="8"/>
  <c r="U462" i="8"/>
  <c r="U477" i="8"/>
  <c r="U490" i="8"/>
  <c r="U37" i="8"/>
  <c r="U62" i="8"/>
  <c r="U84" i="8"/>
  <c r="U108" i="8"/>
  <c r="U126" i="8"/>
  <c r="U144" i="8"/>
  <c r="U161" i="8"/>
  <c r="U177" i="8"/>
  <c r="U193" i="8"/>
  <c r="U209" i="8"/>
  <c r="U226" i="8"/>
  <c r="U241" i="8"/>
  <c r="U258" i="8"/>
  <c r="U274" i="8"/>
  <c r="U290" i="8"/>
  <c r="U306" i="8"/>
  <c r="U322" i="8"/>
  <c r="U336" i="8"/>
  <c r="U350" i="8"/>
  <c r="U365" i="8"/>
  <c r="U378" i="8"/>
  <c r="U393" i="8"/>
  <c r="U408" i="8"/>
  <c r="U421" i="8"/>
  <c r="U436" i="8"/>
  <c r="U450" i="8"/>
  <c r="U464" i="8"/>
  <c r="U478" i="8"/>
  <c r="U493" i="8"/>
  <c r="U24" i="8"/>
  <c r="U48" i="8"/>
  <c r="U69" i="8"/>
  <c r="U92" i="8"/>
  <c r="U113" i="8"/>
  <c r="U133" i="8"/>
  <c r="U150" i="8"/>
  <c r="U166" i="8"/>
  <c r="U184" i="8"/>
  <c r="U198" i="8"/>
  <c r="U216" i="8"/>
  <c r="U232" i="8"/>
  <c r="U248" i="8"/>
  <c r="U264" i="8"/>
  <c r="U281" i="8"/>
  <c r="U296" i="8"/>
  <c r="U313" i="8"/>
  <c r="U328" i="8"/>
  <c r="U341" i="8"/>
  <c r="U356" i="8"/>
  <c r="U370" i="8"/>
  <c r="U384" i="8"/>
  <c r="U398" i="8"/>
  <c r="U413" i="8"/>
  <c r="U426" i="8"/>
  <c r="U441" i="8"/>
  <c r="U456" i="8"/>
  <c r="U469" i="8"/>
  <c r="U484" i="8"/>
  <c r="U11" i="8"/>
  <c r="X13" i="8"/>
  <c r="Y19" i="8"/>
  <c r="Y11" i="8"/>
  <c r="AB13" i="8"/>
  <c r="AC19" i="8"/>
  <c r="AC11" i="8"/>
  <c r="R488" i="8"/>
  <c r="R478" i="8"/>
  <c r="R467" i="8"/>
  <c r="R456" i="8"/>
  <c r="R446" i="8"/>
  <c r="R435" i="8"/>
  <c r="R424" i="8"/>
  <c r="R414" i="8"/>
  <c r="R403" i="8"/>
  <c r="R390" i="8"/>
  <c r="R378" i="8"/>
  <c r="R364" i="8"/>
  <c r="R351" i="8"/>
  <c r="R339" i="8"/>
  <c r="R326" i="8"/>
  <c r="R314" i="8"/>
  <c r="R300" i="8"/>
  <c r="R287" i="8"/>
  <c r="R274" i="8"/>
  <c r="R258" i="8"/>
  <c r="R242" i="8"/>
  <c r="R226" i="8"/>
  <c r="R210" i="8"/>
  <c r="R194" i="8"/>
  <c r="R178" i="8"/>
  <c r="R162" i="8"/>
  <c r="R146" i="8"/>
  <c r="R130" i="8"/>
  <c r="R114" i="8"/>
  <c r="R98" i="8"/>
  <c r="R82" i="8"/>
  <c r="R66" i="8"/>
  <c r="R50" i="8"/>
  <c r="R34" i="8"/>
  <c r="S493" i="8"/>
  <c r="S477" i="8"/>
  <c r="S461" i="8"/>
  <c r="S445" i="8"/>
  <c r="S429" i="8"/>
  <c r="S413" i="8"/>
  <c r="S397" i="8"/>
  <c r="S381" i="8"/>
  <c r="S365" i="8"/>
  <c r="S349" i="8"/>
  <c r="S333" i="8"/>
  <c r="S317" i="8"/>
  <c r="S301" i="8"/>
  <c r="S285" i="8"/>
  <c r="S269" i="8"/>
  <c r="S253" i="8"/>
  <c r="S237" i="8"/>
  <c r="S221" i="8"/>
  <c r="S205" i="8"/>
  <c r="S189" i="8"/>
  <c r="S173" i="8"/>
  <c r="S157" i="8"/>
  <c r="S141" i="8"/>
  <c r="S125" i="8"/>
  <c r="S109" i="8"/>
  <c r="S93" i="8"/>
  <c r="S77" i="8"/>
  <c r="S61" i="8"/>
  <c r="S45" i="8"/>
  <c r="S29" i="8"/>
  <c r="U480" i="8"/>
  <c r="U452" i="8"/>
  <c r="U424" i="8"/>
  <c r="U394" i="8"/>
  <c r="U366" i="8"/>
  <c r="U338" i="8"/>
  <c r="U308" i="8"/>
  <c r="U276" i="8"/>
  <c r="U244" i="8"/>
  <c r="U210" i="8"/>
  <c r="U178" i="8"/>
  <c r="U146" i="8"/>
  <c r="U109" i="8"/>
  <c r="U65" i="8"/>
  <c r="Q18" i="8"/>
  <c r="Q10" i="8"/>
  <c r="R16" i="8"/>
  <c r="R8" i="8"/>
  <c r="U18" i="8"/>
  <c r="U10" i="8"/>
  <c r="V16" i="8"/>
  <c r="V8" i="8"/>
  <c r="W14" i="8"/>
  <c r="X20" i="8"/>
  <c r="X12" i="8"/>
  <c r="Y18" i="8"/>
  <c r="Y10" i="8"/>
  <c r="Z16" i="8"/>
  <c r="Z8" i="8"/>
  <c r="AA14" i="8"/>
  <c r="AB20" i="8"/>
  <c r="AB12" i="8"/>
  <c r="AC18" i="8"/>
  <c r="AC10" i="8"/>
  <c r="R487" i="8"/>
  <c r="R476" i="8"/>
  <c r="R466" i="8"/>
  <c r="R455" i="8"/>
  <c r="R444" i="8"/>
  <c r="R434" i="8"/>
  <c r="R423" i="8"/>
  <c r="R412" i="8"/>
  <c r="R402" i="8"/>
  <c r="R388" i="8"/>
  <c r="R375" i="8"/>
  <c r="R363" i="8"/>
  <c r="R350" i="8"/>
  <c r="R338" i="8"/>
  <c r="R324" i="8"/>
  <c r="R311" i="8"/>
  <c r="R299" i="8"/>
  <c r="R286" i="8"/>
  <c r="R271" i="8"/>
  <c r="R255" i="8"/>
  <c r="R239" i="8"/>
  <c r="R223" i="8"/>
  <c r="R207" i="8"/>
  <c r="R191" i="8"/>
  <c r="R175" i="8"/>
  <c r="R159" i="8"/>
  <c r="R143" i="8"/>
  <c r="R127" i="8"/>
  <c r="R111" i="8"/>
  <c r="R95" i="8"/>
  <c r="R79" i="8"/>
  <c r="R63" i="8"/>
  <c r="R47" i="8"/>
  <c r="R31" i="8"/>
  <c r="S490" i="8"/>
  <c r="S474" i="8"/>
  <c r="S458" i="8"/>
  <c r="S442" i="8"/>
  <c r="S426" i="8"/>
  <c r="S410" i="8"/>
  <c r="S394" i="8"/>
  <c r="S378" i="8"/>
  <c r="S362" i="8"/>
  <c r="S346" i="8"/>
  <c r="S330" i="8"/>
  <c r="S314" i="8"/>
  <c r="S298" i="8"/>
  <c r="S282" i="8"/>
  <c r="S266" i="8"/>
  <c r="S250" i="8"/>
  <c r="S234" i="8"/>
  <c r="S218" i="8"/>
  <c r="S202" i="8"/>
  <c r="S186" i="8"/>
  <c r="S170" i="8"/>
  <c r="S154" i="8"/>
  <c r="S138" i="8"/>
  <c r="S122" i="8"/>
  <c r="S106" i="8"/>
  <c r="S90" i="8"/>
  <c r="S74" i="8"/>
  <c r="S58" i="8"/>
  <c r="S42" i="8"/>
  <c r="S26" i="8"/>
  <c r="U474" i="8"/>
  <c r="U446" i="8"/>
  <c r="U418" i="8"/>
  <c r="U389" i="8"/>
  <c r="U361" i="8"/>
  <c r="U333" i="8"/>
  <c r="U302" i="8"/>
  <c r="U270" i="8"/>
  <c r="U238" i="8"/>
  <c r="U205" i="8"/>
  <c r="U173" i="8"/>
  <c r="U141" i="8"/>
  <c r="U100" i="8"/>
  <c r="U56" i="8"/>
  <c r="U17" i="8"/>
  <c r="U9" i="8"/>
  <c r="W13" i="8"/>
  <c r="X19" i="8"/>
  <c r="X11" i="8"/>
  <c r="Y17" i="8"/>
  <c r="Y9" i="8"/>
  <c r="AA13" i="8"/>
  <c r="AB19" i="8"/>
  <c r="AB11" i="8"/>
  <c r="AC17" i="8"/>
  <c r="AC9" i="8"/>
  <c r="R496" i="8"/>
  <c r="R486" i="8"/>
  <c r="R475" i="8"/>
  <c r="R464" i="8"/>
  <c r="R454" i="8"/>
  <c r="R443" i="8"/>
  <c r="R432" i="8"/>
  <c r="R422" i="8"/>
  <c r="R411" i="8"/>
  <c r="R399" i="8"/>
  <c r="R387" i="8"/>
  <c r="R374" i="8"/>
  <c r="R362" i="8"/>
  <c r="R348" i="8"/>
  <c r="R335" i="8"/>
  <c r="R323" i="8"/>
  <c r="R310" i="8"/>
  <c r="R298" i="8"/>
  <c r="R284" i="8"/>
  <c r="R270" i="8"/>
  <c r="R254" i="8"/>
  <c r="R238" i="8"/>
  <c r="R222" i="8"/>
  <c r="R206" i="8"/>
  <c r="R190" i="8"/>
  <c r="R174" i="8"/>
  <c r="R158" i="8"/>
  <c r="R142" i="8"/>
  <c r="R126" i="8"/>
  <c r="R110" i="8"/>
  <c r="R94" i="8"/>
  <c r="R78" i="8"/>
  <c r="R62" i="8"/>
  <c r="R46" i="8"/>
  <c r="R30" i="8"/>
  <c r="S489" i="8"/>
  <c r="S473" i="8"/>
  <c r="S457" i="8"/>
  <c r="S441" i="8"/>
  <c r="S425" i="8"/>
  <c r="S409" i="8"/>
  <c r="S393" i="8"/>
  <c r="S377" i="8"/>
  <c r="S361" i="8"/>
  <c r="S345" i="8"/>
  <c r="S329" i="8"/>
  <c r="S313" i="8"/>
  <c r="S297" i="8"/>
  <c r="S281" i="8"/>
  <c r="S265" i="8"/>
  <c r="S249" i="8"/>
  <c r="S233" i="8"/>
  <c r="S217" i="8"/>
  <c r="S201" i="8"/>
  <c r="S185" i="8"/>
  <c r="S169" i="8"/>
  <c r="S153" i="8"/>
  <c r="S137" i="8"/>
  <c r="S121" i="8"/>
  <c r="S105" i="8"/>
  <c r="S89" i="8"/>
  <c r="S73" i="8"/>
  <c r="S57" i="8"/>
  <c r="S41" i="8"/>
  <c r="U473" i="8"/>
  <c r="U445" i="8"/>
  <c r="U416" i="8"/>
  <c r="U388" i="8"/>
  <c r="U360" i="8"/>
  <c r="U330" i="8"/>
  <c r="U301" i="8"/>
  <c r="U269" i="8"/>
  <c r="U236" i="8"/>
  <c r="U204" i="8"/>
  <c r="U172" i="8"/>
  <c r="U137" i="8"/>
  <c r="U98" i="8"/>
  <c r="U52" i="8"/>
  <c r="Q16" i="8"/>
  <c r="Q8" i="8"/>
  <c r="R14" i="8"/>
  <c r="U16" i="8"/>
  <c r="U8" i="8"/>
  <c r="V14" i="8"/>
  <c r="W20" i="8"/>
  <c r="W12" i="8"/>
  <c r="X18" i="8"/>
  <c r="X10" i="8"/>
  <c r="Y16" i="8"/>
  <c r="Y8" i="8"/>
  <c r="Z14" i="8"/>
  <c r="AA20" i="8"/>
  <c r="AA12" i="8"/>
  <c r="AB18" i="8"/>
  <c r="AB10" i="8"/>
  <c r="AC16" i="8"/>
  <c r="AC8" i="8"/>
  <c r="R495" i="8"/>
  <c r="R484" i="8"/>
  <c r="R474" i="8"/>
  <c r="R463" i="8"/>
  <c r="R452" i="8"/>
  <c r="R442" i="8"/>
  <c r="R431" i="8"/>
  <c r="R420" i="8"/>
  <c r="R410" i="8"/>
  <c r="R398" i="8"/>
  <c r="R386" i="8"/>
  <c r="R372" i="8"/>
  <c r="R359" i="8"/>
  <c r="R347" i="8"/>
  <c r="R334" i="8"/>
  <c r="R322" i="8"/>
  <c r="R308" i="8"/>
  <c r="R295" i="8"/>
  <c r="R283" i="8"/>
  <c r="R267" i="8"/>
  <c r="R251" i="8"/>
  <c r="R235" i="8"/>
  <c r="R219" i="8"/>
  <c r="R203" i="8"/>
  <c r="R187" i="8"/>
  <c r="R171" i="8"/>
  <c r="R155" i="8"/>
  <c r="R139" i="8"/>
  <c r="R123" i="8"/>
  <c r="R107" i="8"/>
  <c r="R91" i="8"/>
  <c r="R75" i="8"/>
  <c r="R59" i="8"/>
  <c r="R43" i="8"/>
  <c r="R27" i="8"/>
  <c r="S24" i="8"/>
  <c r="S32" i="8"/>
  <c r="S40" i="8"/>
  <c r="S48" i="8"/>
  <c r="S56" i="8"/>
  <c r="S64" i="8"/>
  <c r="S72" i="8"/>
  <c r="S80" i="8"/>
  <c r="S88" i="8"/>
  <c r="S96" i="8"/>
  <c r="S104" i="8"/>
  <c r="S112" i="8"/>
  <c r="S120" i="8"/>
  <c r="S128" i="8"/>
  <c r="S136" i="8"/>
  <c r="S144" i="8"/>
  <c r="S152" i="8"/>
  <c r="S160" i="8"/>
  <c r="S168" i="8"/>
  <c r="S176" i="8"/>
  <c r="S184" i="8"/>
  <c r="S192" i="8"/>
  <c r="S200" i="8"/>
  <c r="S208" i="8"/>
  <c r="S216" i="8"/>
  <c r="S224" i="8"/>
  <c r="S232" i="8"/>
  <c r="S240" i="8"/>
  <c r="S248" i="8"/>
  <c r="S256" i="8"/>
  <c r="S264" i="8"/>
  <c r="S272" i="8"/>
  <c r="S280" i="8"/>
  <c r="S288" i="8"/>
  <c r="S296" i="8"/>
  <c r="S304" i="8"/>
  <c r="S312" i="8"/>
  <c r="S320" i="8"/>
  <c r="S328" i="8"/>
  <c r="S336" i="8"/>
  <c r="S344" i="8"/>
  <c r="S352" i="8"/>
  <c r="S360" i="8"/>
  <c r="S368" i="8"/>
  <c r="S376" i="8"/>
  <c r="S384" i="8"/>
  <c r="S392" i="8"/>
  <c r="S400" i="8"/>
  <c r="S408" i="8"/>
  <c r="S416" i="8"/>
  <c r="S424" i="8"/>
  <c r="S432" i="8"/>
  <c r="S440" i="8"/>
  <c r="S448" i="8"/>
  <c r="S456" i="8"/>
  <c r="S464" i="8"/>
  <c r="S472" i="8"/>
  <c r="S480" i="8"/>
  <c r="S488" i="8"/>
  <c r="S496" i="8"/>
  <c r="S27" i="8"/>
  <c r="S35" i="8"/>
  <c r="S43" i="8"/>
  <c r="S51" i="8"/>
  <c r="S59" i="8"/>
  <c r="S67" i="8"/>
  <c r="S75" i="8"/>
  <c r="S83" i="8"/>
  <c r="S91" i="8"/>
  <c r="S99" i="8"/>
  <c r="S107" i="8"/>
  <c r="S115" i="8"/>
  <c r="S123" i="8"/>
  <c r="S131" i="8"/>
  <c r="S139" i="8"/>
  <c r="S147" i="8"/>
  <c r="S155" i="8"/>
  <c r="S163" i="8"/>
  <c r="S171" i="8"/>
  <c r="S179" i="8"/>
  <c r="S187" i="8"/>
  <c r="S195" i="8"/>
  <c r="S203" i="8"/>
  <c r="S211" i="8"/>
  <c r="S219" i="8"/>
  <c r="S227" i="8"/>
  <c r="S235" i="8"/>
  <c r="S243" i="8"/>
  <c r="S251" i="8"/>
  <c r="S259" i="8"/>
  <c r="S267" i="8"/>
  <c r="S275" i="8"/>
  <c r="S283" i="8"/>
  <c r="S291" i="8"/>
  <c r="S299" i="8"/>
  <c r="S307" i="8"/>
  <c r="S315" i="8"/>
  <c r="S323" i="8"/>
  <c r="S331" i="8"/>
  <c r="S339" i="8"/>
  <c r="S347" i="8"/>
  <c r="S355" i="8"/>
  <c r="S363" i="8"/>
  <c r="S371" i="8"/>
  <c r="S379" i="8"/>
  <c r="S387" i="8"/>
  <c r="S395" i="8"/>
  <c r="S403" i="8"/>
  <c r="S411" i="8"/>
  <c r="S419" i="8"/>
  <c r="S427" i="8"/>
  <c r="S435" i="8"/>
  <c r="S443" i="8"/>
  <c r="S451" i="8"/>
  <c r="S459" i="8"/>
  <c r="S467" i="8"/>
  <c r="S475" i="8"/>
  <c r="S483" i="8"/>
  <c r="S491" i="8"/>
  <c r="S28" i="8"/>
  <c r="S36" i="8"/>
  <c r="S44" i="8"/>
  <c r="S52" i="8"/>
  <c r="S60" i="8"/>
  <c r="S68" i="8"/>
  <c r="S76" i="8"/>
  <c r="S84" i="8"/>
  <c r="S92" i="8"/>
  <c r="S100" i="8"/>
  <c r="S108" i="8"/>
  <c r="S116" i="8"/>
  <c r="S124" i="8"/>
  <c r="S132" i="8"/>
  <c r="S140" i="8"/>
  <c r="S148" i="8"/>
  <c r="S156" i="8"/>
  <c r="S164" i="8"/>
  <c r="S172" i="8"/>
  <c r="S180" i="8"/>
  <c r="S188" i="8"/>
  <c r="S196" i="8"/>
  <c r="S204" i="8"/>
  <c r="S212" i="8"/>
  <c r="S220" i="8"/>
  <c r="S228" i="8"/>
  <c r="S236" i="8"/>
  <c r="S244" i="8"/>
  <c r="S252" i="8"/>
  <c r="S260" i="8"/>
  <c r="S268" i="8"/>
  <c r="S276" i="8"/>
  <c r="S284" i="8"/>
  <c r="S292" i="8"/>
  <c r="S300" i="8"/>
  <c r="S308" i="8"/>
  <c r="S316" i="8"/>
  <c r="S324" i="8"/>
  <c r="S332" i="8"/>
  <c r="S340" i="8"/>
  <c r="S348" i="8"/>
  <c r="S356" i="8"/>
  <c r="S364" i="8"/>
  <c r="S372" i="8"/>
  <c r="S380" i="8"/>
  <c r="S388" i="8"/>
  <c r="S396" i="8"/>
  <c r="S404" i="8"/>
  <c r="S412" i="8"/>
  <c r="S420" i="8"/>
  <c r="S428" i="8"/>
  <c r="S436" i="8"/>
  <c r="S444" i="8"/>
  <c r="S452" i="8"/>
  <c r="S460" i="8"/>
  <c r="S468" i="8"/>
  <c r="S476" i="8"/>
  <c r="S484" i="8"/>
  <c r="S492" i="8"/>
  <c r="S23" i="8"/>
  <c r="S31" i="8"/>
  <c r="S39" i="8"/>
  <c r="S47" i="8"/>
  <c r="S55" i="8"/>
  <c r="S63" i="8"/>
  <c r="S71" i="8"/>
  <c r="S79" i="8"/>
  <c r="S87" i="8"/>
  <c r="S95" i="8"/>
  <c r="S103" i="8"/>
  <c r="S111" i="8"/>
  <c r="S119" i="8"/>
  <c r="S127" i="8"/>
  <c r="S135" i="8"/>
  <c r="S143" i="8"/>
  <c r="S151" i="8"/>
  <c r="S159" i="8"/>
  <c r="S167" i="8"/>
  <c r="S175" i="8"/>
  <c r="S183" i="8"/>
  <c r="S191" i="8"/>
  <c r="S199" i="8"/>
  <c r="S207" i="8"/>
  <c r="S215" i="8"/>
  <c r="S223" i="8"/>
  <c r="S231" i="8"/>
  <c r="S239" i="8"/>
  <c r="S247" i="8"/>
  <c r="S255" i="8"/>
  <c r="S263" i="8"/>
  <c r="S271" i="8"/>
  <c r="S279" i="8"/>
  <c r="S287" i="8"/>
  <c r="S295" i="8"/>
  <c r="S303" i="8"/>
  <c r="S311" i="8"/>
  <c r="S319" i="8"/>
  <c r="S327" i="8"/>
  <c r="S335" i="8"/>
  <c r="S343" i="8"/>
  <c r="S351" i="8"/>
  <c r="S359" i="8"/>
  <c r="S367" i="8"/>
  <c r="S375" i="8"/>
  <c r="S383" i="8"/>
  <c r="S391" i="8"/>
  <c r="S399" i="8"/>
  <c r="S407" i="8"/>
  <c r="S415" i="8"/>
  <c r="S423" i="8"/>
  <c r="S431" i="8"/>
  <c r="S439" i="8"/>
  <c r="S447" i="8"/>
  <c r="S455" i="8"/>
  <c r="S463" i="8"/>
  <c r="S471" i="8"/>
  <c r="S479" i="8"/>
  <c r="S487" i="8"/>
  <c r="S495" i="8"/>
  <c r="U496" i="8"/>
  <c r="U468" i="8"/>
  <c r="U440" i="8"/>
  <c r="U410" i="8"/>
  <c r="U382" i="8"/>
  <c r="U354" i="8"/>
  <c r="U325" i="8"/>
  <c r="U294" i="8"/>
  <c r="U262" i="8"/>
  <c r="U229" i="8"/>
  <c r="U197" i="8"/>
  <c r="U165" i="8"/>
  <c r="U130" i="8"/>
  <c r="U90" i="8"/>
  <c r="U44" i="8"/>
  <c r="V13" i="8"/>
  <c r="W19" i="8"/>
  <c r="W11" i="8"/>
  <c r="X17" i="8"/>
  <c r="X9" i="8"/>
  <c r="AB17" i="8"/>
  <c r="AB9" i="8"/>
  <c r="R494" i="8"/>
  <c r="R483" i="8"/>
  <c r="R472" i="8"/>
  <c r="R462" i="8"/>
  <c r="R451" i="8"/>
  <c r="R440" i="8"/>
  <c r="R430" i="8"/>
  <c r="R419" i="8"/>
  <c r="R408" i="8"/>
  <c r="R396" i="8"/>
  <c r="R383" i="8"/>
  <c r="R371" i="8"/>
  <c r="R358" i="8"/>
  <c r="R346" i="8"/>
  <c r="R332" i="8"/>
  <c r="R319" i="8"/>
  <c r="R307" i="8"/>
  <c r="R294" i="8"/>
  <c r="R282" i="8"/>
  <c r="R266" i="8"/>
  <c r="R250" i="8"/>
  <c r="R234" i="8"/>
  <c r="R218" i="8"/>
  <c r="R202" i="8"/>
  <c r="R186" i="8"/>
  <c r="R170" i="8"/>
  <c r="R154" i="8"/>
  <c r="R138" i="8"/>
  <c r="R122" i="8"/>
  <c r="R106" i="8"/>
  <c r="R90" i="8"/>
  <c r="R74" i="8"/>
  <c r="R58" i="8"/>
  <c r="R42" i="8"/>
  <c r="R26" i="8"/>
  <c r="S485" i="8"/>
  <c r="S469" i="8"/>
  <c r="S453" i="8"/>
  <c r="S437" i="8"/>
  <c r="S421" i="8"/>
  <c r="S405" i="8"/>
  <c r="S389" i="8"/>
  <c r="S373" i="8"/>
  <c r="S357" i="8"/>
  <c r="S341" i="8"/>
  <c r="S325" i="8"/>
  <c r="S309" i="8"/>
  <c r="S293" i="8"/>
  <c r="S277" i="8"/>
  <c r="S261" i="8"/>
  <c r="S245" i="8"/>
  <c r="S229" i="8"/>
  <c r="S213" i="8"/>
  <c r="S197" i="8"/>
  <c r="S181" i="8"/>
  <c r="S165" i="8"/>
  <c r="S149" i="8"/>
  <c r="S133" i="8"/>
  <c r="S117" i="8"/>
  <c r="S101" i="8"/>
  <c r="S85" i="8"/>
  <c r="S69" i="8"/>
  <c r="S53" i="8"/>
  <c r="S37" i="8"/>
  <c r="U494" i="8"/>
  <c r="U466" i="8"/>
  <c r="U437" i="8"/>
  <c r="U409" i="8"/>
  <c r="U381" i="8"/>
  <c r="U352" i="8"/>
  <c r="U324" i="8"/>
  <c r="U293" i="8"/>
  <c r="U260" i="8"/>
  <c r="U228" i="8"/>
  <c r="U196" i="8"/>
  <c r="U162" i="8"/>
  <c r="U129" i="8"/>
  <c r="U86" i="8"/>
  <c r="U41" i="8"/>
  <c r="R13" i="8"/>
  <c r="U15" i="8"/>
  <c r="R20" i="8"/>
  <c r="V20" i="8"/>
  <c r="W18" i="8"/>
  <c r="X16" i="8"/>
  <c r="Z20" i="8"/>
  <c r="AA18" i="8"/>
  <c r="AB16" i="8"/>
  <c r="R492" i="8"/>
  <c r="R482" i="8"/>
  <c r="R471" i="8"/>
  <c r="R460" i="8"/>
  <c r="R450" i="8"/>
  <c r="R439" i="8"/>
  <c r="R428" i="8"/>
  <c r="R418" i="8"/>
  <c r="R407" i="8"/>
  <c r="R395" i="8"/>
  <c r="R382" i="8"/>
  <c r="R370" i="8"/>
  <c r="R356" i="8"/>
  <c r="R343" i="8"/>
  <c r="R331" i="8"/>
  <c r="R318" i="8"/>
  <c r="R306" i="8"/>
  <c r="R292" i="8"/>
  <c r="R279" i="8"/>
  <c r="R263" i="8"/>
  <c r="R247" i="8"/>
  <c r="R231" i="8"/>
  <c r="R215" i="8"/>
  <c r="R199" i="8"/>
  <c r="R183" i="8"/>
  <c r="R167" i="8"/>
  <c r="R151" i="8"/>
  <c r="R135" i="8"/>
  <c r="R119" i="8"/>
  <c r="R103" i="8"/>
  <c r="R87" i="8"/>
  <c r="R71" i="8"/>
  <c r="R55" i="8"/>
  <c r="R39" i="8"/>
  <c r="R23" i="8"/>
  <c r="S482" i="8"/>
  <c r="S466" i="8"/>
  <c r="S450" i="8"/>
  <c r="S434" i="8"/>
  <c r="S418" i="8"/>
  <c r="S402" i="8"/>
  <c r="S386" i="8"/>
  <c r="S370" i="8"/>
  <c r="S354" i="8"/>
  <c r="S338" i="8"/>
  <c r="S322" i="8"/>
  <c r="S306" i="8"/>
  <c r="S290" i="8"/>
  <c r="S274" i="8"/>
  <c r="S258" i="8"/>
  <c r="S242" i="8"/>
  <c r="S226" i="8"/>
  <c r="S210" i="8"/>
  <c r="S194" i="8"/>
  <c r="S178" i="8"/>
  <c r="S162" i="8"/>
  <c r="S146" i="8"/>
  <c r="S130" i="8"/>
  <c r="S114" i="8"/>
  <c r="S98" i="8"/>
  <c r="S82" i="8"/>
  <c r="S66" i="8"/>
  <c r="S50" i="8"/>
  <c r="S34" i="8"/>
  <c r="U489" i="8"/>
  <c r="U461" i="8"/>
  <c r="U432" i="8"/>
  <c r="U404" i="8"/>
  <c r="U376" i="8"/>
  <c r="U346" i="8"/>
  <c r="U318" i="8"/>
  <c r="U286" i="8"/>
  <c r="U253" i="8"/>
  <c r="U221" i="8"/>
  <c r="U189" i="8"/>
  <c r="U156" i="8"/>
  <c r="U121" i="8"/>
  <c r="U78" i="8"/>
  <c r="U34" i="8"/>
  <c r="Q194" i="8"/>
  <c r="Q186" i="8"/>
  <c r="Q178" i="8"/>
  <c r="Q170" i="8"/>
  <c r="Q162" i="8"/>
  <c r="Q154" i="8"/>
  <c r="Q146" i="8"/>
  <c r="Q138" i="8"/>
  <c r="Q130" i="8"/>
  <c r="Q122" i="8"/>
  <c r="Q114" i="8"/>
  <c r="Q106" i="8"/>
  <c r="Q98" i="8"/>
  <c r="Q90" i="8"/>
  <c r="Q82" i="8"/>
  <c r="Q74" i="8"/>
  <c r="Q66" i="8"/>
  <c r="Q58" i="8"/>
  <c r="Q50" i="8"/>
  <c r="Q42" i="8"/>
  <c r="Q34" i="8"/>
  <c r="T28" i="8"/>
  <c r="T36" i="8"/>
  <c r="T44" i="8"/>
  <c r="T52" i="8"/>
  <c r="T60" i="8"/>
  <c r="T68" i="8"/>
  <c r="T76" i="8"/>
  <c r="T84" i="8"/>
  <c r="T24" i="8"/>
  <c r="T32" i="8"/>
  <c r="T40" i="8"/>
  <c r="T48" i="8"/>
  <c r="T56" i="8"/>
  <c r="T64" i="8"/>
  <c r="T72" i="8"/>
  <c r="T393" i="8"/>
  <c r="T385" i="8"/>
  <c r="T377" i="8"/>
  <c r="T369" i="8"/>
  <c r="T361" i="8"/>
  <c r="T353" i="8"/>
  <c r="T345" i="8"/>
  <c r="T337" i="8"/>
  <c r="T329" i="8"/>
  <c r="T321" i="8"/>
  <c r="T313" i="8"/>
  <c r="T305" i="8"/>
  <c r="T297" i="8"/>
  <c r="T289" i="8"/>
  <c r="T281" i="8"/>
  <c r="T273" i="8"/>
  <c r="T265" i="8"/>
  <c r="T257" i="8"/>
  <c r="T249" i="8"/>
  <c r="T241" i="8"/>
  <c r="T233" i="8"/>
  <c r="T225" i="8"/>
  <c r="T217" i="8"/>
  <c r="T209" i="8"/>
  <c r="T201" i="8"/>
  <c r="T193" i="8"/>
  <c r="T185" i="8"/>
  <c r="T177" i="8"/>
  <c r="T169" i="8"/>
  <c r="T161" i="8"/>
  <c r="T153" i="8"/>
  <c r="T145" i="8"/>
  <c r="T137" i="8"/>
  <c r="T129" i="8"/>
  <c r="T121" i="8"/>
  <c r="T113" i="8"/>
  <c r="T105" i="8"/>
  <c r="T97" i="8"/>
  <c r="T89" i="8"/>
  <c r="T80" i="8"/>
  <c r="T70" i="8"/>
  <c r="T59" i="8"/>
  <c r="T49" i="8"/>
  <c r="T38" i="8"/>
  <c r="T27" i="8"/>
  <c r="V172" i="8"/>
  <c r="V159" i="8"/>
  <c r="V147" i="8"/>
  <c r="V135" i="8"/>
  <c r="V123" i="8"/>
  <c r="V110" i="8"/>
  <c r="V99" i="8"/>
  <c r="V86" i="8"/>
  <c r="V74" i="8"/>
  <c r="V62" i="8"/>
  <c r="V50" i="8"/>
  <c r="V37" i="8"/>
  <c r="W488" i="8"/>
  <c r="W476" i="8"/>
  <c r="W464" i="8"/>
  <c r="W452" i="8"/>
  <c r="W439" i="8"/>
  <c r="W428" i="8"/>
  <c r="W415" i="8"/>
  <c r="W402" i="8"/>
  <c r="W391" i="8"/>
  <c r="W378" i="8"/>
  <c r="W364" i="8"/>
  <c r="W350" i="8"/>
  <c r="W334" i="8"/>
  <c r="W319" i="8"/>
  <c r="W305" i="8"/>
  <c r="W290" i="8"/>
  <c r="W277" i="8"/>
  <c r="W261" i="8"/>
  <c r="W246" i="8"/>
  <c r="W232" i="8"/>
  <c r="W217" i="8"/>
  <c r="W204" i="8"/>
  <c r="W188" i="8"/>
  <c r="W173" i="8"/>
  <c r="W159" i="8"/>
  <c r="W144" i="8"/>
  <c r="W130" i="8"/>
  <c r="W114" i="8"/>
  <c r="W100" i="8"/>
  <c r="W86" i="8"/>
  <c r="W71" i="8"/>
  <c r="W56" i="8"/>
  <c r="W37" i="8"/>
  <c r="W377" i="8"/>
  <c r="W361" i="8"/>
  <c r="W346" i="8"/>
  <c r="W333" i="8"/>
  <c r="W318" i="8"/>
  <c r="W304" i="8"/>
  <c r="W288" i="8"/>
  <c r="W273" i="8"/>
  <c r="W260" i="8"/>
  <c r="W245" i="8"/>
  <c r="W231" i="8"/>
  <c r="W215" i="8"/>
  <c r="W200" i="8"/>
  <c r="W186" i="8"/>
  <c r="W172" i="8"/>
  <c r="W158" i="8"/>
  <c r="W142" i="8"/>
  <c r="W127" i="8"/>
  <c r="W113" i="8"/>
  <c r="W98" i="8"/>
  <c r="W85" i="8"/>
  <c r="W69" i="8"/>
  <c r="W53" i="8"/>
  <c r="W36" i="8"/>
  <c r="V24" i="8"/>
  <c r="V32" i="8"/>
  <c r="V40" i="8"/>
  <c r="V48" i="8"/>
  <c r="V56" i="8"/>
  <c r="V64" i="8"/>
  <c r="V72" i="8"/>
  <c r="V80" i="8"/>
  <c r="V88" i="8"/>
  <c r="V96" i="8"/>
  <c r="V104" i="8"/>
  <c r="V112" i="8"/>
  <c r="V120" i="8"/>
  <c r="V128" i="8"/>
  <c r="V136" i="8"/>
  <c r="V144" i="8"/>
  <c r="V152" i="8"/>
  <c r="V160" i="8"/>
  <c r="V168" i="8"/>
  <c r="V176" i="8"/>
  <c r="V184" i="8"/>
  <c r="V192" i="8"/>
  <c r="V200" i="8"/>
  <c r="V208" i="8"/>
  <c r="V216" i="8"/>
  <c r="V224" i="8"/>
  <c r="V232" i="8"/>
  <c r="V240" i="8"/>
  <c r="V248" i="8"/>
  <c r="V256" i="8"/>
  <c r="V264" i="8"/>
  <c r="V272" i="8"/>
  <c r="V280" i="8"/>
  <c r="V288" i="8"/>
  <c r="V296" i="8"/>
  <c r="V304" i="8"/>
  <c r="V312" i="8"/>
  <c r="V320" i="8"/>
  <c r="V328" i="8"/>
  <c r="V336" i="8"/>
  <c r="V344" i="8"/>
  <c r="V352" i="8"/>
  <c r="V360" i="8"/>
  <c r="V368" i="8"/>
  <c r="V376" i="8"/>
  <c r="V384" i="8"/>
  <c r="V392" i="8"/>
  <c r="V400" i="8"/>
  <c r="V408" i="8"/>
  <c r="V416" i="8"/>
  <c r="V25" i="8"/>
  <c r="V34" i="8"/>
  <c r="V43" i="8"/>
  <c r="V52" i="8"/>
  <c r="V61" i="8"/>
  <c r="V70" i="8"/>
  <c r="V79" i="8"/>
  <c r="V89" i="8"/>
  <c r="V98" i="8"/>
  <c r="V107" i="8"/>
  <c r="V116" i="8"/>
  <c r="V125" i="8"/>
  <c r="V134" i="8"/>
  <c r="V143" i="8"/>
  <c r="V153" i="8"/>
  <c r="V162" i="8"/>
  <c r="V171" i="8"/>
  <c r="V180" i="8"/>
  <c r="V189" i="8"/>
  <c r="V198" i="8"/>
  <c r="V207" i="8"/>
  <c r="V217" i="8"/>
  <c r="V226" i="8"/>
  <c r="V235" i="8"/>
  <c r="V244" i="8"/>
  <c r="V253" i="8"/>
  <c r="V262" i="8"/>
  <c r="V271" i="8"/>
  <c r="V281" i="8"/>
  <c r="V290" i="8"/>
  <c r="V299" i="8"/>
  <c r="V308" i="8"/>
  <c r="V317" i="8"/>
  <c r="V326" i="8"/>
  <c r="V335" i="8"/>
  <c r="V345" i="8"/>
  <c r="V354" i="8"/>
  <c r="V363" i="8"/>
  <c r="V372" i="8"/>
  <c r="V381" i="8"/>
  <c r="V390" i="8"/>
  <c r="V399" i="8"/>
  <c r="V409" i="8"/>
  <c r="V418" i="8"/>
  <c r="V426" i="8"/>
  <c r="V434" i="8"/>
  <c r="V442" i="8"/>
  <c r="V450" i="8"/>
  <c r="V458" i="8"/>
  <c r="V466" i="8"/>
  <c r="V474" i="8"/>
  <c r="V482" i="8"/>
  <c r="V490" i="8"/>
  <c r="V29" i="8"/>
  <c r="V38" i="8"/>
  <c r="V47" i="8"/>
  <c r="V57" i="8"/>
  <c r="V66" i="8"/>
  <c r="V75" i="8"/>
  <c r="V84" i="8"/>
  <c r="V93" i="8"/>
  <c r="V102" i="8"/>
  <c r="V111" i="8"/>
  <c r="V121" i="8"/>
  <c r="V130" i="8"/>
  <c r="V139" i="8"/>
  <c r="V148" i="8"/>
  <c r="V157" i="8"/>
  <c r="V166" i="8"/>
  <c r="V175" i="8"/>
  <c r="V185" i="8"/>
  <c r="V194" i="8"/>
  <c r="V203" i="8"/>
  <c r="V212" i="8"/>
  <c r="V221" i="8"/>
  <c r="V230" i="8"/>
  <c r="V239" i="8"/>
  <c r="V249" i="8"/>
  <c r="V258" i="8"/>
  <c r="V267" i="8"/>
  <c r="V276" i="8"/>
  <c r="V285" i="8"/>
  <c r="V294" i="8"/>
  <c r="V303" i="8"/>
  <c r="V313" i="8"/>
  <c r="V322" i="8"/>
  <c r="V331" i="8"/>
  <c r="V340" i="8"/>
  <c r="V349" i="8"/>
  <c r="V358" i="8"/>
  <c r="V367" i="8"/>
  <c r="V377" i="8"/>
  <c r="V386" i="8"/>
  <c r="V395" i="8"/>
  <c r="V404" i="8"/>
  <c r="V413" i="8"/>
  <c r="V422" i="8"/>
  <c r="V430" i="8"/>
  <c r="V438" i="8"/>
  <c r="V446" i="8"/>
  <c r="V454" i="8"/>
  <c r="V462" i="8"/>
  <c r="V470" i="8"/>
  <c r="V478" i="8"/>
  <c r="V486" i="8"/>
  <c r="V494" i="8"/>
  <c r="W485" i="8"/>
  <c r="W473" i="8"/>
  <c r="W461" i="8"/>
  <c r="W448" i="8"/>
  <c r="W437" i="8"/>
  <c r="W424" i="8"/>
  <c r="W412" i="8"/>
  <c r="W400" i="8"/>
  <c r="W388" i="8"/>
  <c r="W374" i="8"/>
  <c r="W360" i="8"/>
  <c r="W345" i="8"/>
  <c r="W332" i="8"/>
  <c r="W316" i="8"/>
  <c r="W301" i="8"/>
  <c r="W287" i="8"/>
  <c r="W272" i="8"/>
  <c r="W258" i="8"/>
  <c r="W242" i="8"/>
  <c r="W228" i="8"/>
  <c r="W214" i="8"/>
  <c r="W199" i="8"/>
  <c r="W185" i="8"/>
  <c r="W169" i="8"/>
  <c r="W154" i="8"/>
  <c r="W141" i="8"/>
  <c r="W126" i="8"/>
  <c r="W112" i="8"/>
  <c r="W96" i="8"/>
  <c r="W81" i="8"/>
  <c r="W68" i="8"/>
  <c r="W52" i="8"/>
  <c r="W35" i="8"/>
  <c r="W373" i="8"/>
  <c r="W359" i="8"/>
  <c r="W343" i="8"/>
  <c r="W328" i="8"/>
  <c r="W314" i="8"/>
  <c r="W300" i="8"/>
  <c r="W286" i="8"/>
  <c r="W270" i="8"/>
  <c r="W255" i="8"/>
  <c r="W241" i="8"/>
  <c r="W226" i="8"/>
  <c r="W213" i="8"/>
  <c r="W197" i="8"/>
  <c r="W182" i="8"/>
  <c r="W168" i="8"/>
  <c r="W153" i="8"/>
  <c r="W140" i="8"/>
  <c r="W124" i="8"/>
  <c r="W109" i="8"/>
  <c r="W95" i="8"/>
  <c r="W80" i="8"/>
  <c r="W66" i="8"/>
  <c r="W48" i="8"/>
  <c r="W30" i="8"/>
  <c r="V496" i="8"/>
  <c r="V485" i="8"/>
  <c r="V475" i="8"/>
  <c r="V464" i="8"/>
  <c r="V453" i="8"/>
  <c r="V443" i="8"/>
  <c r="V432" i="8"/>
  <c r="V421" i="8"/>
  <c r="V410" i="8"/>
  <c r="V397" i="8"/>
  <c r="V385" i="8"/>
  <c r="V373" i="8"/>
  <c r="V361" i="8"/>
  <c r="V348" i="8"/>
  <c r="V337" i="8"/>
  <c r="V324" i="8"/>
  <c r="V311" i="8"/>
  <c r="V300" i="8"/>
  <c r="V287" i="8"/>
  <c r="V275" i="8"/>
  <c r="V263" i="8"/>
  <c r="V251" i="8"/>
  <c r="V238" i="8"/>
  <c r="V227" i="8"/>
  <c r="V214" i="8"/>
  <c r="V202" i="8"/>
  <c r="V190" i="8"/>
  <c r="V178" i="8"/>
  <c r="V165" i="8"/>
  <c r="V154" i="8"/>
  <c r="V141" i="8"/>
  <c r="V129" i="8"/>
  <c r="V117" i="8"/>
  <c r="V105" i="8"/>
  <c r="V92" i="8"/>
  <c r="V81" i="8"/>
  <c r="V68" i="8"/>
  <c r="V55" i="8"/>
  <c r="V44" i="8"/>
  <c r="V31" i="8"/>
  <c r="W494" i="8"/>
  <c r="W482" i="8"/>
  <c r="W470" i="8"/>
  <c r="W457" i="8"/>
  <c r="W446" i="8"/>
  <c r="W433" i="8"/>
  <c r="W421" i="8"/>
  <c r="W409" i="8"/>
  <c r="W397" i="8"/>
  <c r="W384" i="8"/>
  <c r="W370" i="8"/>
  <c r="W356" i="8"/>
  <c r="W342" i="8"/>
  <c r="W327" i="8"/>
  <c r="W313" i="8"/>
  <c r="W297" i="8"/>
  <c r="W282" i="8"/>
  <c r="W269" i="8"/>
  <c r="W254" i="8"/>
  <c r="W240" i="8"/>
  <c r="W224" i="8"/>
  <c r="W209" i="8"/>
  <c r="W196" i="8"/>
  <c r="W181" i="8"/>
  <c r="W167" i="8"/>
  <c r="W151" i="8"/>
  <c r="W136" i="8"/>
  <c r="W122" i="8"/>
  <c r="W108" i="8"/>
  <c r="W94" i="8"/>
  <c r="W78" i="8"/>
  <c r="W63" i="8"/>
  <c r="W47" i="8"/>
  <c r="W28" i="8"/>
  <c r="W296" i="8"/>
  <c r="W281" i="8"/>
  <c r="W268" i="8"/>
  <c r="W252" i="8"/>
  <c r="W237" i="8"/>
  <c r="W223" i="8"/>
  <c r="W208" i="8"/>
  <c r="W194" i="8"/>
  <c r="W178" i="8"/>
  <c r="W164" i="8"/>
  <c r="W150" i="8"/>
  <c r="W135" i="8"/>
  <c r="W121" i="8"/>
  <c r="W105" i="8"/>
  <c r="W90" i="8"/>
  <c r="W77" i="8"/>
  <c r="W62" i="8"/>
  <c r="W46" i="8"/>
  <c r="W24" i="8"/>
  <c r="V493" i="8"/>
  <c r="V483" i="8"/>
  <c r="V472" i="8"/>
  <c r="V461" i="8"/>
  <c r="V451" i="8"/>
  <c r="V440" i="8"/>
  <c r="V429" i="8"/>
  <c r="V419" i="8"/>
  <c r="V406" i="8"/>
  <c r="V394" i="8"/>
  <c r="V382" i="8"/>
  <c r="V370" i="8"/>
  <c r="V357" i="8"/>
  <c r="V346" i="8"/>
  <c r="V333" i="8"/>
  <c r="V321" i="8"/>
  <c r="V309" i="8"/>
  <c r="V297" i="8"/>
  <c r="V284" i="8"/>
  <c r="V273" i="8"/>
  <c r="V260" i="8"/>
  <c r="V247" i="8"/>
  <c r="V236" i="8"/>
  <c r="V223" i="8"/>
  <c r="V211" i="8"/>
  <c r="V199" i="8"/>
  <c r="V187" i="8"/>
  <c r="V174" i="8"/>
  <c r="V163" i="8"/>
  <c r="V150" i="8"/>
  <c r="V138" i="8"/>
  <c r="V126" i="8"/>
  <c r="V114" i="8"/>
  <c r="V101" i="8"/>
  <c r="V90" i="8"/>
  <c r="V77" i="8"/>
  <c r="V65" i="8"/>
  <c r="V53" i="8"/>
  <c r="V41" i="8"/>
  <c r="V28" i="8"/>
  <c r="W492" i="8"/>
  <c r="W479" i="8"/>
  <c r="W466" i="8"/>
  <c r="W455" i="8"/>
  <c r="W442" i="8"/>
  <c r="W430" i="8"/>
  <c r="W418" i="8"/>
  <c r="W406" i="8"/>
  <c r="W393" i="8"/>
  <c r="W382" i="8"/>
  <c r="W368" i="8"/>
  <c r="W352" i="8"/>
  <c r="W337" i="8"/>
  <c r="W324" i="8"/>
  <c r="W309" i="8"/>
  <c r="W295" i="8"/>
  <c r="W279" i="8"/>
  <c r="W264" i="8"/>
  <c r="W250" i="8"/>
  <c r="W236" i="8"/>
  <c r="W222" i="8"/>
  <c r="W206" i="8"/>
  <c r="W191" i="8"/>
  <c r="W177" i="8"/>
  <c r="W162" i="8"/>
  <c r="W149" i="8"/>
  <c r="W133" i="8"/>
  <c r="W118" i="8"/>
  <c r="W104" i="8"/>
  <c r="W89" i="8"/>
  <c r="W76" i="8"/>
  <c r="W60" i="8"/>
  <c r="W43" i="8"/>
  <c r="W25" i="8"/>
  <c r="W33" i="8"/>
  <c r="W41" i="8"/>
  <c r="W26" i="8"/>
  <c r="W34" i="8"/>
  <c r="W42" i="8"/>
  <c r="W50" i="8"/>
  <c r="W58" i="8"/>
  <c r="W29" i="8"/>
  <c r="W39" i="8"/>
  <c r="W49" i="8"/>
  <c r="W59" i="8"/>
  <c r="W67" i="8"/>
  <c r="W75" i="8"/>
  <c r="W83" i="8"/>
  <c r="W91" i="8"/>
  <c r="W99" i="8"/>
  <c r="W107" i="8"/>
  <c r="W115" i="8"/>
  <c r="W123" i="8"/>
  <c r="W131" i="8"/>
  <c r="W139" i="8"/>
  <c r="W147" i="8"/>
  <c r="W155" i="8"/>
  <c r="W163" i="8"/>
  <c r="W171" i="8"/>
  <c r="W179" i="8"/>
  <c r="W187" i="8"/>
  <c r="W195" i="8"/>
  <c r="W203" i="8"/>
  <c r="W211" i="8"/>
  <c r="W219" i="8"/>
  <c r="W227" i="8"/>
  <c r="W235" i="8"/>
  <c r="W243" i="8"/>
  <c r="W251" i="8"/>
  <c r="W259" i="8"/>
  <c r="W267" i="8"/>
  <c r="W275" i="8"/>
  <c r="W283" i="8"/>
  <c r="W291" i="8"/>
  <c r="W299" i="8"/>
  <c r="W307" i="8"/>
  <c r="W315" i="8"/>
  <c r="W323" i="8"/>
  <c r="W331" i="8"/>
  <c r="W339" i="8"/>
  <c r="W347" i="8"/>
  <c r="W355" i="8"/>
  <c r="W363" i="8"/>
  <c r="W371" i="8"/>
  <c r="W379" i="8"/>
  <c r="W387" i="8"/>
  <c r="W395" i="8"/>
  <c r="W403" i="8"/>
  <c r="W411" i="8"/>
  <c r="W419" i="8"/>
  <c r="W427" i="8"/>
  <c r="W435" i="8"/>
  <c r="W443" i="8"/>
  <c r="W451" i="8"/>
  <c r="W459" i="8"/>
  <c r="W467" i="8"/>
  <c r="W475" i="8"/>
  <c r="W483" i="8"/>
  <c r="W491" i="8"/>
  <c r="W27" i="8"/>
  <c r="W38" i="8"/>
  <c r="W51" i="8"/>
  <c r="W61" i="8"/>
  <c r="W70" i="8"/>
  <c r="W79" i="8"/>
  <c r="W88" i="8"/>
  <c r="W97" i="8"/>
  <c r="W106" i="8"/>
  <c r="W116" i="8"/>
  <c r="W125" i="8"/>
  <c r="W134" i="8"/>
  <c r="W143" i="8"/>
  <c r="W152" i="8"/>
  <c r="W161" i="8"/>
  <c r="W170" i="8"/>
  <c r="W180" i="8"/>
  <c r="W189" i="8"/>
  <c r="W198" i="8"/>
  <c r="W207" i="8"/>
  <c r="W216" i="8"/>
  <c r="W225" i="8"/>
  <c r="W234" i="8"/>
  <c r="W244" i="8"/>
  <c r="W253" i="8"/>
  <c r="W262" i="8"/>
  <c r="W271" i="8"/>
  <c r="W280" i="8"/>
  <c r="W289" i="8"/>
  <c r="W298" i="8"/>
  <c r="W308" i="8"/>
  <c r="W317" i="8"/>
  <c r="W326" i="8"/>
  <c r="W335" i="8"/>
  <c r="W344" i="8"/>
  <c r="W353" i="8"/>
  <c r="W362" i="8"/>
  <c r="W372" i="8"/>
  <c r="W381" i="8"/>
  <c r="W390" i="8"/>
  <c r="W399" i="8"/>
  <c r="W408" i="8"/>
  <c r="W417" i="8"/>
  <c r="W426" i="8"/>
  <c r="W436" i="8"/>
  <c r="W445" i="8"/>
  <c r="W454" i="8"/>
  <c r="W463" i="8"/>
  <c r="W472" i="8"/>
  <c r="W481" i="8"/>
  <c r="W490" i="8"/>
  <c r="W31" i="8"/>
  <c r="W44" i="8"/>
  <c r="W54" i="8"/>
  <c r="W64" i="8"/>
  <c r="W73" i="8"/>
  <c r="W82" i="8"/>
  <c r="W92" i="8"/>
  <c r="W101" i="8"/>
  <c r="W110" i="8"/>
  <c r="W119" i="8"/>
  <c r="W128" i="8"/>
  <c r="W137" i="8"/>
  <c r="W146" i="8"/>
  <c r="W156" i="8"/>
  <c r="W165" i="8"/>
  <c r="W174" i="8"/>
  <c r="W183" i="8"/>
  <c r="W192" i="8"/>
  <c r="W201" i="8"/>
  <c r="W210" i="8"/>
  <c r="W220" i="8"/>
  <c r="W229" i="8"/>
  <c r="W238" i="8"/>
  <c r="W247" i="8"/>
  <c r="W256" i="8"/>
  <c r="W265" i="8"/>
  <c r="W274" i="8"/>
  <c r="W284" i="8"/>
  <c r="W293" i="8"/>
  <c r="W302" i="8"/>
  <c r="W311" i="8"/>
  <c r="W320" i="8"/>
  <c r="W329" i="8"/>
  <c r="W338" i="8"/>
  <c r="W348" i="8"/>
  <c r="W357" i="8"/>
  <c r="W366" i="8"/>
  <c r="W375" i="8"/>
  <c r="W32" i="8"/>
  <c r="W45" i="8"/>
  <c r="W55" i="8"/>
  <c r="W65" i="8"/>
  <c r="W74" i="8"/>
  <c r="W84" i="8"/>
  <c r="W93" i="8"/>
  <c r="W102" i="8"/>
  <c r="W111" i="8"/>
  <c r="W120" i="8"/>
  <c r="W129" i="8"/>
  <c r="W138" i="8"/>
  <c r="W148" i="8"/>
  <c r="W157" i="8"/>
  <c r="W166" i="8"/>
  <c r="W175" i="8"/>
  <c r="W184" i="8"/>
  <c r="W193" i="8"/>
  <c r="W202" i="8"/>
  <c r="W212" i="8"/>
  <c r="W221" i="8"/>
  <c r="W230" i="8"/>
  <c r="W239" i="8"/>
  <c r="W248" i="8"/>
  <c r="W257" i="8"/>
  <c r="W266" i="8"/>
  <c r="W276" i="8"/>
  <c r="W285" i="8"/>
  <c r="W294" i="8"/>
  <c r="W303" i="8"/>
  <c r="W312" i="8"/>
  <c r="W321" i="8"/>
  <c r="W330" i="8"/>
  <c r="W340" i="8"/>
  <c r="W349" i="8"/>
  <c r="W358" i="8"/>
  <c r="W367" i="8"/>
  <c r="W376" i="8"/>
  <c r="W385" i="8"/>
  <c r="W394" i="8"/>
  <c r="W404" i="8"/>
  <c r="W413" i="8"/>
  <c r="W422" i="8"/>
  <c r="W431" i="8"/>
  <c r="W440" i="8"/>
  <c r="W449" i="8"/>
  <c r="W458" i="8"/>
  <c r="W468" i="8"/>
  <c r="W477" i="8"/>
  <c r="W486" i="8"/>
  <c r="W495" i="8"/>
  <c r="X28" i="8"/>
  <c r="X36" i="8"/>
  <c r="X44" i="8"/>
  <c r="X52" i="8"/>
  <c r="X60" i="8"/>
  <c r="X68" i="8"/>
  <c r="X76" i="8"/>
  <c r="X84" i="8"/>
  <c r="X92" i="8"/>
  <c r="X100" i="8"/>
  <c r="X108" i="8"/>
  <c r="X116" i="8"/>
  <c r="X124" i="8"/>
  <c r="X132" i="8"/>
  <c r="X140" i="8"/>
  <c r="X148" i="8"/>
  <c r="X156" i="8"/>
  <c r="X164" i="8"/>
  <c r="X172" i="8"/>
  <c r="X180" i="8"/>
  <c r="X188" i="8"/>
  <c r="X196" i="8"/>
  <c r="X204" i="8"/>
  <c r="X212" i="8"/>
  <c r="X220" i="8"/>
  <c r="X228" i="8"/>
  <c r="X236" i="8"/>
  <c r="X244" i="8"/>
  <c r="X252" i="8"/>
  <c r="X260" i="8"/>
  <c r="X268" i="8"/>
  <c r="X276" i="8"/>
  <c r="X284" i="8"/>
  <c r="X292" i="8"/>
  <c r="X300" i="8"/>
  <c r="X308" i="8"/>
  <c r="X316" i="8"/>
  <c r="X324" i="8"/>
  <c r="X332" i="8"/>
  <c r="X340" i="8"/>
  <c r="X29" i="8"/>
  <c r="X38" i="8"/>
  <c r="X47" i="8"/>
  <c r="X56" i="8"/>
  <c r="X65" i="8"/>
  <c r="X74" i="8"/>
  <c r="X83" i="8"/>
  <c r="X93" i="8"/>
  <c r="X102" i="8"/>
  <c r="X111" i="8"/>
  <c r="X120" i="8"/>
  <c r="X129" i="8"/>
  <c r="X138" i="8"/>
  <c r="X147" i="8"/>
  <c r="X157" i="8"/>
  <c r="X166" i="8"/>
  <c r="X175" i="8"/>
  <c r="X184" i="8"/>
  <c r="X193" i="8"/>
  <c r="X202" i="8"/>
  <c r="X211" i="8"/>
  <c r="X221" i="8"/>
  <c r="X230" i="8"/>
  <c r="X239" i="8"/>
  <c r="X248" i="8"/>
  <c r="X257" i="8"/>
  <c r="X266" i="8"/>
  <c r="X275" i="8"/>
  <c r="X285" i="8"/>
  <c r="X294" i="8"/>
  <c r="X303" i="8"/>
  <c r="X312" i="8"/>
  <c r="X321" i="8"/>
  <c r="X330" i="8"/>
  <c r="X339" i="8"/>
  <c r="X348" i="8"/>
  <c r="X356" i="8"/>
  <c r="X364" i="8"/>
  <c r="X372" i="8"/>
  <c r="X380" i="8"/>
  <c r="X388" i="8"/>
  <c r="X396" i="8"/>
  <c r="X404" i="8"/>
  <c r="X412" i="8"/>
  <c r="X420" i="8"/>
  <c r="X428" i="8"/>
  <c r="X436" i="8"/>
  <c r="X444" i="8"/>
  <c r="X452" i="8"/>
  <c r="X460" i="8"/>
  <c r="X468" i="8"/>
  <c r="X476" i="8"/>
  <c r="X484" i="8"/>
  <c r="X492" i="8"/>
  <c r="X30" i="8"/>
  <c r="X39" i="8"/>
  <c r="X48" i="8"/>
  <c r="X57" i="8"/>
  <c r="X66" i="8"/>
  <c r="X75" i="8"/>
  <c r="X85" i="8"/>
  <c r="X94" i="8"/>
  <c r="X103" i="8"/>
  <c r="X112" i="8"/>
  <c r="X121" i="8"/>
  <c r="X130" i="8"/>
  <c r="X139" i="8"/>
  <c r="X149" i="8"/>
  <c r="X158" i="8"/>
  <c r="X167" i="8"/>
  <c r="X176" i="8"/>
  <c r="X185" i="8"/>
  <c r="X194" i="8"/>
  <c r="X203" i="8"/>
  <c r="X213" i="8"/>
  <c r="X222" i="8"/>
  <c r="X231" i="8"/>
  <c r="X240" i="8"/>
  <c r="X249" i="8"/>
  <c r="X258" i="8"/>
  <c r="X267" i="8"/>
  <c r="X277" i="8"/>
  <c r="X286" i="8"/>
  <c r="X295" i="8"/>
  <c r="X304" i="8"/>
  <c r="X313" i="8"/>
  <c r="X322" i="8"/>
  <c r="X331" i="8"/>
  <c r="X341" i="8"/>
  <c r="X349" i="8"/>
  <c r="X357" i="8"/>
  <c r="X365" i="8"/>
  <c r="X373" i="8"/>
  <c r="X381" i="8"/>
  <c r="X389" i="8"/>
  <c r="X397" i="8"/>
  <c r="X405" i="8"/>
  <c r="X413" i="8"/>
  <c r="X421" i="8"/>
  <c r="X429" i="8"/>
  <c r="X437" i="8"/>
  <c r="X445" i="8"/>
  <c r="X453" i="8"/>
  <c r="X461" i="8"/>
  <c r="X469" i="8"/>
  <c r="X477" i="8"/>
  <c r="X485" i="8"/>
  <c r="X493" i="8"/>
  <c r="Z487" i="8"/>
  <c r="Z463" i="8"/>
  <c r="Z444" i="8"/>
  <c r="Z423" i="8"/>
  <c r="Z399" i="8"/>
  <c r="Z380" i="8"/>
  <c r="Z359" i="8"/>
  <c r="Z335" i="8"/>
  <c r="Z316" i="8"/>
  <c r="Z295" i="8"/>
  <c r="Z271" i="8"/>
  <c r="Z252" i="8"/>
  <c r="Z231" i="8"/>
  <c r="Z204" i="8"/>
  <c r="Z182" i="8"/>
  <c r="Z158" i="8"/>
  <c r="Z131" i="8"/>
  <c r="Z109" i="8"/>
  <c r="Z76" i="8"/>
  <c r="Z50" i="8"/>
  <c r="Z105" i="8"/>
  <c r="Z74" i="8"/>
  <c r="Z41" i="8"/>
  <c r="Z268" i="8"/>
  <c r="Z247" i="8"/>
  <c r="Z222" i="8"/>
  <c r="Z201" i="8"/>
  <c r="Z177" i="8"/>
  <c r="Z149" i="8"/>
  <c r="Z128" i="8"/>
  <c r="Z96" i="8"/>
  <c r="Z73" i="8"/>
  <c r="Z40" i="8"/>
  <c r="Z496" i="8"/>
  <c r="Z477" i="8"/>
  <c r="Z456" i="8"/>
  <c r="Z432" i="8"/>
  <c r="Z413" i="8"/>
  <c r="Z392" i="8"/>
  <c r="Z368" i="8"/>
  <c r="Z349" i="8"/>
  <c r="Z328" i="8"/>
  <c r="Z304" i="8"/>
  <c r="Z285" i="8"/>
  <c r="Z264" i="8"/>
  <c r="Z240" i="8"/>
  <c r="Z220" i="8"/>
  <c r="Z196" i="8"/>
  <c r="Z169" i="8"/>
  <c r="Z147" i="8"/>
  <c r="Z123" i="8"/>
  <c r="Z94" i="8"/>
  <c r="Z68" i="8"/>
  <c r="Z37" i="8"/>
  <c r="X494" i="8"/>
  <c r="X482" i="8"/>
  <c r="X472" i="8"/>
  <c r="X462" i="8"/>
  <c r="X450" i="8"/>
  <c r="X440" i="8"/>
  <c r="X430" i="8"/>
  <c r="X418" i="8"/>
  <c r="X408" i="8"/>
  <c r="X398" i="8"/>
  <c r="X386" i="8"/>
  <c r="X376" i="8"/>
  <c r="X366" i="8"/>
  <c r="X354" i="8"/>
  <c r="X344" i="8"/>
  <c r="X333" i="8"/>
  <c r="X319" i="8"/>
  <c r="X307" i="8"/>
  <c r="X296" i="8"/>
  <c r="X282" i="8"/>
  <c r="X271" i="8"/>
  <c r="X259" i="8"/>
  <c r="X246" i="8"/>
  <c r="X234" i="8"/>
  <c r="X223" i="8"/>
  <c r="X209" i="8"/>
  <c r="X198" i="8"/>
  <c r="X186" i="8"/>
  <c r="X173" i="8"/>
  <c r="X161" i="8"/>
  <c r="X150" i="8"/>
  <c r="X136" i="8"/>
  <c r="X125" i="8"/>
  <c r="X113" i="8"/>
  <c r="X99" i="8"/>
  <c r="X88" i="8"/>
  <c r="X77" i="8"/>
  <c r="X63" i="8"/>
  <c r="X51" i="8"/>
  <c r="X40" i="8"/>
  <c r="X26" i="8"/>
  <c r="Z495" i="8"/>
  <c r="Z476" i="8"/>
  <c r="Z455" i="8"/>
  <c r="Z431" i="8"/>
  <c r="Z412" i="8"/>
  <c r="Z391" i="8"/>
  <c r="Z367" i="8"/>
  <c r="Z348" i="8"/>
  <c r="Z327" i="8"/>
  <c r="Z303" i="8"/>
  <c r="Z284" i="8"/>
  <c r="Z263" i="8"/>
  <c r="Z239" i="8"/>
  <c r="Z219" i="8"/>
  <c r="Z195" i="8"/>
  <c r="Z168" i="8"/>
  <c r="Z146" i="8"/>
  <c r="Z122" i="8"/>
  <c r="Z92" i="8"/>
  <c r="Z59" i="8"/>
  <c r="Z36" i="8"/>
  <c r="Z493" i="8"/>
  <c r="Z472" i="8"/>
  <c r="Z448" i="8"/>
  <c r="Z429" i="8"/>
  <c r="Z408" i="8"/>
  <c r="Z384" i="8"/>
  <c r="Z365" i="8"/>
  <c r="Z344" i="8"/>
  <c r="Z320" i="8"/>
  <c r="Z301" i="8"/>
  <c r="Z280" i="8"/>
  <c r="Z256" i="8"/>
  <c r="Z237" i="8"/>
  <c r="Z214" i="8"/>
  <c r="Z187" i="8"/>
  <c r="Z165" i="8"/>
  <c r="Z141" i="8"/>
  <c r="Z114" i="8"/>
  <c r="Z91" i="8"/>
  <c r="Z58" i="8"/>
  <c r="Z23" i="8"/>
  <c r="Z31" i="8"/>
  <c r="Z39" i="8"/>
  <c r="Z47" i="8"/>
  <c r="Z55" i="8"/>
  <c r="Z63" i="8"/>
  <c r="Z71" i="8"/>
  <c r="Z79" i="8"/>
  <c r="Z87" i="8"/>
  <c r="Z95" i="8"/>
  <c r="Z103" i="8"/>
  <c r="Z111" i="8"/>
  <c r="Z119" i="8"/>
  <c r="Z127" i="8"/>
  <c r="Z135" i="8"/>
  <c r="Z143" i="8"/>
  <c r="Z151" i="8"/>
  <c r="Z159" i="8"/>
  <c r="Z167" i="8"/>
  <c r="Z175" i="8"/>
  <c r="Z183" i="8"/>
  <c r="Z191" i="8"/>
  <c r="Z199" i="8"/>
  <c r="Z207" i="8"/>
  <c r="Z215" i="8"/>
  <c r="Z223" i="8"/>
  <c r="Z24" i="8"/>
  <c r="Z33" i="8"/>
  <c r="Z42" i="8"/>
  <c r="Z51" i="8"/>
  <c r="Z60" i="8"/>
  <c r="Z69" i="8"/>
  <c r="Z78" i="8"/>
  <c r="Z88" i="8"/>
  <c r="Z97" i="8"/>
  <c r="Z106" i="8"/>
  <c r="Z115" i="8"/>
  <c r="Z124" i="8"/>
  <c r="Z133" i="8"/>
  <c r="Z142" i="8"/>
  <c r="Z152" i="8"/>
  <c r="Z161" i="8"/>
  <c r="Z170" i="8"/>
  <c r="Z179" i="8"/>
  <c r="Z188" i="8"/>
  <c r="Z197" i="8"/>
  <c r="Z206" i="8"/>
  <c r="Z216" i="8"/>
  <c r="Z225" i="8"/>
  <c r="Z233" i="8"/>
  <c r="Z241" i="8"/>
  <c r="Z249" i="8"/>
  <c r="Z257" i="8"/>
  <c r="Z265" i="8"/>
  <c r="Z273" i="8"/>
  <c r="Z281" i="8"/>
  <c r="Z289" i="8"/>
  <c r="Z297" i="8"/>
  <c r="Z305" i="8"/>
  <c r="Z313" i="8"/>
  <c r="Z321" i="8"/>
  <c r="Z329" i="8"/>
  <c r="Z337" i="8"/>
  <c r="Z345" i="8"/>
  <c r="Z353" i="8"/>
  <c r="Z361" i="8"/>
  <c r="Z369" i="8"/>
  <c r="Z377" i="8"/>
  <c r="Z385" i="8"/>
  <c r="Z393" i="8"/>
  <c r="Z401" i="8"/>
  <c r="Z409" i="8"/>
  <c r="Z417" i="8"/>
  <c r="Z425" i="8"/>
  <c r="Z433" i="8"/>
  <c r="Z441" i="8"/>
  <c r="Z449" i="8"/>
  <c r="Z457" i="8"/>
  <c r="Z465" i="8"/>
  <c r="Z473" i="8"/>
  <c r="Z481" i="8"/>
  <c r="Z489" i="8"/>
  <c r="Z25" i="8"/>
  <c r="Z34" i="8"/>
  <c r="Z43" i="8"/>
  <c r="Z52" i="8"/>
  <c r="Z61" i="8"/>
  <c r="Z70" i="8"/>
  <c r="Z80" i="8"/>
  <c r="Z89" i="8"/>
  <c r="Z98" i="8"/>
  <c r="Z107" i="8"/>
  <c r="Z116" i="8"/>
  <c r="Z125" i="8"/>
  <c r="Z134" i="8"/>
  <c r="Z144" i="8"/>
  <c r="Z153" i="8"/>
  <c r="Z162" i="8"/>
  <c r="Z171" i="8"/>
  <c r="Z180" i="8"/>
  <c r="Z189" i="8"/>
  <c r="Z198" i="8"/>
  <c r="Z208" i="8"/>
  <c r="Z217" i="8"/>
  <c r="Z226" i="8"/>
  <c r="Z234" i="8"/>
  <c r="Z242" i="8"/>
  <c r="Z250" i="8"/>
  <c r="Z258" i="8"/>
  <c r="Z266" i="8"/>
  <c r="Z274" i="8"/>
  <c r="Z282" i="8"/>
  <c r="Z290" i="8"/>
  <c r="Z298" i="8"/>
  <c r="Z306" i="8"/>
  <c r="Z314" i="8"/>
  <c r="Z322" i="8"/>
  <c r="Z330" i="8"/>
  <c r="Z338" i="8"/>
  <c r="Z346" i="8"/>
  <c r="Z354" i="8"/>
  <c r="Z362" i="8"/>
  <c r="Z370" i="8"/>
  <c r="Z378" i="8"/>
  <c r="Z386" i="8"/>
  <c r="Z394" i="8"/>
  <c r="Z402" i="8"/>
  <c r="Z410" i="8"/>
  <c r="Z418" i="8"/>
  <c r="Z426" i="8"/>
  <c r="Z434" i="8"/>
  <c r="Z442" i="8"/>
  <c r="Z450" i="8"/>
  <c r="Z458" i="8"/>
  <c r="Z466" i="8"/>
  <c r="Z474" i="8"/>
  <c r="Z482" i="8"/>
  <c r="Z490" i="8"/>
  <c r="Z26" i="8"/>
  <c r="Z35" i="8"/>
  <c r="Z44" i="8"/>
  <c r="Z53" i="8"/>
  <c r="Z62" i="8"/>
  <c r="Z72" i="8"/>
  <c r="Z81" i="8"/>
  <c r="Z90" i="8"/>
  <c r="Z99" i="8"/>
  <c r="Z108" i="8"/>
  <c r="Z117" i="8"/>
  <c r="Z126" i="8"/>
  <c r="Z136" i="8"/>
  <c r="Z145" i="8"/>
  <c r="Z154" i="8"/>
  <c r="Z163" i="8"/>
  <c r="Z172" i="8"/>
  <c r="Z181" i="8"/>
  <c r="Z190" i="8"/>
  <c r="Z200" i="8"/>
  <c r="Z209" i="8"/>
  <c r="Z218" i="8"/>
  <c r="Z227" i="8"/>
  <c r="Z235" i="8"/>
  <c r="Z243" i="8"/>
  <c r="Z251" i="8"/>
  <c r="Z259" i="8"/>
  <c r="Z267" i="8"/>
  <c r="Z275" i="8"/>
  <c r="Z283" i="8"/>
  <c r="Z291" i="8"/>
  <c r="Z299" i="8"/>
  <c r="Z307" i="8"/>
  <c r="Z315" i="8"/>
  <c r="Z323" i="8"/>
  <c r="Z331" i="8"/>
  <c r="Z339" i="8"/>
  <c r="Z347" i="8"/>
  <c r="Z355" i="8"/>
  <c r="Z363" i="8"/>
  <c r="Z371" i="8"/>
  <c r="Z379" i="8"/>
  <c r="Z387" i="8"/>
  <c r="Z395" i="8"/>
  <c r="Z403" i="8"/>
  <c r="Z411" i="8"/>
  <c r="Z419" i="8"/>
  <c r="Z427" i="8"/>
  <c r="Z435" i="8"/>
  <c r="Z443" i="8"/>
  <c r="Z451" i="8"/>
  <c r="Z459" i="8"/>
  <c r="Z467" i="8"/>
  <c r="Z475" i="8"/>
  <c r="Z483" i="8"/>
  <c r="Z491" i="8"/>
  <c r="Z29" i="8"/>
  <c r="Z38" i="8"/>
  <c r="Z48" i="8"/>
  <c r="Z57" i="8"/>
  <c r="Z66" i="8"/>
  <c r="Z75" i="8"/>
  <c r="Z84" i="8"/>
  <c r="Z93" i="8"/>
  <c r="Z102" i="8"/>
  <c r="Z112" i="8"/>
  <c r="Z121" i="8"/>
  <c r="Z130" i="8"/>
  <c r="Z139" i="8"/>
  <c r="Z148" i="8"/>
  <c r="Z157" i="8"/>
  <c r="Z166" i="8"/>
  <c r="Z176" i="8"/>
  <c r="Z185" i="8"/>
  <c r="Z194" i="8"/>
  <c r="Z203" i="8"/>
  <c r="Z212" i="8"/>
  <c r="Z221" i="8"/>
  <c r="Z230" i="8"/>
  <c r="Z238" i="8"/>
  <c r="Z246" i="8"/>
  <c r="Z254" i="8"/>
  <c r="Z262" i="8"/>
  <c r="Z270" i="8"/>
  <c r="Z278" i="8"/>
  <c r="Z286" i="8"/>
  <c r="Z294" i="8"/>
  <c r="Z302" i="8"/>
  <c r="Z310" i="8"/>
  <c r="Z318" i="8"/>
  <c r="Z326" i="8"/>
  <c r="Z334" i="8"/>
  <c r="Z342" i="8"/>
  <c r="Z350" i="8"/>
  <c r="Z358" i="8"/>
  <c r="Z366" i="8"/>
  <c r="Z374" i="8"/>
  <c r="Z382" i="8"/>
  <c r="Z390" i="8"/>
  <c r="Z398" i="8"/>
  <c r="Z406" i="8"/>
  <c r="Z414" i="8"/>
  <c r="Z422" i="8"/>
  <c r="Z430" i="8"/>
  <c r="Z438" i="8"/>
  <c r="Z446" i="8"/>
  <c r="Z454" i="8"/>
  <c r="Z462" i="8"/>
  <c r="Z470" i="8"/>
  <c r="Z478" i="8"/>
  <c r="Z486" i="8"/>
  <c r="Z494" i="8"/>
  <c r="Z27" i="8"/>
  <c r="Z45" i="8"/>
  <c r="Z64" i="8"/>
  <c r="Z82" i="8"/>
  <c r="Z100" i="8"/>
  <c r="Z118" i="8"/>
  <c r="Z137" i="8"/>
  <c r="Z155" i="8"/>
  <c r="Z173" i="8"/>
  <c r="Z192" i="8"/>
  <c r="Z210" i="8"/>
  <c r="Z228" i="8"/>
  <c r="Z244" i="8"/>
  <c r="Z260" i="8"/>
  <c r="Z276" i="8"/>
  <c r="Z292" i="8"/>
  <c r="Z308" i="8"/>
  <c r="Z324" i="8"/>
  <c r="Z340" i="8"/>
  <c r="Z356" i="8"/>
  <c r="Z372" i="8"/>
  <c r="Z388" i="8"/>
  <c r="Z404" i="8"/>
  <c r="Z420" i="8"/>
  <c r="Z436" i="8"/>
  <c r="Z452" i="8"/>
  <c r="Z468" i="8"/>
  <c r="Z484" i="8"/>
  <c r="Z28" i="8"/>
  <c r="Z46" i="8"/>
  <c r="Z65" i="8"/>
  <c r="Z83" i="8"/>
  <c r="Z101" i="8"/>
  <c r="Z120" i="8"/>
  <c r="Z138" i="8"/>
  <c r="Z156" i="8"/>
  <c r="Z174" i="8"/>
  <c r="Z193" i="8"/>
  <c r="Z211" i="8"/>
  <c r="Z229" i="8"/>
  <c r="Z245" i="8"/>
  <c r="Z261" i="8"/>
  <c r="Z277" i="8"/>
  <c r="Z293" i="8"/>
  <c r="Z309" i="8"/>
  <c r="Z325" i="8"/>
  <c r="Z341" i="8"/>
  <c r="Z357" i="8"/>
  <c r="Z373" i="8"/>
  <c r="Z389" i="8"/>
  <c r="Z405" i="8"/>
  <c r="Z421" i="8"/>
  <c r="Z437" i="8"/>
  <c r="Z453" i="8"/>
  <c r="Z469" i="8"/>
  <c r="Z485" i="8"/>
  <c r="Z30" i="8"/>
  <c r="Z49" i="8"/>
  <c r="Z67" i="8"/>
  <c r="Z85" i="8"/>
  <c r="Z104" i="8"/>
  <c r="X23" i="8"/>
  <c r="Z488" i="8"/>
  <c r="Z464" i="8"/>
  <c r="Z445" i="8"/>
  <c r="Z424" i="8"/>
  <c r="Z400" i="8"/>
  <c r="Z381" i="8"/>
  <c r="Z360" i="8"/>
  <c r="Z336" i="8"/>
  <c r="Z317" i="8"/>
  <c r="Z296" i="8"/>
  <c r="Z272" i="8"/>
  <c r="Z253" i="8"/>
  <c r="Z232" i="8"/>
  <c r="Z205" i="8"/>
  <c r="Z184" i="8"/>
  <c r="Z160" i="8"/>
  <c r="Z132" i="8"/>
  <c r="Z110" i="8"/>
  <c r="Z77" i="8"/>
  <c r="Z54" i="8"/>
  <c r="Y83" i="8"/>
  <c r="Y75" i="8"/>
  <c r="Y67" i="8"/>
  <c r="Y59" i="8"/>
  <c r="Y51" i="8"/>
  <c r="Y43" i="8"/>
  <c r="Y35" i="8"/>
  <c r="Y27" i="8"/>
  <c r="Y248" i="8"/>
  <c r="Y240" i="8"/>
  <c r="Y232" i="8"/>
  <c r="Y224" i="8"/>
  <c r="Y216" i="8"/>
  <c r="Y208" i="8"/>
  <c r="Y200" i="8"/>
  <c r="Y192" i="8"/>
  <c r="Y184" i="8"/>
  <c r="Y176" i="8"/>
  <c r="Y168" i="8"/>
  <c r="Y160" i="8"/>
  <c r="Y152" i="8"/>
  <c r="Y144" i="8"/>
  <c r="Y136" i="8"/>
  <c r="Y128" i="8"/>
  <c r="Y120" i="8"/>
  <c r="Y112" i="8"/>
  <c r="Y104" i="8"/>
  <c r="Y96" i="8"/>
  <c r="Y88" i="8"/>
  <c r="Y80" i="8"/>
  <c r="Y72" i="8"/>
  <c r="Y64" i="8"/>
  <c r="Y56" i="8"/>
  <c r="Y48" i="8"/>
  <c r="Y40" i="8"/>
  <c r="Y32" i="8"/>
  <c r="Y24" i="8"/>
  <c r="Y495" i="8"/>
  <c r="Y487" i="8"/>
  <c r="Y479" i="8"/>
  <c r="Y471" i="8"/>
  <c r="Y463" i="8"/>
  <c r="Y455" i="8"/>
  <c r="Y447" i="8"/>
  <c r="Y439" i="8"/>
  <c r="Y431" i="8"/>
  <c r="Y423" i="8"/>
  <c r="Y415" i="8"/>
  <c r="Y407" i="8"/>
  <c r="Y399" i="8"/>
  <c r="Y391" i="8"/>
  <c r="Y383" i="8"/>
  <c r="Y375" i="8"/>
  <c r="Y367" i="8"/>
  <c r="Y359" i="8"/>
  <c r="Y351" i="8"/>
  <c r="Y343" i="8"/>
  <c r="Y335" i="8"/>
  <c r="Y327" i="8"/>
  <c r="Y319" i="8"/>
  <c r="Y311" i="8"/>
  <c r="Y303" i="8"/>
  <c r="Y295" i="8"/>
  <c r="Y287" i="8"/>
  <c r="Y279" i="8"/>
  <c r="Y271" i="8"/>
  <c r="Y263" i="8"/>
  <c r="Y255" i="8"/>
  <c r="Y247" i="8"/>
  <c r="Y239" i="8"/>
  <c r="Y231" i="8"/>
  <c r="Y223" i="8"/>
  <c r="Y215" i="8"/>
  <c r="Y207" i="8"/>
  <c r="Y199" i="8"/>
  <c r="Y191" i="8"/>
  <c r="Y183" i="8"/>
  <c r="Y175" i="8"/>
  <c r="Y167" i="8"/>
  <c r="Y159" i="8"/>
  <c r="Y151" i="8"/>
  <c r="Y143" i="8"/>
  <c r="Y135" i="8"/>
  <c r="Y127" i="8"/>
  <c r="Y119" i="8"/>
  <c r="Y111" i="8"/>
  <c r="Y103" i="8"/>
  <c r="Y95" i="8"/>
  <c r="Y87" i="8"/>
  <c r="Y79" i="8"/>
  <c r="Y71" i="8"/>
  <c r="Y63" i="8"/>
  <c r="Y55" i="8"/>
  <c r="Y47" i="8"/>
  <c r="Y39" i="8"/>
  <c r="Y31" i="8"/>
  <c r="AA195" i="8"/>
  <c r="AA187" i="8"/>
  <c r="AA179" i="8"/>
  <c r="AA171" i="8"/>
  <c r="AA163" i="8"/>
  <c r="AA155" i="8"/>
  <c r="AA147" i="8"/>
  <c r="AA139" i="8"/>
  <c r="AA131" i="8"/>
  <c r="AA123" i="8"/>
  <c r="AA115" i="8"/>
  <c r="AA107" i="8"/>
  <c r="AA99" i="8"/>
  <c r="AA91" i="8"/>
  <c r="AA83" i="8"/>
  <c r="AA75" i="8"/>
  <c r="AA67" i="8"/>
  <c r="AA59" i="8"/>
  <c r="AA51" i="8"/>
  <c r="AA43" i="8"/>
  <c r="AA35" i="8"/>
  <c r="AA27" i="8"/>
  <c r="AA490" i="8"/>
  <c r="AA482" i="8"/>
  <c r="AA474" i="8"/>
  <c r="AA466" i="8"/>
  <c r="AA458" i="8"/>
  <c r="AA450" i="8"/>
  <c r="AA442" i="8"/>
  <c r="AA434" i="8"/>
  <c r="AA426" i="8"/>
  <c r="AA418" i="8"/>
  <c r="AA410" i="8"/>
  <c r="AA402" i="8"/>
  <c r="AA394" i="8"/>
  <c r="AA386" i="8"/>
  <c r="AA378" i="8"/>
  <c r="AA370" i="8"/>
  <c r="AA362" i="8"/>
  <c r="AA354" i="8"/>
  <c r="AA346" i="8"/>
  <c r="AA338" i="8"/>
  <c r="AA330" i="8"/>
  <c r="AA322" i="8"/>
  <c r="AA314" i="8"/>
  <c r="AA306" i="8"/>
  <c r="AA298" i="8"/>
  <c r="AA290" i="8"/>
  <c r="AA282" i="8"/>
  <c r="AA274" i="8"/>
  <c r="AA266" i="8"/>
  <c r="AA258" i="8"/>
  <c r="AA250" i="8"/>
  <c r="AA242" i="8"/>
  <c r="AA234" i="8"/>
  <c r="AA226" i="8"/>
  <c r="AA218" i="8"/>
  <c r="AA210" i="8"/>
  <c r="AA202" i="8"/>
  <c r="AA194" i="8"/>
  <c r="AA186" i="8"/>
  <c r="AA178" i="8"/>
  <c r="AA170" i="8"/>
  <c r="AA162" i="8"/>
  <c r="AA154" i="8"/>
  <c r="AA146" i="8"/>
  <c r="AA138" i="8"/>
  <c r="AA130" i="8"/>
  <c r="AA122" i="8"/>
  <c r="AA114" i="8"/>
  <c r="AA106" i="8"/>
  <c r="AA98" i="8"/>
  <c r="AA90" i="8"/>
  <c r="AA82" i="8"/>
  <c r="AA74" i="8"/>
  <c r="AA66" i="8"/>
  <c r="AA58" i="8"/>
  <c r="AA50" i="8"/>
  <c r="AA42" i="8"/>
  <c r="AA34" i="8"/>
  <c r="AA26" i="8"/>
  <c r="AA207" i="8"/>
  <c r="AA199" i="8"/>
  <c r="AA191" i="8"/>
  <c r="AA183" i="8"/>
  <c r="AA175" i="8"/>
  <c r="AA167" i="8"/>
  <c r="AA159" i="8"/>
  <c r="AA151" i="8"/>
  <c r="AA143" i="8"/>
  <c r="AA135" i="8"/>
  <c r="AA127" i="8"/>
  <c r="AA119" i="8"/>
  <c r="AA111" i="8"/>
  <c r="AA103" i="8"/>
  <c r="AA95" i="8"/>
  <c r="AA87" i="8"/>
  <c r="AA79" i="8"/>
  <c r="AA71" i="8"/>
  <c r="AA63" i="8"/>
  <c r="AA55" i="8"/>
  <c r="AA47" i="8"/>
  <c r="AA39" i="8"/>
  <c r="AA31" i="8"/>
  <c r="AB226" i="8"/>
  <c r="AB218" i="8"/>
  <c r="AB210" i="8"/>
  <c r="AB202" i="8"/>
  <c r="AB194" i="8"/>
  <c r="AB186" i="8"/>
  <c r="AB178" i="8"/>
  <c r="AB170" i="8"/>
  <c r="AB162" i="8"/>
  <c r="AB154" i="8"/>
  <c r="AB146" i="8"/>
  <c r="AB138" i="8"/>
  <c r="AB130" i="8"/>
  <c r="AB122" i="8"/>
  <c r="AB114" i="8"/>
  <c r="AB106" i="8"/>
  <c r="AB98" i="8"/>
  <c r="AB90" i="8"/>
  <c r="AB82" i="8"/>
  <c r="AB74" i="8"/>
  <c r="AB66" i="8"/>
  <c r="AB58" i="8"/>
  <c r="AB50" i="8"/>
  <c r="AB42" i="8"/>
  <c r="AB34" i="8"/>
  <c r="AC493" i="8"/>
  <c r="AC485" i="8"/>
  <c r="AC477" i="8"/>
  <c r="AC469" i="8"/>
  <c r="AC461" i="8"/>
  <c r="AC453" i="8"/>
  <c r="AC445" i="8"/>
  <c r="AC437" i="8"/>
  <c r="AC429" i="8"/>
  <c r="AC421" i="8"/>
  <c r="AC413" i="8"/>
  <c r="AC405" i="8"/>
  <c r="AC397" i="8"/>
  <c r="AC389" i="8"/>
  <c r="AC381" i="8"/>
  <c r="AC373" i="8"/>
  <c r="AC365" i="8"/>
  <c r="AC357" i="8"/>
  <c r="AC349" i="8"/>
  <c r="AC341" i="8"/>
  <c r="AC333" i="8"/>
  <c r="AC325" i="8"/>
  <c r="AC317" i="8"/>
  <c r="AC309" i="8"/>
  <c r="AC301" i="8"/>
  <c r="AC293" i="8"/>
  <c r="AC285" i="8"/>
  <c r="AC277" i="8"/>
  <c r="AC269" i="8"/>
  <c r="AC261" i="8"/>
  <c r="AC253" i="8"/>
  <c r="AC245" i="8"/>
  <c r="AC237" i="8"/>
  <c r="AC229" i="8"/>
  <c r="AC221" i="8"/>
  <c r="AC213" i="8"/>
  <c r="AC205" i="8"/>
  <c r="AC197" i="8"/>
  <c r="AC189" i="8"/>
  <c r="AC181" i="8"/>
  <c r="AC173" i="8"/>
  <c r="AC165" i="8"/>
  <c r="AC157" i="8"/>
  <c r="AC149" i="8"/>
  <c r="AC141" i="8"/>
  <c r="AC133" i="8"/>
  <c r="AC125" i="8"/>
  <c r="AC117" i="8"/>
  <c r="AC109" i="8"/>
  <c r="AC101" i="8"/>
  <c r="AC93" i="8"/>
  <c r="AC85" i="8"/>
  <c r="AC77" i="8"/>
  <c r="AC69" i="8"/>
  <c r="AC61" i="8"/>
  <c r="AC53" i="8"/>
  <c r="AC45" i="8"/>
  <c r="AC37" i="8"/>
  <c r="AC29" i="8"/>
  <c r="AC138" i="8"/>
  <c r="AC130" i="8"/>
  <c r="AC122" i="8"/>
  <c r="AC114" i="8"/>
  <c r="AC106" i="8"/>
  <c r="AC98" i="8"/>
  <c r="AC90" i="8"/>
  <c r="AC82" i="8"/>
  <c r="AC74" i="8"/>
  <c r="AC66" i="8"/>
  <c r="AC58" i="8"/>
  <c r="AC50" i="8"/>
  <c r="AC42" i="8"/>
  <c r="AC34" i="8"/>
  <c r="AC26" i="8"/>
  <c r="AC489" i="8"/>
  <c r="AC481" i="8"/>
  <c r="AC473" i="8"/>
  <c r="AC465" i="8"/>
  <c r="AC457" i="8"/>
  <c r="AC449" i="8"/>
  <c r="AC441" i="8"/>
  <c r="AC433" i="8"/>
  <c r="AC425" i="8"/>
  <c r="AC417" i="8"/>
  <c r="AC409" i="8"/>
  <c r="AC401" i="8"/>
  <c r="AC393" i="8"/>
  <c r="AC385" i="8"/>
  <c r="AC377" i="8"/>
  <c r="AC369" i="8"/>
  <c r="AC361" i="8"/>
  <c r="AC353" i="8"/>
  <c r="AC345" i="8"/>
  <c r="AC337" i="8"/>
  <c r="AC329" i="8"/>
  <c r="AC321" i="8"/>
  <c r="AC313" i="8"/>
  <c r="AC305" i="8"/>
  <c r="AC297" i="8"/>
  <c r="AC289" i="8"/>
  <c r="AC281" i="8"/>
  <c r="AC273" i="8"/>
  <c r="AC265" i="8"/>
  <c r="AC257" i="8"/>
  <c r="AC249" i="8"/>
  <c r="AC241" i="8"/>
  <c r="AC233" i="8"/>
  <c r="AC225" i="8"/>
  <c r="AC217" i="8"/>
  <c r="AC209" i="8"/>
  <c r="AC201" i="8"/>
  <c r="AC193" i="8"/>
  <c r="AC185" i="8"/>
  <c r="AC177" i="8"/>
  <c r="AC169" i="8"/>
  <c r="AC161" i="8"/>
  <c r="AC153" i="8"/>
  <c r="AC145" i="8"/>
  <c r="AC137" i="8"/>
  <c r="AC129" i="8"/>
  <c r="AC121" i="8"/>
  <c r="AC113" i="8"/>
  <c r="AC105" i="8"/>
  <c r="AC97" i="8"/>
  <c r="AC89" i="8"/>
  <c r="AC81" i="8"/>
  <c r="AC73" i="8"/>
  <c r="AC65" i="8"/>
  <c r="AC57" i="8"/>
  <c r="AC49" i="8"/>
  <c r="AC41" i="8"/>
  <c r="AC33" i="8"/>
  <c r="AA467" i="13"/>
  <c r="AA469" i="13"/>
  <c r="AA463" i="13"/>
  <c r="AA474" i="13"/>
  <c r="AA455" i="13"/>
  <c r="AA468" i="13"/>
  <c r="AA451" i="13"/>
  <c r="AA460" i="13"/>
  <c r="AA473" i="13"/>
  <c r="S466" i="13"/>
  <c r="S469" i="13"/>
  <c r="S453" i="13"/>
  <c r="S462" i="13"/>
  <c r="S474" i="13"/>
  <c r="S445" i="13"/>
  <c r="S454" i="13"/>
  <c r="S463" i="13"/>
  <c r="S450" i="13"/>
  <c r="S459" i="13"/>
  <c r="S468" i="13"/>
  <c r="S473" i="13"/>
  <c r="V2" i="13"/>
  <c r="AB473" i="13"/>
  <c r="V471" i="13"/>
  <c r="P469" i="13"/>
  <c r="AB465" i="13"/>
  <c r="X462" i="13"/>
  <c r="U459" i="13"/>
  <c r="Q456" i="13"/>
  <c r="Z452" i="13"/>
  <c r="S446" i="13"/>
  <c r="AB442" i="13"/>
  <c r="Y439" i="13"/>
  <c r="U436" i="13"/>
  <c r="Q433" i="13"/>
  <c r="U429" i="13"/>
  <c r="AB424" i="13"/>
  <c r="V420" i="13"/>
  <c r="S414" i="13"/>
  <c r="Z394" i="13"/>
  <c r="AA367" i="13"/>
  <c r="V357" i="13"/>
  <c r="AA475" i="13"/>
  <c r="U473" i="13"/>
  <c r="AB470" i="13"/>
  <c r="V468" i="13"/>
  <c r="R465" i="13"/>
  <c r="AB461" i="13"/>
  <c r="X458" i="13"/>
  <c r="T455" i="13"/>
  <c r="Q452" i="13"/>
  <c r="Z448" i="13"/>
  <c r="V445" i="13"/>
  <c r="S442" i="13"/>
  <c r="AB438" i="13"/>
  <c r="X435" i="13"/>
  <c r="U432" i="13"/>
  <c r="V428" i="13"/>
  <c r="AB423" i="13"/>
  <c r="T419" i="13"/>
  <c r="Z411" i="13"/>
  <c r="P389" i="13"/>
  <c r="P361" i="13"/>
  <c r="U405" i="13"/>
  <c r="Z475" i="13"/>
  <c r="T473" i="13"/>
  <c r="AA470" i="13"/>
  <c r="U468" i="13"/>
  <c r="Q465" i="13"/>
  <c r="AA461" i="13"/>
  <c r="S455" i="13"/>
  <c r="P452" i="13"/>
  <c r="Y448" i="13"/>
  <c r="U445" i="13"/>
  <c r="R442" i="13"/>
  <c r="AA438" i="13"/>
  <c r="T432" i="13"/>
  <c r="U428" i="13"/>
  <c r="AA423" i="13"/>
  <c r="S419" i="13"/>
  <c r="R411" i="13"/>
  <c r="R388" i="13"/>
  <c r="AB5" i="13"/>
  <c r="AB13" i="13"/>
  <c r="AB21" i="13"/>
  <c r="AB29" i="13"/>
  <c r="AB37" i="13"/>
  <c r="AB10" i="13"/>
  <c r="AB18" i="13"/>
  <c r="AB26" i="13"/>
  <c r="AB34" i="13"/>
  <c r="AB42" i="13"/>
  <c r="AB50" i="13"/>
  <c r="AB7" i="13"/>
  <c r="AB15" i="13"/>
  <c r="AB23" i="13"/>
  <c r="AB31" i="13"/>
  <c r="AB39" i="13"/>
  <c r="AB47" i="13"/>
  <c r="AB4" i="13"/>
  <c r="AB12" i="13"/>
  <c r="AB20" i="13"/>
  <c r="AB28" i="13"/>
  <c r="AB9" i="13"/>
  <c r="AB17" i="13"/>
  <c r="AB25" i="13"/>
  <c r="AB6" i="13"/>
  <c r="AB14" i="13"/>
  <c r="AB22" i="13"/>
  <c r="AB30" i="13"/>
  <c r="AB8" i="13"/>
  <c r="AB41" i="13"/>
  <c r="AB45" i="13"/>
  <c r="AB53" i="13"/>
  <c r="AB61" i="13"/>
  <c r="AB69" i="13"/>
  <c r="AB77" i="13"/>
  <c r="AB11" i="13"/>
  <c r="AB46" i="13"/>
  <c r="AB58" i="13"/>
  <c r="AB66" i="13"/>
  <c r="AB74" i="13"/>
  <c r="AB16" i="13"/>
  <c r="AB33" i="13"/>
  <c r="AB51" i="13"/>
  <c r="AB55" i="13"/>
  <c r="AB63" i="13"/>
  <c r="AB71" i="13"/>
  <c r="AB79" i="13"/>
  <c r="AB87" i="13"/>
  <c r="AB95" i="13"/>
  <c r="AB19" i="13"/>
  <c r="AB38" i="13"/>
  <c r="AB52" i="13"/>
  <c r="AB60" i="13"/>
  <c r="AB68" i="13"/>
  <c r="AB24" i="13"/>
  <c r="AB36" i="13"/>
  <c r="AB43" i="13"/>
  <c r="AB57" i="13"/>
  <c r="AB27" i="13"/>
  <c r="AB44" i="13"/>
  <c r="AB48" i="13"/>
  <c r="AB54" i="13"/>
  <c r="AB62" i="13"/>
  <c r="AB32" i="13"/>
  <c r="AB35" i="13"/>
  <c r="AB49" i="13"/>
  <c r="AB59" i="13"/>
  <c r="AB67" i="13"/>
  <c r="AB70" i="13"/>
  <c r="AB90" i="13"/>
  <c r="AB102" i="13"/>
  <c r="AB107" i="13"/>
  <c r="AB115" i="13"/>
  <c r="AB123" i="13"/>
  <c r="AB3" i="13"/>
  <c r="AB56" i="13"/>
  <c r="AB65" i="13"/>
  <c r="AB83" i="13"/>
  <c r="AB88" i="13"/>
  <c r="AB100" i="13"/>
  <c r="AB104" i="13"/>
  <c r="AB112" i="13"/>
  <c r="AB120" i="13"/>
  <c r="AB72" i="13"/>
  <c r="AB86" i="13"/>
  <c r="AB93" i="13"/>
  <c r="AB109" i="13"/>
  <c r="AB117" i="13"/>
  <c r="AB125" i="13"/>
  <c r="AB133" i="13"/>
  <c r="AB141" i="13"/>
  <c r="AB149" i="13"/>
  <c r="AB157" i="13"/>
  <c r="AB76" i="13"/>
  <c r="AB84" i="13"/>
  <c r="AB91" i="13"/>
  <c r="AB98" i="13"/>
  <c r="AB106" i="13"/>
  <c r="AB114" i="13"/>
  <c r="AB40" i="13"/>
  <c r="AB78" i="13"/>
  <c r="AB89" i="13"/>
  <c r="AB96" i="13"/>
  <c r="AB103" i="13"/>
  <c r="AB64" i="13"/>
  <c r="AB92" i="13"/>
  <c r="AB99" i="13"/>
  <c r="AB73" i="13"/>
  <c r="AB82" i="13"/>
  <c r="AB85" i="13"/>
  <c r="AB97" i="13"/>
  <c r="AB110" i="13"/>
  <c r="AB101" i="13"/>
  <c r="AB113" i="13"/>
  <c r="AB138" i="13"/>
  <c r="AB145" i="13"/>
  <c r="AB152" i="13"/>
  <c r="AB159" i="13"/>
  <c r="AB126" i="13"/>
  <c r="AB131" i="13"/>
  <c r="AB143" i="13"/>
  <c r="AB150" i="13"/>
  <c r="AB129" i="13"/>
  <c r="AB136" i="13"/>
  <c r="AB80" i="13"/>
  <c r="AB127" i="13"/>
  <c r="AB134" i="13"/>
  <c r="AB146" i="13"/>
  <c r="AB81" i="13"/>
  <c r="AB105" i="13"/>
  <c r="AB119" i="13"/>
  <c r="AB122" i="13"/>
  <c r="AB132" i="13"/>
  <c r="AB75" i="13"/>
  <c r="AB94" i="13"/>
  <c r="AB116" i="13"/>
  <c r="AB135" i="13"/>
  <c r="AB142" i="13"/>
  <c r="AB154" i="13"/>
  <c r="AB165" i="13"/>
  <c r="AB108" i="13"/>
  <c r="AB128" i="13"/>
  <c r="AB140" i="13"/>
  <c r="AB147" i="13"/>
  <c r="AB162" i="13"/>
  <c r="AB118" i="13"/>
  <c r="AB137" i="13"/>
  <c r="AB148" i="13"/>
  <c r="AB174" i="13"/>
  <c r="AB182" i="13"/>
  <c r="AB190" i="13"/>
  <c r="AB198" i="13"/>
  <c r="AB206" i="13"/>
  <c r="AB214" i="13"/>
  <c r="AB222" i="13"/>
  <c r="AB230" i="13"/>
  <c r="AB238" i="13"/>
  <c r="AB246" i="13"/>
  <c r="AB254" i="13"/>
  <c r="AB161" i="13"/>
  <c r="AB171" i="13"/>
  <c r="AB179" i="13"/>
  <c r="AB187" i="13"/>
  <c r="AB195" i="13"/>
  <c r="AB153" i="13"/>
  <c r="AB158" i="13"/>
  <c r="AB160" i="13"/>
  <c r="AB163" i="13"/>
  <c r="AB164" i="13"/>
  <c r="AB168" i="13"/>
  <c r="AB176" i="13"/>
  <c r="AB184" i="13"/>
  <c r="AB192" i="13"/>
  <c r="AB111" i="13"/>
  <c r="AB121" i="13"/>
  <c r="AB173" i="13"/>
  <c r="AB181" i="13"/>
  <c r="AB189" i="13"/>
  <c r="AB197" i="13"/>
  <c r="AB205" i="13"/>
  <c r="AB213" i="13"/>
  <c r="AB221" i="13"/>
  <c r="AB229" i="13"/>
  <c r="AB237" i="13"/>
  <c r="AB245" i="13"/>
  <c r="AB144" i="13"/>
  <c r="AB156" i="13"/>
  <c r="AB170" i="13"/>
  <c r="AB178" i="13"/>
  <c r="AB186" i="13"/>
  <c r="AB139" i="13"/>
  <c r="AB155" i="13"/>
  <c r="AB175" i="13"/>
  <c r="AB183" i="13"/>
  <c r="AB191" i="13"/>
  <c r="AB194" i="13"/>
  <c r="AB201" i="13"/>
  <c r="AB215" i="13"/>
  <c r="AB224" i="13"/>
  <c r="AB233" i="13"/>
  <c r="AB251" i="13"/>
  <c r="AB166" i="13"/>
  <c r="AB202" i="13"/>
  <c r="AB211" i="13"/>
  <c r="AB220" i="13"/>
  <c r="AB234" i="13"/>
  <c r="AB243" i="13"/>
  <c r="AB256" i="13"/>
  <c r="AB264" i="13"/>
  <c r="AB272" i="13"/>
  <c r="AB280" i="13"/>
  <c r="AB288" i="13"/>
  <c r="AB296" i="13"/>
  <c r="AB169" i="13"/>
  <c r="AB207" i="13"/>
  <c r="AB216" i="13"/>
  <c r="AB225" i="13"/>
  <c r="AB172" i="13"/>
  <c r="AB193" i="13"/>
  <c r="AB203" i="13"/>
  <c r="AB212" i="13"/>
  <c r="AB167" i="13"/>
  <c r="AB177" i="13"/>
  <c r="AB199" i="13"/>
  <c r="AB208" i="13"/>
  <c r="AB217" i="13"/>
  <c r="AB231" i="13"/>
  <c r="AB124" i="13"/>
  <c r="AB180" i="13"/>
  <c r="AB204" i="13"/>
  <c r="AB218" i="13"/>
  <c r="AB227" i="13"/>
  <c r="AB151" i="13"/>
  <c r="AB185" i="13"/>
  <c r="AB196" i="13"/>
  <c r="AB200" i="13"/>
  <c r="AB209" i="13"/>
  <c r="AB223" i="13"/>
  <c r="AB232" i="13"/>
  <c r="AB241" i="13"/>
  <c r="AB248" i="13"/>
  <c r="AB255" i="13"/>
  <c r="AB257" i="13"/>
  <c r="AB265" i="13"/>
  <c r="AB273" i="13"/>
  <c r="AB281" i="13"/>
  <c r="AB289" i="13"/>
  <c r="AB226" i="13"/>
  <c r="AB239" i="13"/>
  <c r="AB252" i="13"/>
  <c r="AB253" i="13"/>
  <c r="AB269" i="13"/>
  <c r="AB278" i="13"/>
  <c r="AB287" i="13"/>
  <c r="AB301" i="13"/>
  <c r="AB303" i="13"/>
  <c r="AB311" i="13"/>
  <c r="AB130" i="13"/>
  <c r="AB249" i="13"/>
  <c r="AB250" i="13"/>
  <c r="AB260" i="13"/>
  <c r="AB274" i="13"/>
  <c r="AB283" i="13"/>
  <c r="AB294" i="13"/>
  <c r="AB308" i="13"/>
  <c r="AB236" i="13"/>
  <c r="AB261" i="13"/>
  <c r="AB270" i="13"/>
  <c r="AB279" i="13"/>
  <c r="AB292" i="13"/>
  <c r="AB299" i="13"/>
  <c r="AB305" i="13"/>
  <c r="AB242" i="13"/>
  <c r="AB247" i="13"/>
  <c r="AB266" i="13"/>
  <c r="AB275" i="13"/>
  <c r="AB284" i="13"/>
  <c r="AB297" i="13"/>
  <c r="AB310" i="13"/>
  <c r="AB318" i="13"/>
  <c r="AB326" i="13"/>
  <c r="AB334" i="13"/>
  <c r="AB342" i="13"/>
  <c r="AB350" i="13"/>
  <c r="AB210" i="13"/>
  <c r="AB262" i="13"/>
  <c r="AB271" i="13"/>
  <c r="AB285" i="13"/>
  <c r="AB295" i="13"/>
  <c r="AB228" i="13"/>
  <c r="AB258" i="13"/>
  <c r="AB267" i="13"/>
  <c r="AB276" i="13"/>
  <c r="AB290" i="13"/>
  <c r="AB293" i="13"/>
  <c r="AB235" i="13"/>
  <c r="AB263" i="13"/>
  <c r="AB277" i="13"/>
  <c r="AB286" i="13"/>
  <c r="AB298" i="13"/>
  <c r="AB309" i="13"/>
  <c r="AB317" i="13"/>
  <c r="AB325" i="13"/>
  <c r="AB333" i="13"/>
  <c r="AB341" i="13"/>
  <c r="AB349" i="13"/>
  <c r="AB259" i="13"/>
  <c r="AB302" i="13"/>
  <c r="AB312" i="13"/>
  <c r="AB313" i="13"/>
  <c r="AB314" i="13"/>
  <c r="AB315" i="13"/>
  <c r="AB320" i="13"/>
  <c r="AB329" i="13"/>
  <c r="AB343" i="13"/>
  <c r="AB356" i="13"/>
  <c r="AB364" i="13"/>
  <c r="AB372" i="13"/>
  <c r="AB380" i="13"/>
  <c r="AB388" i="13"/>
  <c r="AB396" i="13"/>
  <c r="AB404" i="13"/>
  <c r="AB412" i="13"/>
  <c r="AB420" i="13"/>
  <c r="AB244" i="13"/>
  <c r="AB300" i="13"/>
  <c r="AB316" i="13"/>
  <c r="AB330" i="13"/>
  <c r="AB339" i="13"/>
  <c r="AB348" i="13"/>
  <c r="AB353" i="13"/>
  <c r="AB361" i="13"/>
  <c r="AB369" i="13"/>
  <c r="AB188" i="13"/>
  <c r="AB304" i="13"/>
  <c r="AB321" i="13"/>
  <c r="AB335" i="13"/>
  <c r="AB344" i="13"/>
  <c r="AB358" i="13"/>
  <c r="AB268" i="13"/>
  <c r="AB307" i="13"/>
  <c r="AB322" i="13"/>
  <c r="AB331" i="13"/>
  <c r="AB340" i="13"/>
  <c r="AB355" i="13"/>
  <c r="AB363" i="13"/>
  <c r="AB371" i="13"/>
  <c r="AB379" i="13"/>
  <c r="AB387" i="13"/>
  <c r="AB395" i="13"/>
  <c r="AB403" i="13"/>
  <c r="AB411" i="13"/>
  <c r="AB282" i="13"/>
  <c r="AB327" i="13"/>
  <c r="AB336" i="13"/>
  <c r="AB345" i="13"/>
  <c r="AB352" i="13"/>
  <c r="AB306" i="13"/>
  <c r="AB323" i="13"/>
  <c r="AB332" i="13"/>
  <c r="AB346" i="13"/>
  <c r="AB367" i="13"/>
  <c r="AB370" i="13"/>
  <c r="AB375" i="13"/>
  <c r="AB389" i="13"/>
  <c r="AB398" i="13"/>
  <c r="AB407" i="13"/>
  <c r="AB425" i="13"/>
  <c r="AB429" i="13"/>
  <c r="AB219" i="13"/>
  <c r="AB357" i="13"/>
  <c r="AB376" i="13"/>
  <c r="AB385" i="13"/>
  <c r="AB394" i="13"/>
  <c r="AB408" i="13"/>
  <c r="AB418" i="13"/>
  <c r="AB291" i="13"/>
  <c r="AB381" i="13"/>
  <c r="AB390" i="13"/>
  <c r="AB399" i="13"/>
  <c r="AB413" i="13"/>
  <c r="AB240" i="13"/>
  <c r="AB337" i="13"/>
  <c r="AB377" i="13"/>
  <c r="AB386" i="13"/>
  <c r="AB400" i="13"/>
  <c r="AB409" i="13"/>
  <c r="AB421" i="13"/>
  <c r="AB428" i="13"/>
  <c r="AB436" i="13"/>
  <c r="AB444" i="13"/>
  <c r="AB452" i="13"/>
  <c r="AB460" i="13"/>
  <c r="AB324" i="13"/>
  <c r="AB347" i="13"/>
  <c r="AB373" i="13"/>
  <c r="AB382" i="13"/>
  <c r="AB391" i="13"/>
  <c r="AB405" i="13"/>
  <c r="AB328" i="13"/>
  <c r="AB378" i="13"/>
  <c r="AB392" i="13"/>
  <c r="AB401" i="13"/>
  <c r="AB338" i="13"/>
  <c r="AB351" i="13"/>
  <c r="AB360" i="13"/>
  <c r="AB374" i="13"/>
  <c r="AB383" i="13"/>
  <c r="AB397" i="13"/>
  <c r="AB406" i="13"/>
  <c r="AB422" i="13"/>
  <c r="AB435" i="13"/>
  <c r="AB443" i="13"/>
  <c r="AB451" i="13"/>
  <c r="AB459" i="13"/>
  <c r="AB467" i="13"/>
  <c r="AB402" i="13"/>
  <c r="AB414" i="13"/>
  <c r="AB434" i="13"/>
  <c r="AB448" i="13"/>
  <c r="AB457" i="13"/>
  <c r="AB466" i="13"/>
  <c r="AB475" i="13"/>
  <c r="AB362" i="13"/>
  <c r="AB416" i="13"/>
  <c r="AB439" i="13"/>
  <c r="AB453" i="13"/>
  <c r="AB462" i="13"/>
  <c r="AB472" i="13"/>
  <c r="AB354" i="13"/>
  <c r="AB384" i="13"/>
  <c r="AB419" i="13"/>
  <c r="AB440" i="13"/>
  <c r="AB449" i="13"/>
  <c r="AB458" i="13"/>
  <c r="AB469" i="13"/>
  <c r="AB427" i="13"/>
  <c r="AB430" i="13"/>
  <c r="AB431" i="13"/>
  <c r="AB445" i="13"/>
  <c r="AB454" i="13"/>
  <c r="AB463" i="13"/>
  <c r="AB474" i="13"/>
  <c r="AB365" i="13"/>
  <c r="AB426" i="13"/>
  <c r="AB432" i="13"/>
  <c r="AB441" i="13"/>
  <c r="AB450" i="13"/>
  <c r="AB464" i="13"/>
  <c r="AB471" i="13"/>
  <c r="AB2" i="13"/>
  <c r="AB366" i="13"/>
  <c r="AB393" i="13"/>
  <c r="AB410" i="13"/>
  <c r="AB415" i="13"/>
  <c r="AB437" i="13"/>
  <c r="AB446" i="13"/>
  <c r="AB455" i="13"/>
  <c r="AB468" i="13"/>
  <c r="T378" i="13"/>
  <c r="S475" i="13"/>
  <c r="Z472" i="13"/>
  <c r="T470" i="13"/>
  <c r="X467" i="13"/>
  <c r="U464" i="13"/>
  <c r="Z457" i="13"/>
  <c r="S451" i="13"/>
  <c r="AB447" i="13"/>
  <c r="Y444" i="13"/>
  <c r="U441" i="13"/>
  <c r="AA434" i="13"/>
  <c r="V431" i="13"/>
  <c r="U427" i="13"/>
  <c r="AA422" i="13"/>
  <c r="AB417" i="13"/>
  <c r="V408" i="13"/>
  <c r="V382" i="13"/>
  <c r="R346" i="13"/>
  <c r="AA370" i="13"/>
  <c r="S397" i="13"/>
  <c r="R475" i="13"/>
  <c r="Y472" i="13"/>
  <c r="S470" i="13"/>
  <c r="T464" i="13"/>
  <c r="P461" i="13"/>
  <c r="Y457" i="13"/>
  <c r="AA447" i="13"/>
  <c r="X444" i="13"/>
  <c r="T441" i="13"/>
  <c r="Z434" i="13"/>
  <c r="T431" i="13"/>
  <c r="S427" i="13"/>
  <c r="Y422" i="13"/>
  <c r="AA407" i="13"/>
  <c r="X381" i="13"/>
  <c r="AA342" i="13"/>
  <c r="P9" i="13"/>
  <c r="P17" i="13"/>
  <c r="P25" i="13"/>
  <c r="P33" i="13"/>
  <c r="P6" i="13"/>
  <c r="P14" i="13"/>
  <c r="P22" i="13"/>
  <c r="P30" i="13"/>
  <c r="P38" i="13"/>
  <c r="P46" i="13"/>
  <c r="P3" i="13"/>
  <c r="P11" i="13"/>
  <c r="P19" i="13"/>
  <c r="P27" i="13"/>
  <c r="P35" i="13"/>
  <c r="P43" i="13"/>
  <c r="P51" i="13"/>
  <c r="P8" i="13"/>
  <c r="P16" i="13"/>
  <c r="P24" i="13"/>
  <c r="P32" i="13"/>
  <c r="P5" i="13"/>
  <c r="P13" i="13"/>
  <c r="P21" i="13"/>
  <c r="P29" i="13"/>
  <c r="P10" i="13"/>
  <c r="P18" i="13"/>
  <c r="P26" i="13"/>
  <c r="P34" i="13"/>
  <c r="P4" i="13"/>
  <c r="P41" i="13"/>
  <c r="P57" i="13"/>
  <c r="P65" i="13"/>
  <c r="P73" i="13"/>
  <c r="P81" i="13"/>
  <c r="P7" i="13"/>
  <c r="P42" i="13"/>
  <c r="P54" i="13"/>
  <c r="P62" i="13"/>
  <c r="P70" i="13"/>
  <c r="P78" i="13"/>
  <c r="P12" i="13"/>
  <c r="P47" i="13"/>
  <c r="P59" i="13"/>
  <c r="P67" i="13"/>
  <c r="P75" i="13"/>
  <c r="P83" i="13"/>
  <c r="P91" i="13"/>
  <c r="P99" i="13"/>
  <c r="P15" i="13"/>
  <c r="P48" i="13"/>
  <c r="P52" i="13"/>
  <c r="P56" i="13"/>
  <c r="P64" i="13"/>
  <c r="P72" i="13"/>
  <c r="P20" i="13"/>
  <c r="P39" i="13"/>
  <c r="P53" i="13"/>
  <c r="P61" i="13"/>
  <c r="P23" i="13"/>
  <c r="P37" i="13"/>
  <c r="P40" i="13"/>
  <c r="P44" i="13"/>
  <c r="P58" i="13"/>
  <c r="P66" i="13"/>
  <c r="P28" i="13"/>
  <c r="P45" i="13"/>
  <c r="P49" i="13"/>
  <c r="P55" i="13"/>
  <c r="P63" i="13"/>
  <c r="P71" i="13"/>
  <c r="P74" i="13"/>
  <c r="P86" i="13"/>
  <c r="P98" i="13"/>
  <c r="P111" i="13"/>
  <c r="P119" i="13"/>
  <c r="P127" i="13"/>
  <c r="P96" i="13"/>
  <c r="P103" i="13"/>
  <c r="P108" i="13"/>
  <c r="P116" i="13"/>
  <c r="P124" i="13"/>
  <c r="P68" i="13"/>
  <c r="P84" i="13"/>
  <c r="P89" i="13"/>
  <c r="P101" i="13"/>
  <c r="P105" i="13"/>
  <c r="P113" i="13"/>
  <c r="P121" i="13"/>
  <c r="P129" i="13"/>
  <c r="P137" i="13"/>
  <c r="P145" i="13"/>
  <c r="P153" i="13"/>
  <c r="P87" i="13"/>
  <c r="P94" i="13"/>
  <c r="P110" i="13"/>
  <c r="P31" i="13"/>
  <c r="P77" i="13"/>
  <c r="P80" i="13"/>
  <c r="P85" i="13"/>
  <c r="P92" i="13"/>
  <c r="P107" i="13"/>
  <c r="P60" i="13"/>
  <c r="P69" i="13"/>
  <c r="P76" i="13"/>
  <c r="P82" i="13"/>
  <c r="P88" i="13"/>
  <c r="P95" i="13"/>
  <c r="P102" i="13"/>
  <c r="P36" i="13"/>
  <c r="P50" i="13"/>
  <c r="P93" i="13"/>
  <c r="P100" i="13"/>
  <c r="P106" i="13"/>
  <c r="P114" i="13"/>
  <c r="P109" i="13"/>
  <c r="P134" i="13"/>
  <c r="P141" i="13"/>
  <c r="P148" i="13"/>
  <c r="P163" i="13"/>
  <c r="P79" i="13"/>
  <c r="P97" i="13"/>
  <c r="P139" i="13"/>
  <c r="P146" i="13"/>
  <c r="P132" i="13"/>
  <c r="P144" i="13"/>
  <c r="P130" i="13"/>
  <c r="P142" i="13"/>
  <c r="P149" i="13"/>
  <c r="P115" i="13"/>
  <c r="P118" i="13"/>
  <c r="P128" i="13"/>
  <c r="P135" i="13"/>
  <c r="P112" i="13"/>
  <c r="P122" i="13"/>
  <c r="P125" i="13"/>
  <c r="P131" i="13"/>
  <c r="P138" i="13"/>
  <c r="P150" i="13"/>
  <c r="P157" i="13"/>
  <c r="P161" i="13"/>
  <c r="P90" i="13"/>
  <c r="P117" i="13"/>
  <c r="P126" i="13"/>
  <c r="P136" i="13"/>
  <c r="P143" i="13"/>
  <c r="P155" i="13"/>
  <c r="P166" i="13"/>
  <c r="P152" i="13"/>
  <c r="P168" i="13"/>
  <c r="P170" i="13"/>
  <c r="P178" i="13"/>
  <c r="P186" i="13"/>
  <c r="P194" i="13"/>
  <c r="P202" i="13"/>
  <c r="P210" i="13"/>
  <c r="P218" i="13"/>
  <c r="P226" i="13"/>
  <c r="P234" i="13"/>
  <c r="P242" i="13"/>
  <c r="P250" i="13"/>
  <c r="P120" i="13"/>
  <c r="P133" i="13"/>
  <c r="P147" i="13"/>
  <c r="P151" i="13"/>
  <c r="P160" i="13"/>
  <c r="P175" i="13"/>
  <c r="P183" i="13"/>
  <c r="P191" i="13"/>
  <c r="P199" i="13"/>
  <c r="P158" i="13"/>
  <c r="P162" i="13"/>
  <c r="P172" i="13"/>
  <c r="P180" i="13"/>
  <c r="P188" i="13"/>
  <c r="P196" i="13"/>
  <c r="P154" i="13"/>
  <c r="P159" i="13"/>
  <c r="P164" i="13"/>
  <c r="P165" i="13"/>
  <c r="P169" i="13"/>
  <c r="P177" i="13"/>
  <c r="P185" i="13"/>
  <c r="P193" i="13"/>
  <c r="P201" i="13"/>
  <c r="P209" i="13"/>
  <c r="P217" i="13"/>
  <c r="P225" i="13"/>
  <c r="P233" i="13"/>
  <c r="P241" i="13"/>
  <c r="P123" i="13"/>
  <c r="P174" i="13"/>
  <c r="P182" i="13"/>
  <c r="P190" i="13"/>
  <c r="P171" i="13"/>
  <c r="P179" i="13"/>
  <c r="P187" i="13"/>
  <c r="P189" i="13"/>
  <c r="P211" i="13"/>
  <c r="P220" i="13"/>
  <c r="P229" i="13"/>
  <c r="P243" i="13"/>
  <c r="P247" i="13"/>
  <c r="P192" i="13"/>
  <c r="P195" i="13"/>
  <c r="P207" i="13"/>
  <c r="P216" i="13"/>
  <c r="P230" i="13"/>
  <c r="P239" i="13"/>
  <c r="P252" i="13"/>
  <c r="P260" i="13"/>
  <c r="P268" i="13"/>
  <c r="P276" i="13"/>
  <c r="P284" i="13"/>
  <c r="P292" i="13"/>
  <c r="P300" i="13"/>
  <c r="P104" i="13"/>
  <c r="P167" i="13"/>
  <c r="P203" i="13"/>
  <c r="P212" i="13"/>
  <c r="P221" i="13"/>
  <c r="P235" i="13"/>
  <c r="P140" i="13"/>
  <c r="P156" i="13"/>
  <c r="P208" i="13"/>
  <c r="P222" i="13"/>
  <c r="P173" i="13"/>
  <c r="P198" i="13"/>
  <c r="P204" i="13"/>
  <c r="P213" i="13"/>
  <c r="P227" i="13"/>
  <c r="P236" i="13"/>
  <c r="P176" i="13"/>
  <c r="P200" i="13"/>
  <c r="P214" i="13"/>
  <c r="P223" i="13"/>
  <c r="P181" i="13"/>
  <c r="P205" i="13"/>
  <c r="P219" i="13"/>
  <c r="P228" i="13"/>
  <c r="P237" i="13"/>
  <c r="P251" i="13"/>
  <c r="P261" i="13"/>
  <c r="P269" i="13"/>
  <c r="P277" i="13"/>
  <c r="P285" i="13"/>
  <c r="P232" i="13"/>
  <c r="P245" i="13"/>
  <c r="P265" i="13"/>
  <c r="P274" i="13"/>
  <c r="P283" i="13"/>
  <c r="P297" i="13"/>
  <c r="P307" i="13"/>
  <c r="P315" i="13"/>
  <c r="P215" i="13"/>
  <c r="P240" i="13"/>
  <c r="P244" i="13"/>
  <c r="P253" i="13"/>
  <c r="P254" i="13"/>
  <c r="P255" i="13"/>
  <c r="P270" i="13"/>
  <c r="P279" i="13"/>
  <c r="P288" i="13"/>
  <c r="P302" i="13"/>
  <c r="P304" i="13"/>
  <c r="P256" i="13"/>
  <c r="P257" i="13"/>
  <c r="P266" i="13"/>
  <c r="P275" i="13"/>
  <c r="P289" i="13"/>
  <c r="P295" i="13"/>
  <c r="P249" i="13"/>
  <c r="P262" i="13"/>
  <c r="P271" i="13"/>
  <c r="P280" i="13"/>
  <c r="P293" i="13"/>
  <c r="P306" i="13"/>
  <c r="P314" i="13"/>
  <c r="P322" i="13"/>
  <c r="P330" i="13"/>
  <c r="P338" i="13"/>
  <c r="P346" i="13"/>
  <c r="P197" i="13"/>
  <c r="P224" i="13"/>
  <c r="P231" i="13"/>
  <c r="P248" i="13"/>
  <c r="P258" i="13"/>
  <c r="P267" i="13"/>
  <c r="P281" i="13"/>
  <c r="P290" i="13"/>
  <c r="P298" i="13"/>
  <c r="P184" i="13"/>
  <c r="P263" i="13"/>
  <c r="P272" i="13"/>
  <c r="P286" i="13"/>
  <c r="P296" i="13"/>
  <c r="P206" i="13"/>
  <c r="P238" i="13"/>
  <c r="P246" i="13"/>
  <c r="P259" i="13"/>
  <c r="P273" i="13"/>
  <c r="P282" i="13"/>
  <c r="P291" i="13"/>
  <c r="P294" i="13"/>
  <c r="P301" i="13"/>
  <c r="P305" i="13"/>
  <c r="P313" i="13"/>
  <c r="P321" i="13"/>
  <c r="P329" i="13"/>
  <c r="P337" i="13"/>
  <c r="P345" i="13"/>
  <c r="P311" i="13"/>
  <c r="P312" i="13"/>
  <c r="P325" i="13"/>
  <c r="P339" i="13"/>
  <c r="P348" i="13"/>
  <c r="P352" i="13"/>
  <c r="P360" i="13"/>
  <c r="P368" i="13"/>
  <c r="P376" i="13"/>
  <c r="P384" i="13"/>
  <c r="P392" i="13"/>
  <c r="P400" i="13"/>
  <c r="P408" i="13"/>
  <c r="P416" i="13"/>
  <c r="P424" i="13"/>
  <c r="P287" i="13"/>
  <c r="P303" i="13"/>
  <c r="P310" i="13"/>
  <c r="P316" i="13"/>
  <c r="P326" i="13"/>
  <c r="P335" i="13"/>
  <c r="P344" i="13"/>
  <c r="P357" i="13"/>
  <c r="P365" i="13"/>
  <c r="P309" i="13"/>
  <c r="P317" i="13"/>
  <c r="P331" i="13"/>
  <c r="P340" i="13"/>
  <c r="P349" i="13"/>
  <c r="P354" i="13"/>
  <c r="P318" i="13"/>
  <c r="P327" i="13"/>
  <c r="P336" i="13"/>
  <c r="P350" i="13"/>
  <c r="P359" i="13"/>
  <c r="P367" i="13"/>
  <c r="P375" i="13"/>
  <c r="P383" i="13"/>
  <c r="P391" i="13"/>
  <c r="P399" i="13"/>
  <c r="P407" i="13"/>
  <c r="P415" i="13"/>
  <c r="P299" i="13"/>
  <c r="P308" i="13"/>
  <c r="P323" i="13"/>
  <c r="P332" i="13"/>
  <c r="P341" i="13"/>
  <c r="P264" i="13"/>
  <c r="P319" i="13"/>
  <c r="P328" i="13"/>
  <c r="P342" i="13"/>
  <c r="P351" i="13"/>
  <c r="P353" i="13"/>
  <c r="P320" i="13"/>
  <c r="P343" i="13"/>
  <c r="P355" i="13"/>
  <c r="P363" i="13"/>
  <c r="P366" i="13"/>
  <c r="P369" i="13"/>
  <c r="P370" i="13"/>
  <c r="P385" i="13"/>
  <c r="P394" i="13"/>
  <c r="P403" i="13"/>
  <c r="P421" i="13"/>
  <c r="P428" i="13"/>
  <c r="P324" i="13"/>
  <c r="P347" i="13"/>
  <c r="P371" i="13"/>
  <c r="P372" i="13"/>
  <c r="P381" i="13"/>
  <c r="P390" i="13"/>
  <c r="P404" i="13"/>
  <c r="P413" i="13"/>
  <c r="P334" i="13"/>
  <c r="P358" i="13"/>
  <c r="P377" i="13"/>
  <c r="P386" i="13"/>
  <c r="P395" i="13"/>
  <c r="P409" i="13"/>
  <c r="P373" i="13"/>
  <c r="P382" i="13"/>
  <c r="P396" i="13"/>
  <c r="P405" i="13"/>
  <c r="P414" i="13"/>
  <c r="P417" i="13"/>
  <c r="P432" i="13"/>
  <c r="P440" i="13"/>
  <c r="P448" i="13"/>
  <c r="P456" i="13"/>
  <c r="P464" i="13"/>
  <c r="P356" i="13"/>
  <c r="P378" i="13"/>
  <c r="P387" i="13"/>
  <c r="P401" i="13"/>
  <c r="P410" i="13"/>
  <c r="P278" i="13"/>
  <c r="P374" i="13"/>
  <c r="P388" i="13"/>
  <c r="P397" i="13"/>
  <c r="P406" i="13"/>
  <c r="P379" i="13"/>
  <c r="P393" i="13"/>
  <c r="P402" i="13"/>
  <c r="P411" i="13"/>
  <c r="P418" i="13"/>
  <c r="P425" i="13"/>
  <c r="P431" i="13"/>
  <c r="P439" i="13"/>
  <c r="P447" i="13"/>
  <c r="P455" i="13"/>
  <c r="P463" i="13"/>
  <c r="P362" i="13"/>
  <c r="P412" i="13"/>
  <c r="P423" i="13"/>
  <c r="P444" i="13"/>
  <c r="P453" i="13"/>
  <c r="P462" i="13"/>
  <c r="P471" i="13"/>
  <c r="P422" i="13"/>
  <c r="P435" i="13"/>
  <c r="P449" i="13"/>
  <c r="P458" i="13"/>
  <c r="P467" i="13"/>
  <c r="P364" i="13"/>
  <c r="P398" i="13"/>
  <c r="P436" i="13"/>
  <c r="P445" i="13"/>
  <c r="P454" i="13"/>
  <c r="P468" i="13"/>
  <c r="P473" i="13"/>
  <c r="P333" i="13"/>
  <c r="P420" i="13"/>
  <c r="P429" i="13"/>
  <c r="P430" i="13"/>
  <c r="P441" i="13"/>
  <c r="P450" i="13"/>
  <c r="P459" i="13"/>
  <c r="P470" i="13"/>
  <c r="P380" i="13"/>
  <c r="P437" i="13"/>
  <c r="P446" i="13"/>
  <c r="P460" i="13"/>
  <c r="P475" i="13"/>
  <c r="P419" i="13"/>
  <c r="P426" i="13"/>
  <c r="P427" i="13"/>
  <c r="P433" i="13"/>
  <c r="P442" i="13"/>
  <c r="P451" i="13"/>
  <c r="P465" i="13"/>
  <c r="P472" i="13"/>
  <c r="P2" i="13"/>
  <c r="V460" i="13"/>
  <c r="V470" i="13"/>
  <c r="V456" i="13"/>
  <c r="V475" i="13"/>
  <c r="V448" i="13"/>
  <c r="V462" i="13"/>
  <c r="V469" i="13"/>
  <c r="V444" i="13"/>
  <c r="V453" i="13"/>
  <c r="V467" i="13"/>
  <c r="V474" i="13"/>
  <c r="Z7" i="13"/>
  <c r="Z15" i="13"/>
  <c r="Z23" i="13"/>
  <c r="Z31" i="13"/>
  <c r="Z4" i="13"/>
  <c r="Z12" i="13"/>
  <c r="Z20" i="13"/>
  <c r="Z28" i="13"/>
  <c r="Z36" i="13"/>
  <c r="Z44" i="13"/>
  <c r="Z52" i="13"/>
  <c r="Z9" i="13"/>
  <c r="Z17" i="13"/>
  <c r="Z25" i="13"/>
  <c r="Z33" i="13"/>
  <c r="Z41" i="13"/>
  <c r="Z49" i="13"/>
  <c r="Z6" i="13"/>
  <c r="Z14" i="13"/>
  <c r="Z22" i="13"/>
  <c r="Z30" i="13"/>
  <c r="Z3" i="13"/>
  <c r="Z11" i="13"/>
  <c r="Z19" i="13"/>
  <c r="Z27" i="13"/>
  <c r="Z8" i="13"/>
  <c r="Z16" i="13"/>
  <c r="Z24" i="13"/>
  <c r="Z32" i="13"/>
  <c r="Z18" i="13"/>
  <c r="Z51" i="13"/>
  <c r="Z55" i="13"/>
  <c r="Z63" i="13"/>
  <c r="Z71" i="13"/>
  <c r="Z79" i="13"/>
  <c r="Z21" i="13"/>
  <c r="Z38" i="13"/>
  <c r="Z42" i="13"/>
  <c r="Z60" i="13"/>
  <c r="Z68" i="13"/>
  <c r="Z76" i="13"/>
  <c r="Z26" i="13"/>
  <c r="Z37" i="13"/>
  <c r="Z43" i="13"/>
  <c r="Z47" i="13"/>
  <c r="Z57" i="13"/>
  <c r="Z65" i="13"/>
  <c r="Z73" i="13"/>
  <c r="Z81" i="13"/>
  <c r="Z89" i="13"/>
  <c r="Z97" i="13"/>
  <c r="Z29" i="13"/>
  <c r="Z48" i="13"/>
  <c r="Z54" i="13"/>
  <c r="Z62" i="13"/>
  <c r="Z70" i="13"/>
  <c r="Z39" i="13"/>
  <c r="Z59" i="13"/>
  <c r="Z5" i="13"/>
  <c r="Z35" i="13"/>
  <c r="Z40" i="13"/>
  <c r="Z56" i="13"/>
  <c r="Z64" i="13"/>
  <c r="Z10" i="13"/>
  <c r="Z45" i="13"/>
  <c r="Z53" i="13"/>
  <c r="Z61" i="13"/>
  <c r="Z69" i="13"/>
  <c r="Z50" i="13"/>
  <c r="Z67" i="13"/>
  <c r="Z86" i="13"/>
  <c r="Z93" i="13"/>
  <c r="Z100" i="13"/>
  <c r="Z109" i="13"/>
  <c r="Z117" i="13"/>
  <c r="Z125" i="13"/>
  <c r="Z72" i="13"/>
  <c r="Z91" i="13"/>
  <c r="Z98" i="13"/>
  <c r="Z106" i="13"/>
  <c r="Z114" i="13"/>
  <c r="Z122" i="13"/>
  <c r="Z78" i="13"/>
  <c r="Z84" i="13"/>
  <c r="Z96" i="13"/>
  <c r="Z103" i="13"/>
  <c r="Z111" i="13"/>
  <c r="Z119" i="13"/>
  <c r="Z127" i="13"/>
  <c r="Z135" i="13"/>
  <c r="Z143" i="13"/>
  <c r="Z151" i="13"/>
  <c r="Z46" i="13"/>
  <c r="Z75" i="13"/>
  <c r="Z77" i="13"/>
  <c r="Z80" i="13"/>
  <c r="Z94" i="13"/>
  <c r="Z101" i="13"/>
  <c r="Z108" i="13"/>
  <c r="Z116" i="13"/>
  <c r="Z58" i="13"/>
  <c r="Z66" i="13"/>
  <c r="Z87" i="13"/>
  <c r="Z99" i="13"/>
  <c r="Z105" i="13"/>
  <c r="Z34" i="13"/>
  <c r="Z74" i="13"/>
  <c r="Z82" i="13"/>
  <c r="Z90" i="13"/>
  <c r="Z83" i="13"/>
  <c r="Z88" i="13"/>
  <c r="Z95" i="13"/>
  <c r="Z104" i="13"/>
  <c r="Z112" i="13"/>
  <c r="Z110" i="13"/>
  <c r="Z129" i="13"/>
  <c r="Z136" i="13"/>
  <c r="Z148" i="13"/>
  <c r="Z155" i="13"/>
  <c r="Z161" i="13"/>
  <c r="Z13" i="13"/>
  <c r="Z85" i="13"/>
  <c r="Z115" i="13"/>
  <c r="Z134" i="13"/>
  <c r="Z141" i="13"/>
  <c r="Z153" i="13"/>
  <c r="Z102" i="13"/>
  <c r="Z107" i="13"/>
  <c r="Z132" i="13"/>
  <c r="Z139" i="13"/>
  <c r="Z146" i="13"/>
  <c r="Z92" i="13"/>
  <c r="Z118" i="13"/>
  <c r="Z121" i="13"/>
  <c r="Z124" i="13"/>
  <c r="Z137" i="13"/>
  <c r="Z144" i="13"/>
  <c r="Z120" i="13"/>
  <c r="Z123" i="13"/>
  <c r="Z130" i="13"/>
  <c r="Z113" i="13"/>
  <c r="Z133" i="13"/>
  <c r="Z145" i="13"/>
  <c r="Z152" i="13"/>
  <c r="Z159" i="13"/>
  <c r="Z167" i="13"/>
  <c r="Z126" i="13"/>
  <c r="Z131" i="13"/>
  <c r="Z138" i="13"/>
  <c r="Z150" i="13"/>
  <c r="Z157" i="13"/>
  <c r="Z164" i="13"/>
  <c r="Z140" i="13"/>
  <c r="Z154" i="13"/>
  <c r="Z158" i="13"/>
  <c r="Z160" i="13"/>
  <c r="Z163" i="13"/>
  <c r="Z168" i="13"/>
  <c r="Z176" i="13"/>
  <c r="Z184" i="13"/>
  <c r="Z192" i="13"/>
  <c r="Z200" i="13"/>
  <c r="Z208" i="13"/>
  <c r="Z216" i="13"/>
  <c r="Z224" i="13"/>
  <c r="Z232" i="13"/>
  <c r="Z240" i="13"/>
  <c r="Z248" i="13"/>
  <c r="Z256" i="13"/>
  <c r="Z162" i="13"/>
  <c r="Z173" i="13"/>
  <c r="Z181" i="13"/>
  <c r="Z189" i="13"/>
  <c r="Z197" i="13"/>
  <c r="Z156" i="13"/>
  <c r="Z170" i="13"/>
  <c r="Z178" i="13"/>
  <c r="Z186" i="13"/>
  <c r="Z194" i="13"/>
  <c r="Z128" i="13"/>
  <c r="Z165" i="13"/>
  <c r="Z175" i="13"/>
  <c r="Z183" i="13"/>
  <c r="Z191" i="13"/>
  <c r="Z199" i="13"/>
  <c r="Z207" i="13"/>
  <c r="Z215" i="13"/>
  <c r="Z223" i="13"/>
  <c r="Z231" i="13"/>
  <c r="Z239" i="13"/>
  <c r="Z147" i="13"/>
  <c r="Z149" i="13"/>
  <c r="Z166" i="13"/>
  <c r="Z172" i="13"/>
  <c r="Z180" i="13"/>
  <c r="Z188" i="13"/>
  <c r="Z142" i="13"/>
  <c r="Z169" i="13"/>
  <c r="Z177" i="13"/>
  <c r="Z185" i="13"/>
  <c r="Z171" i="13"/>
  <c r="Z202" i="13"/>
  <c r="Z211" i="13"/>
  <c r="Z225" i="13"/>
  <c r="Z234" i="13"/>
  <c r="Z243" i="13"/>
  <c r="Z249" i="13"/>
  <c r="Z174" i="13"/>
  <c r="Z193" i="13"/>
  <c r="Z212" i="13"/>
  <c r="Z221" i="13"/>
  <c r="Z230" i="13"/>
  <c r="Z244" i="13"/>
  <c r="Z247" i="13"/>
  <c r="Z254" i="13"/>
  <c r="Z258" i="13"/>
  <c r="Z266" i="13"/>
  <c r="Z274" i="13"/>
  <c r="Z282" i="13"/>
  <c r="Z290" i="13"/>
  <c r="Z298" i="13"/>
  <c r="Z179" i="13"/>
  <c r="Z203" i="13"/>
  <c r="Z217" i="13"/>
  <c r="Z226" i="13"/>
  <c r="Z235" i="13"/>
  <c r="Z182" i="13"/>
  <c r="Z198" i="13"/>
  <c r="Z204" i="13"/>
  <c r="Z213" i="13"/>
  <c r="Z222" i="13"/>
  <c r="Z187" i="13"/>
  <c r="Z196" i="13"/>
  <c r="Z209" i="13"/>
  <c r="Z218" i="13"/>
  <c r="Z227" i="13"/>
  <c r="Z190" i="13"/>
  <c r="Z205" i="13"/>
  <c r="Z214" i="13"/>
  <c r="Z228" i="13"/>
  <c r="Z201" i="13"/>
  <c r="Z210" i="13"/>
  <c r="Z219" i="13"/>
  <c r="Z233" i="13"/>
  <c r="Z242" i="13"/>
  <c r="Z246" i="13"/>
  <c r="Z259" i="13"/>
  <c r="Z267" i="13"/>
  <c r="Z275" i="13"/>
  <c r="Z283" i="13"/>
  <c r="Z291" i="13"/>
  <c r="Z220" i="13"/>
  <c r="Z229" i="13"/>
  <c r="Z255" i="13"/>
  <c r="Z265" i="13"/>
  <c r="Z279" i="13"/>
  <c r="Z288" i="13"/>
  <c r="Z292" i="13"/>
  <c r="Z299" i="13"/>
  <c r="Z305" i="13"/>
  <c r="Z313" i="13"/>
  <c r="Z236" i="13"/>
  <c r="Z261" i="13"/>
  <c r="Z270" i="13"/>
  <c r="Z284" i="13"/>
  <c r="Z297" i="13"/>
  <c r="Z238" i="13"/>
  <c r="Z257" i="13"/>
  <c r="Z271" i="13"/>
  <c r="Z280" i="13"/>
  <c r="Z289" i="13"/>
  <c r="Z295" i="13"/>
  <c r="Z302" i="13"/>
  <c r="Z195" i="13"/>
  <c r="Z262" i="13"/>
  <c r="Z276" i="13"/>
  <c r="Z285" i="13"/>
  <c r="Z300" i="13"/>
  <c r="Z304" i="13"/>
  <c r="Z312" i="13"/>
  <c r="Z320" i="13"/>
  <c r="Z328" i="13"/>
  <c r="Z336" i="13"/>
  <c r="Z344" i="13"/>
  <c r="Z241" i="13"/>
  <c r="Z245" i="13"/>
  <c r="Z263" i="13"/>
  <c r="Z272" i="13"/>
  <c r="Z281" i="13"/>
  <c r="Z293" i="13"/>
  <c r="Z237" i="13"/>
  <c r="Z268" i="13"/>
  <c r="Z277" i="13"/>
  <c r="Z286" i="13"/>
  <c r="Z252" i="13"/>
  <c r="Z264" i="13"/>
  <c r="Z273" i="13"/>
  <c r="Z287" i="13"/>
  <c r="Z296" i="13"/>
  <c r="Z303" i="13"/>
  <c r="Z311" i="13"/>
  <c r="Z319" i="13"/>
  <c r="Z327" i="13"/>
  <c r="Z335" i="13"/>
  <c r="Z343" i="13"/>
  <c r="Z351" i="13"/>
  <c r="Z321" i="13"/>
  <c r="Z330" i="13"/>
  <c r="Z339" i="13"/>
  <c r="Z358" i="13"/>
  <c r="Z366" i="13"/>
  <c r="Z374" i="13"/>
  <c r="Z382" i="13"/>
  <c r="Z390" i="13"/>
  <c r="Z398" i="13"/>
  <c r="Z406" i="13"/>
  <c r="Z414" i="13"/>
  <c r="Z422" i="13"/>
  <c r="Z253" i="13"/>
  <c r="Z260" i="13"/>
  <c r="Z308" i="13"/>
  <c r="Z317" i="13"/>
  <c r="Z326" i="13"/>
  <c r="Z340" i="13"/>
  <c r="Z349" i="13"/>
  <c r="Z355" i="13"/>
  <c r="Z363" i="13"/>
  <c r="Z307" i="13"/>
  <c r="Z322" i="13"/>
  <c r="Z331" i="13"/>
  <c r="Z345" i="13"/>
  <c r="Z352" i="13"/>
  <c r="Z294" i="13"/>
  <c r="Z318" i="13"/>
  <c r="Z332" i="13"/>
  <c r="Z341" i="13"/>
  <c r="Z350" i="13"/>
  <c r="Z357" i="13"/>
  <c r="Z365" i="13"/>
  <c r="Z373" i="13"/>
  <c r="Z381" i="13"/>
  <c r="Z389" i="13"/>
  <c r="Z397" i="13"/>
  <c r="Z405" i="13"/>
  <c r="Z413" i="13"/>
  <c r="Z206" i="13"/>
  <c r="Z269" i="13"/>
  <c r="Z301" i="13"/>
  <c r="Z306" i="13"/>
  <c r="Z323" i="13"/>
  <c r="Z337" i="13"/>
  <c r="Z346" i="13"/>
  <c r="Z354" i="13"/>
  <c r="Z324" i="13"/>
  <c r="Z333" i="13"/>
  <c r="Z342" i="13"/>
  <c r="Z316" i="13"/>
  <c r="Z376" i="13"/>
  <c r="Z385" i="13"/>
  <c r="Z399" i="13"/>
  <c r="Z408" i="13"/>
  <c r="Z416" i="13"/>
  <c r="Z423" i="13"/>
  <c r="Z431" i="13"/>
  <c r="Z372" i="13"/>
  <c r="Z386" i="13"/>
  <c r="Z395" i="13"/>
  <c r="Z404" i="13"/>
  <c r="Z309" i="13"/>
  <c r="Z356" i="13"/>
  <c r="Z377" i="13"/>
  <c r="Z391" i="13"/>
  <c r="Z400" i="13"/>
  <c r="Z409" i="13"/>
  <c r="Z310" i="13"/>
  <c r="Z347" i="13"/>
  <c r="Z378" i="13"/>
  <c r="Z387" i="13"/>
  <c r="Z396" i="13"/>
  <c r="Z410" i="13"/>
  <c r="Z424" i="13"/>
  <c r="Z430" i="13"/>
  <c r="Z438" i="13"/>
  <c r="Z446" i="13"/>
  <c r="Z454" i="13"/>
  <c r="Z462" i="13"/>
  <c r="Z314" i="13"/>
  <c r="Z334" i="13"/>
  <c r="Z353" i="13"/>
  <c r="Z383" i="13"/>
  <c r="Z392" i="13"/>
  <c r="Z401" i="13"/>
  <c r="Z250" i="13"/>
  <c r="Z338" i="13"/>
  <c r="Z359" i="13"/>
  <c r="Z360" i="13"/>
  <c r="Z362" i="13"/>
  <c r="Z379" i="13"/>
  <c r="Z388" i="13"/>
  <c r="Z402" i="13"/>
  <c r="Z251" i="13"/>
  <c r="Z278" i="13"/>
  <c r="Z315" i="13"/>
  <c r="Z325" i="13"/>
  <c r="Z348" i="13"/>
  <c r="Z361" i="13"/>
  <c r="Z364" i="13"/>
  <c r="Z367" i="13"/>
  <c r="Z368" i="13"/>
  <c r="Z370" i="13"/>
  <c r="Z375" i="13"/>
  <c r="Z384" i="13"/>
  <c r="Z393" i="13"/>
  <c r="Z407" i="13"/>
  <c r="Z420" i="13"/>
  <c r="Z429" i="13"/>
  <c r="Z437" i="13"/>
  <c r="Z445" i="13"/>
  <c r="Z453" i="13"/>
  <c r="Z461" i="13"/>
  <c r="Z369" i="13"/>
  <c r="Z435" i="13"/>
  <c r="Z444" i="13"/>
  <c r="Z458" i="13"/>
  <c r="Z467" i="13"/>
  <c r="Z469" i="13"/>
  <c r="Z403" i="13"/>
  <c r="Z419" i="13"/>
  <c r="Z428" i="13"/>
  <c r="Z440" i="13"/>
  <c r="Z449" i="13"/>
  <c r="Z463" i="13"/>
  <c r="Z474" i="13"/>
  <c r="Z329" i="13"/>
  <c r="Z371" i="13"/>
  <c r="Z412" i="13"/>
  <c r="Z427" i="13"/>
  <c r="Z436" i="13"/>
  <c r="Z450" i="13"/>
  <c r="Z459" i="13"/>
  <c r="Z471" i="13"/>
  <c r="Z2" i="13"/>
  <c r="Z426" i="13"/>
  <c r="Z432" i="13"/>
  <c r="Z441" i="13"/>
  <c r="Z455" i="13"/>
  <c r="Z464" i="13"/>
  <c r="Z468" i="13"/>
  <c r="Z415" i="13"/>
  <c r="Z418" i="13"/>
  <c r="Z425" i="13"/>
  <c r="Z442" i="13"/>
  <c r="Z451" i="13"/>
  <c r="Z460" i="13"/>
  <c r="Z473" i="13"/>
  <c r="Z380" i="13"/>
  <c r="Z433" i="13"/>
  <c r="Z447" i="13"/>
  <c r="Z456" i="13"/>
  <c r="Z465" i="13"/>
  <c r="Z470" i="13"/>
  <c r="R7" i="13"/>
  <c r="R15" i="13"/>
  <c r="R23" i="13"/>
  <c r="R31" i="13"/>
  <c r="R4" i="13"/>
  <c r="R12" i="13"/>
  <c r="R20" i="13"/>
  <c r="R28" i="13"/>
  <c r="R36" i="13"/>
  <c r="R44" i="13"/>
  <c r="R52" i="13"/>
  <c r="R9" i="13"/>
  <c r="R17" i="13"/>
  <c r="R25" i="13"/>
  <c r="R33" i="13"/>
  <c r="R41" i="13"/>
  <c r="R49" i="13"/>
  <c r="R6" i="13"/>
  <c r="R14" i="13"/>
  <c r="R22" i="13"/>
  <c r="R30" i="13"/>
  <c r="R3" i="13"/>
  <c r="R11" i="13"/>
  <c r="R19" i="13"/>
  <c r="R27" i="13"/>
  <c r="R8" i="13"/>
  <c r="R16" i="13"/>
  <c r="R24" i="13"/>
  <c r="R32" i="13"/>
  <c r="R26" i="13"/>
  <c r="R45" i="13"/>
  <c r="R55" i="13"/>
  <c r="R63" i="13"/>
  <c r="R71" i="13"/>
  <c r="R79" i="13"/>
  <c r="R29" i="13"/>
  <c r="R35" i="13"/>
  <c r="R46" i="13"/>
  <c r="R50" i="13"/>
  <c r="R60" i="13"/>
  <c r="R68" i="13"/>
  <c r="R76" i="13"/>
  <c r="R51" i="13"/>
  <c r="R57" i="13"/>
  <c r="R65" i="13"/>
  <c r="R73" i="13"/>
  <c r="R81" i="13"/>
  <c r="R89" i="13"/>
  <c r="R97" i="13"/>
  <c r="R5" i="13"/>
  <c r="R42" i="13"/>
  <c r="R54" i="13"/>
  <c r="R62" i="13"/>
  <c r="R70" i="13"/>
  <c r="R10" i="13"/>
  <c r="R34" i="13"/>
  <c r="R38" i="13"/>
  <c r="R43" i="13"/>
  <c r="R47" i="13"/>
  <c r="R59" i="13"/>
  <c r="R13" i="13"/>
  <c r="R48" i="13"/>
  <c r="R56" i="13"/>
  <c r="R64" i="13"/>
  <c r="R18" i="13"/>
  <c r="R37" i="13"/>
  <c r="R39" i="13"/>
  <c r="R53" i="13"/>
  <c r="R61" i="13"/>
  <c r="R69" i="13"/>
  <c r="R21" i="13"/>
  <c r="R82" i="13"/>
  <c r="R88" i="13"/>
  <c r="R95" i="13"/>
  <c r="R109" i="13"/>
  <c r="R117" i="13"/>
  <c r="R125" i="13"/>
  <c r="R83" i="13"/>
  <c r="R86" i="13"/>
  <c r="R93" i="13"/>
  <c r="R100" i="13"/>
  <c r="R106" i="13"/>
  <c r="R114" i="13"/>
  <c r="R122" i="13"/>
  <c r="R66" i="13"/>
  <c r="R74" i="13"/>
  <c r="R91" i="13"/>
  <c r="R98" i="13"/>
  <c r="R111" i="13"/>
  <c r="R119" i="13"/>
  <c r="R127" i="13"/>
  <c r="R135" i="13"/>
  <c r="R143" i="13"/>
  <c r="R151" i="13"/>
  <c r="R159" i="13"/>
  <c r="R40" i="13"/>
  <c r="R58" i="13"/>
  <c r="R84" i="13"/>
  <c r="R96" i="13"/>
  <c r="R103" i="13"/>
  <c r="R108" i="13"/>
  <c r="R116" i="13"/>
  <c r="R94" i="13"/>
  <c r="R101" i="13"/>
  <c r="R105" i="13"/>
  <c r="R72" i="13"/>
  <c r="R77" i="13"/>
  <c r="R80" i="13"/>
  <c r="R85" i="13"/>
  <c r="R92" i="13"/>
  <c r="R75" i="13"/>
  <c r="R90" i="13"/>
  <c r="R102" i="13"/>
  <c r="R104" i="13"/>
  <c r="R112" i="13"/>
  <c r="R67" i="13"/>
  <c r="R78" i="13"/>
  <c r="R107" i="13"/>
  <c r="R131" i="13"/>
  <c r="R138" i="13"/>
  <c r="R150" i="13"/>
  <c r="R157" i="13"/>
  <c r="R161" i="13"/>
  <c r="R126" i="13"/>
  <c r="R129" i="13"/>
  <c r="R136" i="13"/>
  <c r="R148" i="13"/>
  <c r="R155" i="13"/>
  <c r="R134" i="13"/>
  <c r="R141" i="13"/>
  <c r="R87" i="13"/>
  <c r="R113" i="13"/>
  <c r="R132" i="13"/>
  <c r="R139" i="13"/>
  <c r="R146" i="13"/>
  <c r="R99" i="13"/>
  <c r="R137" i="13"/>
  <c r="R115" i="13"/>
  <c r="R118" i="13"/>
  <c r="R121" i="13"/>
  <c r="R124" i="13"/>
  <c r="R128" i="13"/>
  <c r="R140" i="13"/>
  <c r="R147" i="13"/>
  <c r="R154" i="13"/>
  <c r="R167" i="13"/>
  <c r="R120" i="13"/>
  <c r="R123" i="13"/>
  <c r="R133" i="13"/>
  <c r="R145" i="13"/>
  <c r="R152" i="13"/>
  <c r="R164" i="13"/>
  <c r="R176" i="13"/>
  <c r="R184" i="13"/>
  <c r="R192" i="13"/>
  <c r="R200" i="13"/>
  <c r="R208" i="13"/>
  <c r="R216" i="13"/>
  <c r="R224" i="13"/>
  <c r="R232" i="13"/>
  <c r="R240" i="13"/>
  <c r="R248" i="13"/>
  <c r="R256" i="13"/>
  <c r="R144" i="13"/>
  <c r="R173" i="13"/>
  <c r="R181" i="13"/>
  <c r="R189" i="13"/>
  <c r="R197" i="13"/>
  <c r="R110" i="13"/>
  <c r="R149" i="13"/>
  <c r="R168" i="13"/>
  <c r="R170" i="13"/>
  <c r="R178" i="13"/>
  <c r="R186" i="13"/>
  <c r="R194" i="13"/>
  <c r="R160" i="13"/>
  <c r="R163" i="13"/>
  <c r="R175" i="13"/>
  <c r="R183" i="13"/>
  <c r="R191" i="13"/>
  <c r="R199" i="13"/>
  <c r="R207" i="13"/>
  <c r="R215" i="13"/>
  <c r="R223" i="13"/>
  <c r="R231" i="13"/>
  <c r="R239" i="13"/>
  <c r="R142" i="13"/>
  <c r="R158" i="13"/>
  <c r="R162" i="13"/>
  <c r="R172" i="13"/>
  <c r="R180" i="13"/>
  <c r="R188" i="13"/>
  <c r="R130" i="13"/>
  <c r="R153" i="13"/>
  <c r="R165" i="13"/>
  <c r="R169" i="13"/>
  <c r="R177" i="13"/>
  <c r="R185" i="13"/>
  <c r="R193" i="13"/>
  <c r="R179" i="13"/>
  <c r="R196" i="13"/>
  <c r="R201" i="13"/>
  <c r="R210" i="13"/>
  <c r="R219" i="13"/>
  <c r="R233" i="13"/>
  <c r="R242" i="13"/>
  <c r="R251" i="13"/>
  <c r="R182" i="13"/>
  <c r="R206" i="13"/>
  <c r="R220" i="13"/>
  <c r="R229" i="13"/>
  <c r="R238" i="13"/>
  <c r="R249" i="13"/>
  <c r="R258" i="13"/>
  <c r="R266" i="13"/>
  <c r="R274" i="13"/>
  <c r="R282" i="13"/>
  <c r="R290" i="13"/>
  <c r="R298" i="13"/>
  <c r="R187" i="13"/>
  <c r="R202" i="13"/>
  <c r="R211" i="13"/>
  <c r="R225" i="13"/>
  <c r="R234" i="13"/>
  <c r="R190" i="13"/>
  <c r="R195" i="13"/>
  <c r="R212" i="13"/>
  <c r="R221" i="13"/>
  <c r="R156" i="13"/>
  <c r="R203" i="13"/>
  <c r="R217" i="13"/>
  <c r="R226" i="13"/>
  <c r="R235" i="13"/>
  <c r="R204" i="13"/>
  <c r="R213" i="13"/>
  <c r="R222" i="13"/>
  <c r="R171" i="13"/>
  <c r="R198" i="13"/>
  <c r="R209" i="13"/>
  <c r="R218" i="13"/>
  <c r="R227" i="13"/>
  <c r="R241" i="13"/>
  <c r="R253" i="13"/>
  <c r="R259" i="13"/>
  <c r="R267" i="13"/>
  <c r="R275" i="13"/>
  <c r="R283" i="13"/>
  <c r="R291" i="13"/>
  <c r="R214" i="13"/>
  <c r="R264" i="13"/>
  <c r="R273" i="13"/>
  <c r="R287" i="13"/>
  <c r="R294" i="13"/>
  <c r="R301" i="13"/>
  <c r="R305" i="13"/>
  <c r="R313" i="13"/>
  <c r="R174" i="13"/>
  <c r="R230" i="13"/>
  <c r="R245" i="13"/>
  <c r="R252" i="13"/>
  <c r="R260" i="13"/>
  <c r="R269" i="13"/>
  <c r="R278" i="13"/>
  <c r="R292" i="13"/>
  <c r="R299" i="13"/>
  <c r="R310" i="13"/>
  <c r="R244" i="13"/>
  <c r="R254" i="13"/>
  <c r="R265" i="13"/>
  <c r="R279" i="13"/>
  <c r="R288" i="13"/>
  <c r="R297" i="13"/>
  <c r="R228" i="13"/>
  <c r="R237" i="13"/>
  <c r="R250" i="13"/>
  <c r="R255" i="13"/>
  <c r="R261" i="13"/>
  <c r="R270" i="13"/>
  <c r="R284" i="13"/>
  <c r="R295" i="13"/>
  <c r="R302" i="13"/>
  <c r="R304" i="13"/>
  <c r="R312" i="13"/>
  <c r="R320" i="13"/>
  <c r="R328" i="13"/>
  <c r="R336" i="13"/>
  <c r="R344" i="13"/>
  <c r="R243" i="13"/>
  <c r="R257" i="13"/>
  <c r="R271" i="13"/>
  <c r="R280" i="13"/>
  <c r="R289" i="13"/>
  <c r="R300" i="13"/>
  <c r="R205" i="13"/>
  <c r="R247" i="13"/>
  <c r="R262" i="13"/>
  <c r="R276" i="13"/>
  <c r="R285" i="13"/>
  <c r="R293" i="13"/>
  <c r="R166" i="13"/>
  <c r="R263" i="13"/>
  <c r="R272" i="13"/>
  <c r="R281" i="13"/>
  <c r="R303" i="13"/>
  <c r="R311" i="13"/>
  <c r="R319" i="13"/>
  <c r="R327" i="13"/>
  <c r="R335" i="13"/>
  <c r="R343" i="13"/>
  <c r="R351" i="13"/>
  <c r="R286" i="13"/>
  <c r="R306" i="13"/>
  <c r="R329" i="13"/>
  <c r="R338" i="13"/>
  <c r="R347" i="13"/>
  <c r="R358" i="13"/>
  <c r="R366" i="13"/>
  <c r="R374" i="13"/>
  <c r="R382" i="13"/>
  <c r="R390" i="13"/>
  <c r="R398" i="13"/>
  <c r="R406" i="13"/>
  <c r="R414" i="13"/>
  <c r="R422" i="13"/>
  <c r="R325" i="13"/>
  <c r="R334" i="13"/>
  <c r="R348" i="13"/>
  <c r="R355" i="13"/>
  <c r="R363" i="13"/>
  <c r="R371" i="13"/>
  <c r="R246" i="13"/>
  <c r="R268" i="13"/>
  <c r="R314" i="13"/>
  <c r="R315" i="13"/>
  <c r="R316" i="13"/>
  <c r="R321" i="13"/>
  <c r="R330" i="13"/>
  <c r="R339" i="13"/>
  <c r="R352" i="13"/>
  <c r="R236" i="13"/>
  <c r="R309" i="13"/>
  <c r="R317" i="13"/>
  <c r="R326" i="13"/>
  <c r="R340" i="13"/>
  <c r="R349" i="13"/>
  <c r="R357" i="13"/>
  <c r="R365" i="13"/>
  <c r="R373" i="13"/>
  <c r="R381" i="13"/>
  <c r="R389" i="13"/>
  <c r="R397" i="13"/>
  <c r="R405" i="13"/>
  <c r="R413" i="13"/>
  <c r="R322" i="13"/>
  <c r="R331" i="13"/>
  <c r="R345" i="13"/>
  <c r="R354" i="13"/>
  <c r="R277" i="13"/>
  <c r="R296" i="13"/>
  <c r="R308" i="13"/>
  <c r="R318" i="13"/>
  <c r="R332" i="13"/>
  <c r="R341" i="13"/>
  <c r="R350" i="13"/>
  <c r="R333" i="13"/>
  <c r="R360" i="13"/>
  <c r="R362" i="13"/>
  <c r="R375" i="13"/>
  <c r="R384" i="13"/>
  <c r="R393" i="13"/>
  <c r="R407" i="13"/>
  <c r="R418" i="13"/>
  <c r="R425" i="13"/>
  <c r="R431" i="13"/>
  <c r="R337" i="13"/>
  <c r="R359" i="13"/>
  <c r="R361" i="13"/>
  <c r="R364" i="13"/>
  <c r="R367" i="13"/>
  <c r="R368" i="13"/>
  <c r="R370" i="13"/>
  <c r="R380" i="13"/>
  <c r="R394" i="13"/>
  <c r="R403" i="13"/>
  <c r="R412" i="13"/>
  <c r="R416" i="13"/>
  <c r="R324" i="13"/>
  <c r="R353" i="13"/>
  <c r="R369" i="13"/>
  <c r="R376" i="13"/>
  <c r="R385" i="13"/>
  <c r="R399" i="13"/>
  <c r="R408" i="13"/>
  <c r="R372" i="13"/>
  <c r="R386" i="13"/>
  <c r="R395" i="13"/>
  <c r="R404" i="13"/>
  <c r="R419" i="13"/>
  <c r="R426" i="13"/>
  <c r="R430" i="13"/>
  <c r="R438" i="13"/>
  <c r="R446" i="13"/>
  <c r="R454" i="13"/>
  <c r="R462" i="13"/>
  <c r="R377" i="13"/>
  <c r="R391" i="13"/>
  <c r="R400" i="13"/>
  <c r="R409" i="13"/>
  <c r="R307" i="13"/>
  <c r="R378" i="13"/>
  <c r="R387" i="13"/>
  <c r="R396" i="13"/>
  <c r="R342" i="13"/>
  <c r="R356" i="13"/>
  <c r="R383" i="13"/>
  <c r="R392" i="13"/>
  <c r="R401" i="13"/>
  <c r="R415" i="13"/>
  <c r="R427" i="13"/>
  <c r="R429" i="13"/>
  <c r="R437" i="13"/>
  <c r="R445" i="13"/>
  <c r="R453" i="13"/>
  <c r="R461" i="13"/>
  <c r="R323" i="13"/>
  <c r="R424" i="13"/>
  <c r="R434" i="13"/>
  <c r="R443" i="13"/>
  <c r="R452" i="13"/>
  <c r="R466" i="13"/>
  <c r="R469" i="13"/>
  <c r="R423" i="13"/>
  <c r="R439" i="13"/>
  <c r="R448" i="13"/>
  <c r="R457" i="13"/>
  <c r="R474" i="13"/>
  <c r="R435" i="13"/>
  <c r="R444" i="13"/>
  <c r="R458" i="13"/>
  <c r="R467" i="13"/>
  <c r="R471" i="13"/>
  <c r="R2" i="13"/>
  <c r="R379" i="13"/>
  <c r="R410" i="13"/>
  <c r="R417" i="13"/>
  <c r="R421" i="13"/>
  <c r="R440" i="13"/>
  <c r="R449" i="13"/>
  <c r="R463" i="13"/>
  <c r="R420" i="13"/>
  <c r="R436" i="13"/>
  <c r="R450" i="13"/>
  <c r="R459" i="13"/>
  <c r="R468" i="13"/>
  <c r="R473" i="13"/>
  <c r="R428" i="13"/>
  <c r="R432" i="13"/>
  <c r="R441" i="13"/>
  <c r="R455" i="13"/>
  <c r="R464" i="13"/>
  <c r="R470" i="13"/>
  <c r="X474" i="13"/>
  <c r="R472" i="13"/>
  <c r="AA466" i="13"/>
  <c r="S460" i="13"/>
  <c r="P457" i="13"/>
  <c r="U450" i="13"/>
  <c r="R447" i="13"/>
  <c r="AA443" i="13"/>
  <c r="T437" i="13"/>
  <c r="P434" i="13"/>
  <c r="V430" i="13"/>
  <c r="S426" i="13"/>
  <c r="Z421" i="13"/>
  <c r="V416" i="13"/>
  <c r="R402" i="13"/>
  <c r="AA375" i="13"/>
  <c r="AB319" i="13"/>
  <c r="Y4" i="13"/>
  <c r="Y12" i="13"/>
  <c r="Y20" i="13"/>
  <c r="Y28" i="13"/>
  <c r="Y36" i="13"/>
  <c r="Y9" i="13"/>
  <c r="Y17" i="13"/>
  <c r="Y25" i="13"/>
  <c r="Y33" i="13"/>
  <c r="Y41" i="13"/>
  <c r="Y49" i="13"/>
  <c r="Y6" i="13"/>
  <c r="Y14" i="13"/>
  <c r="Y22" i="13"/>
  <c r="Y30" i="13"/>
  <c r="Y38" i="13"/>
  <c r="Y46" i="13"/>
  <c r="Y3" i="13"/>
  <c r="Y11" i="13"/>
  <c r="Y19" i="13"/>
  <c r="Y27" i="13"/>
  <c r="Y8" i="13"/>
  <c r="Y16" i="13"/>
  <c r="Y24" i="13"/>
  <c r="Y32" i="13"/>
  <c r="Y5" i="13"/>
  <c r="Y13" i="13"/>
  <c r="Y21" i="13"/>
  <c r="Y29" i="13"/>
  <c r="Y37" i="13"/>
  <c r="Y23" i="13"/>
  <c r="Y42" i="13"/>
  <c r="Y60" i="13"/>
  <c r="Y68" i="13"/>
  <c r="Y76" i="13"/>
  <c r="Y26" i="13"/>
  <c r="Y43" i="13"/>
  <c r="Y47" i="13"/>
  <c r="Y57" i="13"/>
  <c r="Y65" i="13"/>
  <c r="Y73" i="13"/>
  <c r="Y31" i="13"/>
  <c r="Y48" i="13"/>
  <c r="Y52" i="13"/>
  <c r="Y54" i="13"/>
  <c r="Y62" i="13"/>
  <c r="Y70" i="13"/>
  <c r="Y78" i="13"/>
  <c r="Y86" i="13"/>
  <c r="Y94" i="13"/>
  <c r="Y102" i="13"/>
  <c r="Y39" i="13"/>
  <c r="Y59" i="13"/>
  <c r="Y67" i="13"/>
  <c r="Y75" i="13"/>
  <c r="Y7" i="13"/>
  <c r="Y35" i="13"/>
  <c r="Y40" i="13"/>
  <c r="Y44" i="13"/>
  <c r="Y56" i="13"/>
  <c r="Y64" i="13"/>
  <c r="Y10" i="13"/>
  <c r="Y45" i="13"/>
  <c r="Y53" i="13"/>
  <c r="Y61" i="13"/>
  <c r="Y15" i="13"/>
  <c r="Y34" i="13"/>
  <c r="Y50" i="13"/>
  <c r="Y58" i="13"/>
  <c r="Y66" i="13"/>
  <c r="Y72" i="13"/>
  <c r="Y91" i="13"/>
  <c r="Y98" i="13"/>
  <c r="Y106" i="13"/>
  <c r="Y114" i="13"/>
  <c r="Y122" i="13"/>
  <c r="Y51" i="13"/>
  <c r="Y84" i="13"/>
  <c r="Y96" i="13"/>
  <c r="Y103" i="13"/>
  <c r="Y111" i="13"/>
  <c r="Y119" i="13"/>
  <c r="Y69" i="13"/>
  <c r="Y77" i="13"/>
  <c r="Y80" i="13"/>
  <c r="Y89" i="13"/>
  <c r="Y101" i="13"/>
  <c r="Y108" i="13"/>
  <c r="Y116" i="13"/>
  <c r="Y124" i="13"/>
  <c r="Y132" i="13"/>
  <c r="Y140" i="13"/>
  <c r="Y148" i="13"/>
  <c r="Y156" i="13"/>
  <c r="Y79" i="13"/>
  <c r="Y81" i="13"/>
  <c r="Y87" i="13"/>
  <c r="Y99" i="13"/>
  <c r="Y105" i="13"/>
  <c r="Y113" i="13"/>
  <c r="Y63" i="13"/>
  <c r="Y71" i="13"/>
  <c r="Y85" i="13"/>
  <c r="Y92" i="13"/>
  <c r="Y83" i="13"/>
  <c r="Y88" i="13"/>
  <c r="Y95" i="13"/>
  <c r="Y18" i="13"/>
  <c r="Y55" i="13"/>
  <c r="Y93" i="13"/>
  <c r="Y100" i="13"/>
  <c r="Y109" i="13"/>
  <c r="Y90" i="13"/>
  <c r="Y104" i="13"/>
  <c r="Y115" i="13"/>
  <c r="Y134" i="13"/>
  <c r="Y141" i="13"/>
  <c r="Y153" i="13"/>
  <c r="Y107" i="13"/>
  <c r="Y127" i="13"/>
  <c r="Y139" i="13"/>
  <c r="Y146" i="13"/>
  <c r="Y97" i="13"/>
  <c r="Y112" i="13"/>
  <c r="Y118" i="13"/>
  <c r="Y121" i="13"/>
  <c r="Y137" i="13"/>
  <c r="Y144" i="13"/>
  <c r="Y117" i="13"/>
  <c r="Y120" i="13"/>
  <c r="Y123" i="13"/>
  <c r="Y130" i="13"/>
  <c r="Y142" i="13"/>
  <c r="Y149" i="13"/>
  <c r="Y128" i="13"/>
  <c r="Y135" i="13"/>
  <c r="Y126" i="13"/>
  <c r="Y131" i="13"/>
  <c r="Y138" i="13"/>
  <c r="Y150" i="13"/>
  <c r="Y157" i="13"/>
  <c r="Y164" i="13"/>
  <c r="Y110" i="13"/>
  <c r="Y129" i="13"/>
  <c r="Y136" i="13"/>
  <c r="Y143" i="13"/>
  <c r="Y155" i="13"/>
  <c r="Y161" i="13"/>
  <c r="Y159" i="13"/>
  <c r="Y162" i="13"/>
  <c r="Y173" i="13"/>
  <c r="Y181" i="13"/>
  <c r="Y189" i="13"/>
  <c r="Y197" i="13"/>
  <c r="Y205" i="13"/>
  <c r="Y213" i="13"/>
  <c r="Y221" i="13"/>
  <c r="Y229" i="13"/>
  <c r="Y237" i="13"/>
  <c r="Y245" i="13"/>
  <c r="Y253" i="13"/>
  <c r="Y170" i="13"/>
  <c r="Y178" i="13"/>
  <c r="Y186" i="13"/>
  <c r="Y194" i="13"/>
  <c r="Y74" i="13"/>
  <c r="Y133" i="13"/>
  <c r="Y165" i="13"/>
  <c r="Y175" i="13"/>
  <c r="Y183" i="13"/>
  <c r="Y191" i="13"/>
  <c r="Y82" i="13"/>
  <c r="Y147" i="13"/>
  <c r="Y166" i="13"/>
  <c r="Y172" i="13"/>
  <c r="Y180" i="13"/>
  <c r="Y188" i="13"/>
  <c r="Y196" i="13"/>
  <c r="Y204" i="13"/>
  <c r="Y212" i="13"/>
  <c r="Y220" i="13"/>
  <c r="Y228" i="13"/>
  <c r="Y236" i="13"/>
  <c r="Y244" i="13"/>
  <c r="Y152" i="13"/>
  <c r="Y169" i="13"/>
  <c r="Y177" i="13"/>
  <c r="Y185" i="13"/>
  <c r="Y151" i="13"/>
  <c r="Y174" i="13"/>
  <c r="Y182" i="13"/>
  <c r="Y190" i="13"/>
  <c r="Y158" i="13"/>
  <c r="Y176" i="13"/>
  <c r="Y193" i="13"/>
  <c r="Y207" i="13"/>
  <c r="Y216" i="13"/>
  <c r="Y230" i="13"/>
  <c r="Y239" i="13"/>
  <c r="Y247" i="13"/>
  <c r="Y179" i="13"/>
  <c r="Y203" i="13"/>
  <c r="Y217" i="13"/>
  <c r="Y226" i="13"/>
  <c r="Y235" i="13"/>
  <c r="Y252" i="13"/>
  <c r="Y263" i="13"/>
  <c r="Y271" i="13"/>
  <c r="Y279" i="13"/>
  <c r="Y287" i="13"/>
  <c r="Y295" i="13"/>
  <c r="Y154" i="13"/>
  <c r="Y163" i="13"/>
  <c r="Y184" i="13"/>
  <c r="Y198" i="13"/>
  <c r="Y199" i="13"/>
  <c r="Y208" i="13"/>
  <c r="Y222" i="13"/>
  <c r="Y231" i="13"/>
  <c r="Y167" i="13"/>
  <c r="Y187" i="13"/>
  <c r="Y209" i="13"/>
  <c r="Y218" i="13"/>
  <c r="Y160" i="13"/>
  <c r="Y192" i="13"/>
  <c r="Y200" i="13"/>
  <c r="Y214" i="13"/>
  <c r="Y223" i="13"/>
  <c r="Y232" i="13"/>
  <c r="Y201" i="13"/>
  <c r="Y210" i="13"/>
  <c r="Y219" i="13"/>
  <c r="Y125" i="13"/>
  <c r="Y168" i="13"/>
  <c r="Y195" i="13"/>
  <c r="Y206" i="13"/>
  <c r="Y215" i="13"/>
  <c r="Y224" i="13"/>
  <c r="Y238" i="13"/>
  <c r="Y251" i="13"/>
  <c r="Y264" i="13"/>
  <c r="Y272" i="13"/>
  <c r="Y280" i="13"/>
  <c r="Y288" i="13"/>
  <c r="Y171" i="13"/>
  <c r="Y243" i="13"/>
  <c r="Y249" i="13"/>
  <c r="Y256" i="13"/>
  <c r="Y261" i="13"/>
  <c r="Y270" i="13"/>
  <c r="Y284" i="13"/>
  <c r="Y297" i="13"/>
  <c r="Y310" i="13"/>
  <c r="Y248" i="13"/>
  <c r="Y257" i="13"/>
  <c r="Y266" i="13"/>
  <c r="Y275" i="13"/>
  <c r="Y289" i="13"/>
  <c r="Y302" i="13"/>
  <c r="Y307" i="13"/>
  <c r="Y145" i="13"/>
  <c r="Y202" i="13"/>
  <c r="Y227" i="13"/>
  <c r="Y234" i="13"/>
  <c r="Y242" i="13"/>
  <c r="Y262" i="13"/>
  <c r="Y276" i="13"/>
  <c r="Y285" i="13"/>
  <c r="Y300" i="13"/>
  <c r="Y304" i="13"/>
  <c r="Y241" i="13"/>
  <c r="Y246" i="13"/>
  <c r="Y258" i="13"/>
  <c r="Y267" i="13"/>
  <c r="Y281" i="13"/>
  <c r="Y290" i="13"/>
  <c r="Y293" i="13"/>
  <c r="Y309" i="13"/>
  <c r="Y317" i="13"/>
  <c r="Y325" i="13"/>
  <c r="Y333" i="13"/>
  <c r="Y341" i="13"/>
  <c r="Y349" i="13"/>
  <c r="Y268" i="13"/>
  <c r="Y277" i="13"/>
  <c r="Y286" i="13"/>
  <c r="Y298" i="13"/>
  <c r="Y211" i="13"/>
  <c r="Y240" i="13"/>
  <c r="Y259" i="13"/>
  <c r="Y273" i="13"/>
  <c r="Y282" i="13"/>
  <c r="Y291" i="13"/>
  <c r="Y296" i="13"/>
  <c r="Y225" i="13"/>
  <c r="Y233" i="13"/>
  <c r="Y250" i="13"/>
  <c r="Y260" i="13"/>
  <c r="Y269" i="13"/>
  <c r="Y278" i="13"/>
  <c r="Y294" i="13"/>
  <c r="Y301" i="13"/>
  <c r="Y308" i="13"/>
  <c r="Y316" i="13"/>
  <c r="Y324" i="13"/>
  <c r="Y332" i="13"/>
  <c r="Y340" i="13"/>
  <c r="Y348" i="13"/>
  <c r="Y292" i="13"/>
  <c r="Y326" i="13"/>
  <c r="Y335" i="13"/>
  <c r="Y344" i="13"/>
  <c r="Y355" i="13"/>
  <c r="Y363" i="13"/>
  <c r="Y371" i="13"/>
  <c r="Y379" i="13"/>
  <c r="Y387" i="13"/>
  <c r="Y395" i="13"/>
  <c r="Y403" i="13"/>
  <c r="Y411" i="13"/>
  <c r="Y419" i="13"/>
  <c r="Y427" i="13"/>
  <c r="Y322" i="13"/>
  <c r="Y331" i="13"/>
  <c r="Y345" i="13"/>
  <c r="Y352" i="13"/>
  <c r="Y360" i="13"/>
  <c r="Y368" i="13"/>
  <c r="Y254" i="13"/>
  <c r="Y274" i="13"/>
  <c r="Y318" i="13"/>
  <c r="Y327" i="13"/>
  <c r="Y336" i="13"/>
  <c r="Y350" i="13"/>
  <c r="Y357" i="13"/>
  <c r="Y255" i="13"/>
  <c r="Y306" i="13"/>
  <c r="Y323" i="13"/>
  <c r="Y337" i="13"/>
  <c r="Y346" i="13"/>
  <c r="Y354" i="13"/>
  <c r="Y362" i="13"/>
  <c r="Y370" i="13"/>
  <c r="Y378" i="13"/>
  <c r="Y386" i="13"/>
  <c r="Y394" i="13"/>
  <c r="Y402" i="13"/>
  <c r="Y410" i="13"/>
  <c r="Y303" i="13"/>
  <c r="Y319" i="13"/>
  <c r="Y328" i="13"/>
  <c r="Y342" i="13"/>
  <c r="Y283" i="13"/>
  <c r="Y329" i="13"/>
  <c r="Y338" i="13"/>
  <c r="Y347" i="13"/>
  <c r="Y351" i="13"/>
  <c r="Y339" i="13"/>
  <c r="Y372" i="13"/>
  <c r="Y381" i="13"/>
  <c r="Y390" i="13"/>
  <c r="Y404" i="13"/>
  <c r="Y413" i="13"/>
  <c r="Y421" i="13"/>
  <c r="Y428" i="13"/>
  <c r="Y313" i="13"/>
  <c r="Y320" i="13"/>
  <c r="Y343" i="13"/>
  <c r="Y356" i="13"/>
  <c r="Y377" i="13"/>
  <c r="Y391" i="13"/>
  <c r="Y400" i="13"/>
  <c r="Y409" i="13"/>
  <c r="Y265" i="13"/>
  <c r="Y330" i="13"/>
  <c r="Y373" i="13"/>
  <c r="Y382" i="13"/>
  <c r="Y396" i="13"/>
  <c r="Y405" i="13"/>
  <c r="Y414" i="13"/>
  <c r="Y305" i="13"/>
  <c r="Y314" i="13"/>
  <c r="Y334" i="13"/>
  <c r="Y353" i="13"/>
  <c r="Y383" i="13"/>
  <c r="Y392" i="13"/>
  <c r="Y401" i="13"/>
  <c r="Y417" i="13"/>
  <c r="Y435" i="13"/>
  <c r="Y443" i="13"/>
  <c r="Y451" i="13"/>
  <c r="Y459" i="13"/>
  <c r="Y467" i="13"/>
  <c r="Y321" i="13"/>
  <c r="Y359" i="13"/>
  <c r="Y374" i="13"/>
  <c r="Y388" i="13"/>
  <c r="Y397" i="13"/>
  <c r="Y406" i="13"/>
  <c r="Y299" i="13"/>
  <c r="Y311" i="13"/>
  <c r="Y315" i="13"/>
  <c r="Y361" i="13"/>
  <c r="Y364" i="13"/>
  <c r="Y365" i="13"/>
  <c r="Y367" i="13"/>
  <c r="Y375" i="13"/>
  <c r="Y384" i="13"/>
  <c r="Y393" i="13"/>
  <c r="Y407" i="13"/>
  <c r="Y366" i="13"/>
  <c r="Y369" i="13"/>
  <c r="Y380" i="13"/>
  <c r="Y389" i="13"/>
  <c r="Y398" i="13"/>
  <c r="Y412" i="13"/>
  <c r="Y418" i="13"/>
  <c r="Y425" i="13"/>
  <c r="Y434" i="13"/>
  <c r="Y442" i="13"/>
  <c r="Y450" i="13"/>
  <c r="Y458" i="13"/>
  <c r="Y466" i="13"/>
  <c r="Y376" i="13"/>
  <c r="Y408" i="13"/>
  <c r="Y416" i="13"/>
  <c r="Y420" i="13"/>
  <c r="Y440" i="13"/>
  <c r="Y449" i="13"/>
  <c r="Y463" i="13"/>
  <c r="Y474" i="13"/>
  <c r="Y429" i="13"/>
  <c r="Y430" i="13"/>
  <c r="Y431" i="13"/>
  <c r="Y436" i="13"/>
  <c r="Y445" i="13"/>
  <c r="Y454" i="13"/>
  <c r="Y471" i="13"/>
  <c r="Y2" i="13"/>
  <c r="Y426" i="13"/>
  <c r="Y432" i="13"/>
  <c r="Y441" i="13"/>
  <c r="Y455" i="13"/>
  <c r="Y464" i="13"/>
  <c r="Y468" i="13"/>
  <c r="Y385" i="13"/>
  <c r="Y415" i="13"/>
  <c r="Y437" i="13"/>
  <c r="Y446" i="13"/>
  <c r="Y460" i="13"/>
  <c r="Y473" i="13"/>
  <c r="Y399" i="13"/>
  <c r="Y424" i="13"/>
  <c r="Y433" i="13"/>
  <c r="Y447" i="13"/>
  <c r="Y456" i="13"/>
  <c r="Y465" i="13"/>
  <c r="Y470" i="13"/>
  <c r="Y312" i="13"/>
  <c r="Y358" i="13"/>
  <c r="Y423" i="13"/>
  <c r="Y438" i="13"/>
  <c r="Y452" i="13"/>
  <c r="Y461" i="13"/>
  <c r="Y475" i="13"/>
  <c r="Q4" i="13"/>
  <c r="Q12" i="13"/>
  <c r="Q20" i="13"/>
  <c r="Q28" i="13"/>
  <c r="Q36" i="13"/>
  <c r="Q9" i="13"/>
  <c r="Q17" i="13"/>
  <c r="Q25" i="13"/>
  <c r="Q33" i="13"/>
  <c r="Q41" i="13"/>
  <c r="Q49" i="13"/>
  <c r="Q6" i="13"/>
  <c r="Q14" i="13"/>
  <c r="Q22" i="13"/>
  <c r="Q30" i="13"/>
  <c r="Q38" i="13"/>
  <c r="Q46" i="13"/>
  <c r="Q3" i="13"/>
  <c r="Q11" i="13"/>
  <c r="Q19" i="13"/>
  <c r="Q27" i="13"/>
  <c r="Q8" i="13"/>
  <c r="Q16" i="13"/>
  <c r="Q24" i="13"/>
  <c r="Q32" i="13"/>
  <c r="Q5" i="13"/>
  <c r="Q13" i="13"/>
  <c r="Q21" i="13"/>
  <c r="Q29" i="13"/>
  <c r="Q37" i="13"/>
  <c r="Q31" i="13"/>
  <c r="Q35" i="13"/>
  <c r="Q50" i="13"/>
  <c r="Q60" i="13"/>
  <c r="Q68" i="13"/>
  <c r="Q76" i="13"/>
  <c r="Q84" i="13"/>
  <c r="Q51" i="13"/>
  <c r="Q57" i="13"/>
  <c r="Q65" i="13"/>
  <c r="Q73" i="13"/>
  <c r="Q81" i="13"/>
  <c r="Q7" i="13"/>
  <c r="Q42" i="13"/>
  <c r="Q54" i="13"/>
  <c r="Q62" i="13"/>
  <c r="Q70" i="13"/>
  <c r="Q78" i="13"/>
  <c r="Q86" i="13"/>
  <c r="Q94" i="13"/>
  <c r="Q102" i="13"/>
  <c r="Q10" i="13"/>
  <c r="Q34" i="13"/>
  <c r="Q43" i="13"/>
  <c r="Q47" i="13"/>
  <c r="Q59" i="13"/>
  <c r="Q67" i="13"/>
  <c r="Q75" i="13"/>
  <c r="Q15" i="13"/>
  <c r="Q48" i="13"/>
  <c r="Q52" i="13"/>
  <c r="Q56" i="13"/>
  <c r="Q64" i="13"/>
  <c r="Q18" i="13"/>
  <c r="Q39" i="13"/>
  <c r="Q53" i="13"/>
  <c r="Q61" i="13"/>
  <c r="Q23" i="13"/>
  <c r="Q40" i="13"/>
  <c r="Q44" i="13"/>
  <c r="Q58" i="13"/>
  <c r="Q66" i="13"/>
  <c r="Q83" i="13"/>
  <c r="Q93" i="13"/>
  <c r="Q100" i="13"/>
  <c r="Q106" i="13"/>
  <c r="Q114" i="13"/>
  <c r="Q122" i="13"/>
  <c r="Q45" i="13"/>
  <c r="Q71" i="13"/>
  <c r="Q74" i="13"/>
  <c r="Q91" i="13"/>
  <c r="Q98" i="13"/>
  <c r="Q111" i="13"/>
  <c r="Q119" i="13"/>
  <c r="Q26" i="13"/>
  <c r="Q96" i="13"/>
  <c r="Q103" i="13"/>
  <c r="Q108" i="13"/>
  <c r="Q116" i="13"/>
  <c r="Q124" i="13"/>
  <c r="Q132" i="13"/>
  <c r="Q140" i="13"/>
  <c r="Q148" i="13"/>
  <c r="Q156" i="13"/>
  <c r="Q63" i="13"/>
  <c r="Q89" i="13"/>
  <c r="Q101" i="13"/>
  <c r="Q105" i="13"/>
  <c r="Q113" i="13"/>
  <c r="Q87" i="13"/>
  <c r="Q99" i="13"/>
  <c r="Q55" i="13"/>
  <c r="Q79" i="13"/>
  <c r="Q90" i="13"/>
  <c r="Q97" i="13"/>
  <c r="Q69" i="13"/>
  <c r="Q82" i="13"/>
  <c r="Q88" i="13"/>
  <c r="Q95" i="13"/>
  <c r="Q109" i="13"/>
  <c r="Q117" i="13"/>
  <c r="Q85" i="13"/>
  <c r="Q126" i="13"/>
  <c r="Q129" i="13"/>
  <c r="Q136" i="13"/>
  <c r="Q143" i="13"/>
  <c r="Q155" i="13"/>
  <c r="Q134" i="13"/>
  <c r="Q141" i="13"/>
  <c r="Q153" i="13"/>
  <c r="Q80" i="13"/>
  <c r="Q92" i="13"/>
  <c r="Q127" i="13"/>
  <c r="Q139" i="13"/>
  <c r="Q146" i="13"/>
  <c r="Q72" i="13"/>
  <c r="Q137" i="13"/>
  <c r="Q144" i="13"/>
  <c r="Q110" i="13"/>
  <c r="Q130" i="13"/>
  <c r="Q104" i="13"/>
  <c r="Q120" i="13"/>
  <c r="Q123" i="13"/>
  <c r="Q133" i="13"/>
  <c r="Q145" i="13"/>
  <c r="Q152" i="13"/>
  <c r="Q159" i="13"/>
  <c r="Q164" i="13"/>
  <c r="Q77" i="13"/>
  <c r="Q107" i="13"/>
  <c r="Q112" i="13"/>
  <c r="Q125" i="13"/>
  <c r="Q131" i="13"/>
  <c r="Q138" i="13"/>
  <c r="Q150" i="13"/>
  <c r="Q157" i="13"/>
  <c r="Q161" i="13"/>
  <c r="Q167" i="13"/>
  <c r="Q173" i="13"/>
  <c r="Q181" i="13"/>
  <c r="Q189" i="13"/>
  <c r="Q197" i="13"/>
  <c r="Q205" i="13"/>
  <c r="Q213" i="13"/>
  <c r="Q221" i="13"/>
  <c r="Q229" i="13"/>
  <c r="Q237" i="13"/>
  <c r="Q245" i="13"/>
  <c r="Q253" i="13"/>
  <c r="Q149" i="13"/>
  <c r="Q168" i="13"/>
  <c r="Q170" i="13"/>
  <c r="Q178" i="13"/>
  <c r="Q186" i="13"/>
  <c r="Q194" i="13"/>
  <c r="Q121" i="13"/>
  <c r="Q128" i="13"/>
  <c r="Q147" i="13"/>
  <c r="Q151" i="13"/>
  <c r="Q160" i="13"/>
  <c r="Q163" i="13"/>
  <c r="Q175" i="13"/>
  <c r="Q183" i="13"/>
  <c r="Q191" i="13"/>
  <c r="Q142" i="13"/>
  <c r="Q158" i="13"/>
  <c r="Q162" i="13"/>
  <c r="Q172" i="13"/>
  <c r="Q180" i="13"/>
  <c r="Q188" i="13"/>
  <c r="Q196" i="13"/>
  <c r="Q204" i="13"/>
  <c r="Q212" i="13"/>
  <c r="Q220" i="13"/>
  <c r="Q228" i="13"/>
  <c r="Q236" i="13"/>
  <c r="Q244" i="13"/>
  <c r="Q135" i="13"/>
  <c r="Q154" i="13"/>
  <c r="Q165" i="13"/>
  <c r="Q169" i="13"/>
  <c r="Q177" i="13"/>
  <c r="Q185" i="13"/>
  <c r="Q115" i="13"/>
  <c r="Q166" i="13"/>
  <c r="Q174" i="13"/>
  <c r="Q182" i="13"/>
  <c r="Q190" i="13"/>
  <c r="Q184" i="13"/>
  <c r="Q206" i="13"/>
  <c r="Q215" i="13"/>
  <c r="Q224" i="13"/>
  <c r="Q238" i="13"/>
  <c r="Q249" i="13"/>
  <c r="Q187" i="13"/>
  <c r="Q202" i="13"/>
  <c r="Q211" i="13"/>
  <c r="Q225" i="13"/>
  <c r="Q234" i="13"/>
  <c r="Q243" i="13"/>
  <c r="Q247" i="13"/>
  <c r="Q254" i="13"/>
  <c r="Q263" i="13"/>
  <c r="Q271" i="13"/>
  <c r="Q279" i="13"/>
  <c r="Q287" i="13"/>
  <c r="Q295" i="13"/>
  <c r="Q303" i="13"/>
  <c r="Q192" i="13"/>
  <c r="Q195" i="13"/>
  <c r="Q207" i="13"/>
  <c r="Q216" i="13"/>
  <c r="Q230" i="13"/>
  <c r="Q203" i="13"/>
  <c r="Q217" i="13"/>
  <c r="Q226" i="13"/>
  <c r="Q118" i="13"/>
  <c r="Q208" i="13"/>
  <c r="Q222" i="13"/>
  <c r="Q231" i="13"/>
  <c r="Q171" i="13"/>
  <c r="Q193" i="13"/>
  <c r="Q198" i="13"/>
  <c r="Q199" i="13"/>
  <c r="Q209" i="13"/>
  <c r="Q218" i="13"/>
  <c r="Q227" i="13"/>
  <c r="Q176" i="13"/>
  <c r="Q200" i="13"/>
  <c r="Q214" i="13"/>
  <c r="Q223" i="13"/>
  <c r="Q232" i="13"/>
  <c r="Q246" i="13"/>
  <c r="Q264" i="13"/>
  <c r="Q272" i="13"/>
  <c r="Q280" i="13"/>
  <c r="Q288" i="13"/>
  <c r="Q201" i="13"/>
  <c r="Q241" i="13"/>
  <c r="Q252" i="13"/>
  <c r="Q260" i="13"/>
  <c r="Q269" i="13"/>
  <c r="Q278" i="13"/>
  <c r="Q292" i="13"/>
  <c r="Q299" i="13"/>
  <c r="Q310" i="13"/>
  <c r="Q265" i="13"/>
  <c r="Q274" i="13"/>
  <c r="Q283" i="13"/>
  <c r="Q297" i="13"/>
  <c r="Q307" i="13"/>
  <c r="Q240" i="13"/>
  <c r="Q250" i="13"/>
  <c r="Q251" i="13"/>
  <c r="Q255" i="13"/>
  <c r="Q261" i="13"/>
  <c r="Q270" i="13"/>
  <c r="Q284" i="13"/>
  <c r="Q302" i="13"/>
  <c r="Q304" i="13"/>
  <c r="Q179" i="13"/>
  <c r="Q210" i="13"/>
  <c r="Q235" i="13"/>
  <c r="Q239" i="13"/>
  <c r="Q256" i="13"/>
  <c r="Q257" i="13"/>
  <c r="Q266" i="13"/>
  <c r="Q275" i="13"/>
  <c r="Q289" i="13"/>
  <c r="Q300" i="13"/>
  <c r="Q309" i="13"/>
  <c r="Q317" i="13"/>
  <c r="Q325" i="13"/>
  <c r="Q333" i="13"/>
  <c r="Q341" i="13"/>
  <c r="Q349" i="13"/>
  <c r="Q233" i="13"/>
  <c r="Q262" i="13"/>
  <c r="Q276" i="13"/>
  <c r="Q285" i="13"/>
  <c r="Q293" i="13"/>
  <c r="Q248" i="13"/>
  <c r="Q258" i="13"/>
  <c r="Q267" i="13"/>
  <c r="Q281" i="13"/>
  <c r="Q290" i="13"/>
  <c r="Q219" i="13"/>
  <c r="Q242" i="13"/>
  <c r="Q268" i="13"/>
  <c r="Q277" i="13"/>
  <c r="Q286" i="13"/>
  <c r="Q296" i="13"/>
  <c r="Q308" i="13"/>
  <c r="Q316" i="13"/>
  <c r="Q324" i="13"/>
  <c r="Q332" i="13"/>
  <c r="Q340" i="13"/>
  <c r="Q348" i="13"/>
  <c r="Q273" i="13"/>
  <c r="Q320" i="13"/>
  <c r="Q334" i="13"/>
  <c r="Q343" i="13"/>
  <c r="Q355" i="13"/>
  <c r="Q363" i="13"/>
  <c r="Q371" i="13"/>
  <c r="Q379" i="13"/>
  <c r="Q387" i="13"/>
  <c r="Q395" i="13"/>
  <c r="Q403" i="13"/>
  <c r="Q411" i="13"/>
  <c r="Q419" i="13"/>
  <c r="Q427" i="13"/>
  <c r="Q298" i="13"/>
  <c r="Q311" i="13"/>
  <c r="Q312" i="13"/>
  <c r="Q313" i="13"/>
  <c r="Q314" i="13"/>
  <c r="Q315" i="13"/>
  <c r="Q321" i="13"/>
  <c r="Q330" i="13"/>
  <c r="Q339" i="13"/>
  <c r="Q352" i="13"/>
  <c r="Q360" i="13"/>
  <c r="Q368" i="13"/>
  <c r="Q294" i="13"/>
  <c r="Q301" i="13"/>
  <c r="Q326" i="13"/>
  <c r="Q335" i="13"/>
  <c r="Q344" i="13"/>
  <c r="Q357" i="13"/>
  <c r="Q282" i="13"/>
  <c r="Q305" i="13"/>
  <c r="Q322" i="13"/>
  <c r="Q331" i="13"/>
  <c r="Q345" i="13"/>
  <c r="Q354" i="13"/>
  <c r="Q362" i="13"/>
  <c r="Q370" i="13"/>
  <c r="Q378" i="13"/>
  <c r="Q386" i="13"/>
  <c r="Q394" i="13"/>
  <c r="Q402" i="13"/>
  <c r="Q410" i="13"/>
  <c r="Q318" i="13"/>
  <c r="Q327" i="13"/>
  <c r="Q336" i="13"/>
  <c r="Q350" i="13"/>
  <c r="Q323" i="13"/>
  <c r="Q337" i="13"/>
  <c r="Q346" i="13"/>
  <c r="Q259" i="13"/>
  <c r="Q359" i="13"/>
  <c r="Q361" i="13"/>
  <c r="Q364" i="13"/>
  <c r="Q365" i="13"/>
  <c r="Q367" i="13"/>
  <c r="Q380" i="13"/>
  <c r="Q389" i="13"/>
  <c r="Q398" i="13"/>
  <c r="Q412" i="13"/>
  <c r="Q416" i="13"/>
  <c r="Q423" i="13"/>
  <c r="Q291" i="13"/>
  <c r="Q353" i="13"/>
  <c r="Q366" i="13"/>
  <c r="Q369" i="13"/>
  <c r="Q376" i="13"/>
  <c r="Q385" i="13"/>
  <c r="Q399" i="13"/>
  <c r="Q408" i="13"/>
  <c r="Q347" i="13"/>
  <c r="Q372" i="13"/>
  <c r="Q381" i="13"/>
  <c r="Q390" i="13"/>
  <c r="Q404" i="13"/>
  <c r="Q413" i="13"/>
  <c r="Q328" i="13"/>
  <c r="Q351" i="13"/>
  <c r="Q358" i="13"/>
  <c r="Q377" i="13"/>
  <c r="Q391" i="13"/>
  <c r="Q400" i="13"/>
  <c r="Q409" i="13"/>
  <c r="Q424" i="13"/>
  <c r="Q435" i="13"/>
  <c r="Q443" i="13"/>
  <c r="Q451" i="13"/>
  <c r="Q459" i="13"/>
  <c r="Q467" i="13"/>
  <c r="Q306" i="13"/>
  <c r="Q338" i="13"/>
  <c r="Q373" i="13"/>
  <c r="Q382" i="13"/>
  <c r="Q396" i="13"/>
  <c r="Q405" i="13"/>
  <c r="Q319" i="13"/>
  <c r="Q342" i="13"/>
  <c r="Q356" i="13"/>
  <c r="Q383" i="13"/>
  <c r="Q392" i="13"/>
  <c r="Q401" i="13"/>
  <c r="Q329" i="13"/>
  <c r="Q374" i="13"/>
  <c r="Q388" i="13"/>
  <c r="Q397" i="13"/>
  <c r="Q406" i="13"/>
  <c r="Q420" i="13"/>
  <c r="Q434" i="13"/>
  <c r="Q442" i="13"/>
  <c r="Q450" i="13"/>
  <c r="Q458" i="13"/>
  <c r="Q466" i="13"/>
  <c r="Q418" i="13"/>
  <c r="Q439" i="13"/>
  <c r="Q448" i="13"/>
  <c r="Q457" i="13"/>
  <c r="Q474" i="13"/>
  <c r="Q384" i="13"/>
  <c r="Q415" i="13"/>
  <c r="Q444" i="13"/>
  <c r="Q453" i="13"/>
  <c r="Q462" i="13"/>
  <c r="Q471" i="13"/>
  <c r="Q2" i="13"/>
  <c r="Q417" i="13"/>
  <c r="Q421" i="13"/>
  <c r="Q422" i="13"/>
  <c r="Q440" i="13"/>
  <c r="Q449" i="13"/>
  <c r="Q463" i="13"/>
  <c r="Q436" i="13"/>
  <c r="Q445" i="13"/>
  <c r="Q454" i="13"/>
  <c r="Q468" i="13"/>
  <c r="Q473" i="13"/>
  <c r="Q393" i="13"/>
  <c r="Q428" i="13"/>
  <c r="Q429" i="13"/>
  <c r="Q430" i="13"/>
  <c r="Q431" i="13"/>
  <c r="Q432" i="13"/>
  <c r="Q441" i="13"/>
  <c r="Q455" i="13"/>
  <c r="Q464" i="13"/>
  <c r="Q470" i="13"/>
  <c r="Q407" i="13"/>
  <c r="Q414" i="13"/>
  <c r="Q437" i="13"/>
  <c r="Q446" i="13"/>
  <c r="Q460" i="13"/>
  <c r="Q475" i="13"/>
  <c r="Q472" i="13"/>
  <c r="X469" i="13"/>
  <c r="Z466" i="13"/>
  <c r="V463" i="13"/>
  <c r="R460" i="13"/>
  <c r="AB456" i="13"/>
  <c r="X453" i="13"/>
  <c r="T450" i="13"/>
  <c r="Q447" i="13"/>
  <c r="Z443" i="13"/>
  <c r="V440" i="13"/>
  <c r="S437" i="13"/>
  <c r="AB433" i="13"/>
  <c r="T430" i="13"/>
  <c r="Q426" i="13"/>
  <c r="X421" i="13"/>
  <c r="T401" i="13"/>
  <c r="Q375" i="13"/>
  <c r="X9" i="13"/>
  <c r="X17" i="13"/>
  <c r="X25" i="13"/>
  <c r="X33" i="13"/>
  <c r="X6" i="13"/>
  <c r="X14" i="13"/>
  <c r="X22" i="13"/>
  <c r="X30" i="13"/>
  <c r="X38" i="13"/>
  <c r="X46" i="13"/>
  <c r="X3" i="13"/>
  <c r="X11" i="13"/>
  <c r="X19" i="13"/>
  <c r="X27" i="13"/>
  <c r="X35" i="13"/>
  <c r="X43" i="13"/>
  <c r="X51" i="13"/>
  <c r="X8" i="13"/>
  <c r="X16" i="13"/>
  <c r="X24" i="13"/>
  <c r="X32" i="13"/>
  <c r="X5" i="13"/>
  <c r="X13" i="13"/>
  <c r="X21" i="13"/>
  <c r="X29" i="13"/>
  <c r="X10" i="13"/>
  <c r="X18" i="13"/>
  <c r="X26" i="13"/>
  <c r="X34" i="13"/>
  <c r="X28" i="13"/>
  <c r="X47" i="13"/>
  <c r="X57" i="13"/>
  <c r="X65" i="13"/>
  <c r="X73" i="13"/>
  <c r="X81" i="13"/>
  <c r="X31" i="13"/>
  <c r="X37" i="13"/>
  <c r="X48" i="13"/>
  <c r="X52" i="13"/>
  <c r="X54" i="13"/>
  <c r="X62" i="13"/>
  <c r="X70" i="13"/>
  <c r="X78" i="13"/>
  <c r="X4" i="13"/>
  <c r="X39" i="13"/>
  <c r="X59" i="13"/>
  <c r="X67" i="13"/>
  <c r="X75" i="13"/>
  <c r="X83" i="13"/>
  <c r="X91" i="13"/>
  <c r="X99" i="13"/>
  <c r="X7" i="13"/>
  <c r="X36" i="13"/>
  <c r="X40" i="13"/>
  <c r="X44" i="13"/>
  <c r="X56" i="13"/>
  <c r="X64" i="13"/>
  <c r="X72" i="13"/>
  <c r="X12" i="13"/>
  <c r="X45" i="13"/>
  <c r="X49" i="13"/>
  <c r="X53" i="13"/>
  <c r="X61" i="13"/>
  <c r="X15" i="13"/>
  <c r="X50" i="13"/>
  <c r="X58" i="13"/>
  <c r="X66" i="13"/>
  <c r="X20" i="13"/>
  <c r="X41" i="13"/>
  <c r="X55" i="13"/>
  <c r="X63" i="13"/>
  <c r="X71" i="13"/>
  <c r="X84" i="13"/>
  <c r="X96" i="13"/>
  <c r="X103" i="13"/>
  <c r="X111" i="13"/>
  <c r="X119" i="13"/>
  <c r="X23" i="13"/>
  <c r="X69" i="13"/>
  <c r="X77" i="13"/>
  <c r="X80" i="13"/>
  <c r="X89" i="13"/>
  <c r="X101" i="13"/>
  <c r="X108" i="13"/>
  <c r="X116" i="13"/>
  <c r="X124" i="13"/>
  <c r="X76" i="13"/>
  <c r="X79" i="13"/>
  <c r="X87" i="13"/>
  <c r="X94" i="13"/>
  <c r="X105" i="13"/>
  <c r="X113" i="13"/>
  <c r="X121" i="13"/>
  <c r="X129" i="13"/>
  <c r="X137" i="13"/>
  <c r="X145" i="13"/>
  <c r="X153" i="13"/>
  <c r="X85" i="13"/>
  <c r="X92" i="13"/>
  <c r="X110" i="13"/>
  <c r="X74" i="13"/>
  <c r="X82" i="13"/>
  <c r="X90" i="13"/>
  <c r="X97" i="13"/>
  <c r="X107" i="13"/>
  <c r="X42" i="13"/>
  <c r="X93" i="13"/>
  <c r="X100" i="13"/>
  <c r="X60" i="13"/>
  <c r="X86" i="13"/>
  <c r="X98" i="13"/>
  <c r="X106" i="13"/>
  <c r="X114" i="13"/>
  <c r="X127" i="13"/>
  <c r="X139" i="13"/>
  <c r="X146" i="13"/>
  <c r="X158" i="13"/>
  <c r="X163" i="13"/>
  <c r="X68" i="13"/>
  <c r="X102" i="13"/>
  <c r="X112" i="13"/>
  <c r="X118" i="13"/>
  <c r="X132" i="13"/>
  <c r="X144" i="13"/>
  <c r="X151" i="13"/>
  <c r="X117" i="13"/>
  <c r="X120" i="13"/>
  <c r="X123" i="13"/>
  <c r="X130" i="13"/>
  <c r="X142" i="13"/>
  <c r="X109" i="13"/>
  <c r="X122" i="13"/>
  <c r="X128" i="13"/>
  <c r="X135" i="13"/>
  <c r="X147" i="13"/>
  <c r="X125" i="13"/>
  <c r="X133" i="13"/>
  <c r="X136" i="13"/>
  <c r="X143" i="13"/>
  <c r="X155" i="13"/>
  <c r="X161" i="13"/>
  <c r="X95" i="13"/>
  <c r="X104" i="13"/>
  <c r="X115" i="13"/>
  <c r="X134" i="13"/>
  <c r="X141" i="13"/>
  <c r="X148" i="13"/>
  <c r="X166" i="13"/>
  <c r="X126" i="13"/>
  <c r="X150" i="13"/>
  <c r="X164" i="13"/>
  <c r="X170" i="13"/>
  <c r="X178" i="13"/>
  <c r="X186" i="13"/>
  <c r="X194" i="13"/>
  <c r="X202" i="13"/>
  <c r="X210" i="13"/>
  <c r="X218" i="13"/>
  <c r="X226" i="13"/>
  <c r="X234" i="13"/>
  <c r="X242" i="13"/>
  <c r="X250" i="13"/>
  <c r="X156" i="13"/>
  <c r="X157" i="13"/>
  <c r="X165" i="13"/>
  <c r="X175" i="13"/>
  <c r="X183" i="13"/>
  <c r="X191" i="13"/>
  <c r="X199" i="13"/>
  <c r="X138" i="13"/>
  <c r="X172" i="13"/>
  <c r="X180" i="13"/>
  <c r="X188" i="13"/>
  <c r="X196" i="13"/>
  <c r="X149" i="13"/>
  <c r="X152" i="13"/>
  <c r="X169" i="13"/>
  <c r="X177" i="13"/>
  <c r="X185" i="13"/>
  <c r="X193" i="13"/>
  <c r="X201" i="13"/>
  <c r="X209" i="13"/>
  <c r="X217" i="13"/>
  <c r="X225" i="13"/>
  <c r="X233" i="13"/>
  <c r="X241" i="13"/>
  <c r="X88" i="13"/>
  <c r="X174" i="13"/>
  <c r="X182" i="13"/>
  <c r="X190" i="13"/>
  <c r="X167" i="13"/>
  <c r="X171" i="13"/>
  <c r="X179" i="13"/>
  <c r="X187" i="13"/>
  <c r="X131" i="13"/>
  <c r="X162" i="13"/>
  <c r="X181" i="13"/>
  <c r="X203" i="13"/>
  <c r="X212" i="13"/>
  <c r="X221" i="13"/>
  <c r="X235" i="13"/>
  <c r="X244" i="13"/>
  <c r="X154" i="13"/>
  <c r="X184" i="13"/>
  <c r="X198" i="13"/>
  <c r="X208" i="13"/>
  <c r="X222" i="13"/>
  <c r="X231" i="13"/>
  <c r="X240" i="13"/>
  <c r="X260" i="13"/>
  <c r="X268" i="13"/>
  <c r="X276" i="13"/>
  <c r="X284" i="13"/>
  <c r="X292" i="13"/>
  <c r="X300" i="13"/>
  <c r="X159" i="13"/>
  <c r="X189" i="13"/>
  <c r="X204" i="13"/>
  <c r="X213" i="13"/>
  <c r="X227" i="13"/>
  <c r="X236" i="13"/>
  <c r="X160" i="13"/>
  <c r="X192" i="13"/>
  <c r="X197" i="13"/>
  <c r="X200" i="13"/>
  <c r="X214" i="13"/>
  <c r="X223" i="13"/>
  <c r="X140" i="13"/>
  <c r="X205" i="13"/>
  <c r="X219" i="13"/>
  <c r="X228" i="13"/>
  <c r="X237" i="13"/>
  <c r="X168" i="13"/>
  <c r="X195" i="13"/>
  <c r="X206" i="13"/>
  <c r="X215" i="13"/>
  <c r="X224" i="13"/>
  <c r="X173" i="13"/>
  <c r="X211" i="13"/>
  <c r="X220" i="13"/>
  <c r="X229" i="13"/>
  <c r="X243" i="13"/>
  <c r="X249" i="13"/>
  <c r="X256" i="13"/>
  <c r="X261" i="13"/>
  <c r="X269" i="13"/>
  <c r="X277" i="13"/>
  <c r="X285" i="13"/>
  <c r="X207" i="13"/>
  <c r="X248" i="13"/>
  <c r="X257" i="13"/>
  <c r="X266" i="13"/>
  <c r="X275" i="13"/>
  <c r="X289" i="13"/>
  <c r="X302" i="13"/>
  <c r="X307" i="13"/>
  <c r="X315" i="13"/>
  <c r="X238" i="13"/>
  <c r="X247" i="13"/>
  <c r="X262" i="13"/>
  <c r="X271" i="13"/>
  <c r="X280" i="13"/>
  <c r="X295" i="13"/>
  <c r="X304" i="13"/>
  <c r="X176" i="13"/>
  <c r="X232" i="13"/>
  <c r="X246" i="13"/>
  <c r="X258" i="13"/>
  <c r="X267" i="13"/>
  <c r="X281" i="13"/>
  <c r="X290" i="13"/>
  <c r="X293" i="13"/>
  <c r="X216" i="13"/>
  <c r="X230" i="13"/>
  <c r="X245" i="13"/>
  <c r="X263" i="13"/>
  <c r="X272" i="13"/>
  <c r="X286" i="13"/>
  <c r="X298" i="13"/>
  <c r="X306" i="13"/>
  <c r="X314" i="13"/>
  <c r="X322" i="13"/>
  <c r="X330" i="13"/>
  <c r="X338" i="13"/>
  <c r="X346" i="13"/>
  <c r="X259" i="13"/>
  <c r="X273" i="13"/>
  <c r="X282" i="13"/>
  <c r="X291" i="13"/>
  <c r="X296" i="13"/>
  <c r="X252" i="13"/>
  <c r="X264" i="13"/>
  <c r="X278" i="13"/>
  <c r="X287" i="13"/>
  <c r="X294" i="13"/>
  <c r="X251" i="13"/>
  <c r="X253" i="13"/>
  <c r="X254" i="13"/>
  <c r="X255" i="13"/>
  <c r="X265" i="13"/>
  <c r="X274" i="13"/>
  <c r="X283" i="13"/>
  <c r="X299" i="13"/>
  <c r="X305" i="13"/>
  <c r="X313" i="13"/>
  <c r="X321" i="13"/>
  <c r="X329" i="13"/>
  <c r="X337" i="13"/>
  <c r="X345" i="13"/>
  <c r="X279" i="13"/>
  <c r="X297" i="13"/>
  <c r="X308" i="13"/>
  <c r="X317" i="13"/>
  <c r="X331" i="13"/>
  <c r="X340" i="13"/>
  <c r="X349" i="13"/>
  <c r="X352" i="13"/>
  <c r="X360" i="13"/>
  <c r="X368" i="13"/>
  <c r="X376" i="13"/>
  <c r="X384" i="13"/>
  <c r="X392" i="13"/>
  <c r="X400" i="13"/>
  <c r="X408" i="13"/>
  <c r="X416" i="13"/>
  <c r="X424" i="13"/>
  <c r="X318" i="13"/>
  <c r="X327" i="13"/>
  <c r="X336" i="13"/>
  <c r="X350" i="13"/>
  <c r="X357" i="13"/>
  <c r="X365" i="13"/>
  <c r="X323" i="13"/>
  <c r="X332" i="13"/>
  <c r="X341" i="13"/>
  <c r="X354" i="13"/>
  <c r="X288" i="13"/>
  <c r="X301" i="13"/>
  <c r="X303" i="13"/>
  <c r="X319" i="13"/>
  <c r="X328" i="13"/>
  <c r="X342" i="13"/>
  <c r="X359" i="13"/>
  <c r="X367" i="13"/>
  <c r="X375" i="13"/>
  <c r="X383" i="13"/>
  <c r="X391" i="13"/>
  <c r="X399" i="13"/>
  <c r="X407" i="13"/>
  <c r="X324" i="13"/>
  <c r="X333" i="13"/>
  <c r="X347" i="13"/>
  <c r="X351" i="13"/>
  <c r="X239" i="13"/>
  <c r="X270" i="13"/>
  <c r="X310" i="13"/>
  <c r="X311" i="13"/>
  <c r="X312" i="13"/>
  <c r="X320" i="13"/>
  <c r="X334" i="13"/>
  <c r="X343" i="13"/>
  <c r="X353" i="13"/>
  <c r="X326" i="13"/>
  <c r="X356" i="13"/>
  <c r="X377" i="13"/>
  <c r="X386" i="13"/>
  <c r="X395" i="13"/>
  <c r="X409" i="13"/>
  <c r="X426" i="13"/>
  <c r="X309" i="13"/>
  <c r="X373" i="13"/>
  <c r="X382" i="13"/>
  <c r="X396" i="13"/>
  <c r="X405" i="13"/>
  <c r="X414" i="13"/>
  <c r="X419" i="13"/>
  <c r="X378" i="13"/>
  <c r="X387" i="13"/>
  <c r="X401" i="13"/>
  <c r="X410" i="13"/>
  <c r="X355" i="13"/>
  <c r="X374" i="13"/>
  <c r="X388" i="13"/>
  <c r="X397" i="13"/>
  <c r="X406" i="13"/>
  <c r="X415" i="13"/>
  <c r="X422" i="13"/>
  <c r="X432" i="13"/>
  <c r="X440" i="13"/>
  <c r="X448" i="13"/>
  <c r="X456" i="13"/>
  <c r="X464" i="13"/>
  <c r="X344" i="13"/>
  <c r="X361" i="13"/>
  <c r="X362" i="13"/>
  <c r="X364" i="13"/>
  <c r="X379" i="13"/>
  <c r="X393" i="13"/>
  <c r="X402" i="13"/>
  <c r="X411" i="13"/>
  <c r="X325" i="13"/>
  <c r="X348" i="13"/>
  <c r="X363" i="13"/>
  <c r="X366" i="13"/>
  <c r="X369" i="13"/>
  <c r="X370" i="13"/>
  <c r="X380" i="13"/>
  <c r="X389" i="13"/>
  <c r="X398" i="13"/>
  <c r="X335" i="13"/>
  <c r="X358" i="13"/>
  <c r="X371" i="13"/>
  <c r="X385" i="13"/>
  <c r="X394" i="13"/>
  <c r="X403" i="13"/>
  <c r="X423" i="13"/>
  <c r="X431" i="13"/>
  <c r="X439" i="13"/>
  <c r="X447" i="13"/>
  <c r="X455" i="13"/>
  <c r="X463" i="13"/>
  <c r="X428" i="13"/>
  <c r="X429" i="13"/>
  <c r="X430" i="13"/>
  <c r="X436" i="13"/>
  <c r="X445" i="13"/>
  <c r="X454" i="13"/>
  <c r="X471" i="13"/>
  <c r="X2" i="13"/>
  <c r="X390" i="13"/>
  <c r="X412" i="13"/>
  <c r="X427" i="13"/>
  <c r="X441" i="13"/>
  <c r="X450" i="13"/>
  <c r="X459" i="13"/>
  <c r="X468" i="13"/>
  <c r="X404" i="13"/>
  <c r="X437" i="13"/>
  <c r="X446" i="13"/>
  <c r="X460" i="13"/>
  <c r="X473" i="13"/>
  <c r="X372" i="13"/>
  <c r="X418" i="13"/>
  <c r="X425" i="13"/>
  <c r="X433" i="13"/>
  <c r="X442" i="13"/>
  <c r="X451" i="13"/>
  <c r="X465" i="13"/>
  <c r="X470" i="13"/>
  <c r="X413" i="13"/>
  <c r="X438" i="13"/>
  <c r="X452" i="13"/>
  <c r="X461" i="13"/>
  <c r="X475" i="13"/>
  <c r="X339" i="13"/>
  <c r="X417" i="13"/>
  <c r="X434" i="13"/>
  <c r="X443" i="13"/>
  <c r="X457" i="13"/>
  <c r="X466" i="13"/>
  <c r="X472" i="13"/>
  <c r="P474" i="13"/>
  <c r="Q469" i="13"/>
  <c r="P466" i="13"/>
  <c r="Y462" i="13"/>
  <c r="V459" i="13"/>
  <c r="R456" i="13"/>
  <c r="AA452" i="13"/>
  <c r="X449" i="13"/>
  <c r="P443" i="13"/>
  <c r="Z439" i="13"/>
  <c r="V436" i="13"/>
  <c r="R433" i="13"/>
  <c r="V429" i="13"/>
  <c r="Q425" i="13"/>
  <c r="X420" i="13"/>
  <c r="V414" i="13"/>
  <c r="AB368" i="13"/>
  <c r="U2" i="13"/>
  <c r="U471" i="13"/>
  <c r="W469" i="13"/>
  <c r="T463" i="13"/>
  <c r="W462" i="13"/>
  <c r="U458" i="13"/>
  <c r="T454" i="13"/>
  <c r="U449" i="13"/>
  <c r="W448" i="13"/>
  <c r="T445" i="13"/>
  <c r="AA442" i="13"/>
  <c r="U440" i="13"/>
  <c r="W439" i="13"/>
  <c r="S436" i="13"/>
  <c r="V435" i="13"/>
  <c r="S431" i="13"/>
  <c r="S430" i="13"/>
  <c r="S429" i="13"/>
  <c r="AA424" i="13"/>
  <c r="U421" i="13"/>
  <c r="U420" i="13"/>
  <c r="V400" i="13"/>
  <c r="U387" i="13"/>
  <c r="S374" i="13"/>
  <c r="W6" i="13"/>
  <c r="W14" i="13"/>
  <c r="W22" i="13"/>
  <c r="W30" i="13"/>
  <c r="W38" i="13"/>
  <c r="W3" i="13"/>
  <c r="W11" i="13"/>
  <c r="W19" i="13"/>
  <c r="W27" i="13"/>
  <c r="W35" i="13"/>
  <c r="W43" i="13"/>
  <c r="W51" i="13"/>
  <c r="W8" i="13"/>
  <c r="W16" i="13"/>
  <c r="W24" i="13"/>
  <c r="W32" i="13"/>
  <c r="W40" i="13"/>
  <c r="W48" i="13"/>
  <c r="W5" i="13"/>
  <c r="W13" i="13"/>
  <c r="W21" i="13"/>
  <c r="W29" i="13"/>
  <c r="W10" i="13"/>
  <c r="W18" i="13"/>
  <c r="W26" i="13"/>
  <c r="W7" i="13"/>
  <c r="W15" i="13"/>
  <c r="W23" i="13"/>
  <c r="W31" i="13"/>
  <c r="W37" i="13"/>
  <c r="W52" i="13"/>
  <c r="W54" i="13"/>
  <c r="W62" i="13"/>
  <c r="W70" i="13"/>
  <c r="W78" i="13"/>
  <c r="W4" i="13"/>
  <c r="W33" i="13"/>
  <c r="W39" i="13"/>
  <c r="W59" i="13"/>
  <c r="W67" i="13"/>
  <c r="W75" i="13"/>
  <c r="W9" i="13"/>
  <c r="W36" i="13"/>
  <c r="W44" i="13"/>
  <c r="W56" i="13"/>
  <c r="W64" i="13"/>
  <c r="W72" i="13"/>
  <c r="W80" i="13"/>
  <c r="W88" i="13"/>
  <c r="W96" i="13"/>
  <c r="W12" i="13"/>
  <c r="W45" i="13"/>
  <c r="W49" i="13"/>
  <c r="W53" i="13"/>
  <c r="W61" i="13"/>
  <c r="W69" i="13"/>
  <c r="W17" i="13"/>
  <c r="W50" i="13"/>
  <c r="W58" i="13"/>
  <c r="W20" i="13"/>
  <c r="W34" i="13"/>
  <c r="W41" i="13"/>
  <c r="W55" i="13"/>
  <c r="W63" i="13"/>
  <c r="W25" i="13"/>
  <c r="W42" i="13"/>
  <c r="W46" i="13"/>
  <c r="W60" i="13"/>
  <c r="W68" i="13"/>
  <c r="W65" i="13"/>
  <c r="W77" i="13"/>
  <c r="W89" i="13"/>
  <c r="W101" i="13"/>
  <c r="W108" i="13"/>
  <c r="W116" i="13"/>
  <c r="W124" i="13"/>
  <c r="W76" i="13"/>
  <c r="W79" i="13"/>
  <c r="W87" i="13"/>
  <c r="W94" i="13"/>
  <c r="W105" i="13"/>
  <c r="W113" i="13"/>
  <c r="W121" i="13"/>
  <c r="W57" i="13"/>
  <c r="W81" i="13"/>
  <c r="W85" i="13"/>
  <c r="W92" i="13"/>
  <c r="W99" i="13"/>
  <c r="W110" i="13"/>
  <c r="W118" i="13"/>
  <c r="W126" i="13"/>
  <c r="W134" i="13"/>
  <c r="W142" i="13"/>
  <c r="W150" i="13"/>
  <c r="W158" i="13"/>
  <c r="W28" i="13"/>
  <c r="W66" i="13"/>
  <c r="W71" i="13"/>
  <c r="W74" i="13"/>
  <c r="W82" i="13"/>
  <c r="W90" i="13"/>
  <c r="W97" i="13"/>
  <c r="W107" i="13"/>
  <c r="W115" i="13"/>
  <c r="W47" i="13"/>
  <c r="W95" i="13"/>
  <c r="W102" i="13"/>
  <c r="W104" i="13"/>
  <c r="W73" i="13"/>
  <c r="W86" i="13"/>
  <c r="W98" i="13"/>
  <c r="W84" i="13"/>
  <c r="W91" i="13"/>
  <c r="W103" i="13"/>
  <c r="W111" i="13"/>
  <c r="W112" i="13"/>
  <c r="W132" i="13"/>
  <c r="W144" i="13"/>
  <c r="W151" i="13"/>
  <c r="W160" i="13"/>
  <c r="W117" i="13"/>
  <c r="W120" i="13"/>
  <c r="W123" i="13"/>
  <c r="W130" i="13"/>
  <c r="W137" i="13"/>
  <c r="W149" i="13"/>
  <c r="W156" i="13"/>
  <c r="W109" i="13"/>
  <c r="W119" i="13"/>
  <c r="W122" i="13"/>
  <c r="W128" i="13"/>
  <c r="W135" i="13"/>
  <c r="W147" i="13"/>
  <c r="W114" i="13"/>
  <c r="W125" i="13"/>
  <c r="W133" i="13"/>
  <c r="W140" i="13"/>
  <c r="W93" i="13"/>
  <c r="W131" i="13"/>
  <c r="W83" i="13"/>
  <c r="W100" i="13"/>
  <c r="W106" i="13"/>
  <c r="W129" i="13"/>
  <c r="W141" i="13"/>
  <c r="W148" i="13"/>
  <c r="W166" i="13"/>
  <c r="W127" i="13"/>
  <c r="W139" i="13"/>
  <c r="W146" i="13"/>
  <c r="W153" i="13"/>
  <c r="W163" i="13"/>
  <c r="W143" i="13"/>
  <c r="W157" i="13"/>
  <c r="W165" i="13"/>
  <c r="W175" i="13"/>
  <c r="W183" i="13"/>
  <c r="W191" i="13"/>
  <c r="W199" i="13"/>
  <c r="W207" i="13"/>
  <c r="W215" i="13"/>
  <c r="W223" i="13"/>
  <c r="W231" i="13"/>
  <c r="W239" i="13"/>
  <c r="W247" i="13"/>
  <c r="W255" i="13"/>
  <c r="W138" i="13"/>
  <c r="W172" i="13"/>
  <c r="W180" i="13"/>
  <c r="W188" i="13"/>
  <c r="W196" i="13"/>
  <c r="W152" i="13"/>
  <c r="W169" i="13"/>
  <c r="W177" i="13"/>
  <c r="W185" i="13"/>
  <c r="W193" i="13"/>
  <c r="W174" i="13"/>
  <c r="W182" i="13"/>
  <c r="W190" i="13"/>
  <c r="W198" i="13"/>
  <c r="W206" i="13"/>
  <c r="W214" i="13"/>
  <c r="W222" i="13"/>
  <c r="W230" i="13"/>
  <c r="W238" i="13"/>
  <c r="W155" i="13"/>
  <c r="W167" i="13"/>
  <c r="W171" i="13"/>
  <c r="W179" i="13"/>
  <c r="W187" i="13"/>
  <c r="W145" i="13"/>
  <c r="W154" i="13"/>
  <c r="W168" i="13"/>
  <c r="W176" i="13"/>
  <c r="W184" i="13"/>
  <c r="W192" i="13"/>
  <c r="W186" i="13"/>
  <c r="W208" i="13"/>
  <c r="W217" i="13"/>
  <c r="W226" i="13"/>
  <c r="W240" i="13"/>
  <c r="W136" i="13"/>
  <c r="W159" i="13"/>
  <c r="W189" i="13"/>
  <c r="W204" i="13"/>
  <c r="W213" i="13"/>
  <c r="W227" i="13"/>
  <c r="W236" i="13"/>
  <c r="W245" i="13"/>
  <c r="W250" i="13"/>
  <c r="W257" i="13"/>
  <c r="W265" i="13"/>
  <c r="W273" i="13"/>
  <c r="W281" i="13"/>
  <c r="W289" i="13"/>
  <c r="W297" i="13"/>
  <c r="W197" i="13"/>
  <c r="W200" i="13"/>
  <c r="W209" i="13"/>
  <c r="W218" i="13"/>
  <c r="W232" i="13"/>
  <c r="W205" i="13"/>
  <c r="W219" i="13"/>
  <c r="W164" i="13"/>
  <c r="W170" i="13"/>
  <c r="W195" i="13"/>
  <c r="W201" i="13"/>
  <c r="W210" i="13"/>
  <c r="W224" i="13"/>
  <c r="W233" i="13"/>
  <c r="W173" i="13"/>
  <c r="W211" i="13"/>
  <c r="W220" i="13"/>
  <c r="W161" i="13"/>
  <c r="W178" i="13"/>
  <c r="W202" i="13"/>
  <c r="W216" i="13"/>
  <c r="W225" i="13"/>
  <c r="W234" i="13"/>
  <c r="W254" i="13"/>
  <c r="W258" i="13"/>
  <c r="W266" i="13"/>
  <c r="W274" i="13"/>
  <c r="W282" i="13"/>
  <c r="W290" i="13"/>
  <c r="W262" i="13"/>
  <c r="W271" i="13"/>
  <c r="W280" i="13"/>
  <c r="W295" i="13"/>
  <c r="W304" i="13"/>
  <c r="W312" i="13"/>
  <c r="W221" i="13"/>
  <c r="W242" i="13"/>
  <c r="W246" i="13"/>
  <c r="W267" i="13"/>
  <c r="W276" i="13"/>
  <c r="W285" i="13"/>
  <c r="W293" i="13"/>
  <c r="W300" i="13"/>
  <c r="W309" i="13"/>
  <c r="W194" i="13"/>
  <c r="W241" i="13"/>
  <c r="W263" i="13"/>
  <c r="W272" i="13"/>
  <c r="W286" i="13"/>
  <c r="W298" i="13"/>
  <c r="W203" i="13"/>
  <c r="W259" i="13"/>
  <c r="W268" i="13"/>
  <c r="W277" i="13"/>
  <c r="W291" i="13"/>
  <c r="W296" i="13"/>
  <c r="W303" i="13"/>
  <c r="W311" i="13"/>
  <c r="W319" i="13"/>
  <c r="W327" i="13"/>
  <c r="W335" i="13"/>
  <c r="W343" i="13"/>
  <c r="W181" i="13"/>
  <c r="W228" i="13"/>
  <c r="W237" i="13"/>
  <c r="W252" i="13"/>
  <c r="W264" i="13"/>
  <c r="W278" i="13"/>
  <c r="W287" i="13"/>
  <c r="W294" i="13"/>
  <c r="W301" i="13"/>
  <c r="W162" i="13"/>
  <c r="W235" i="13"/>
  <c r="W244" i="13"/>
  <c r="W251" i="13"/>
  <c r="W253" i="13"/>
  <c r="W260" i="13"/>
  <c r="W269" i="13"/>
  <c r="W283" i="13"/>
  <c r="W212" i="13"/>
  <c r="W270" i="13"/>
  <c r="W279" i="13"/>
  <c r="W288" i="13"/>
  <c r="W292" i="13"/>
  <c r="W310" i="13"/>
  <c r="W318" i="13"/>
  <c r="W326" i="13"/>
  <c r="W334" i="13"/>
  <c r="W342" i="13"/>
  <c r="W350" i="13"/>
  <c r="W229" i="13"/>
  <c r="W243" i="13"/>
  <c r="W322" i="13"/>
  <c r="W336" i="13"/>
  <c r="W345" i="13"/>
  <c r="W357" i="13"/>
  <c r="W365" i="13"/>
  <c r="W373" i="13"/>
  <c r="W381" i="13"/>
  <c r="W389" i="13"/>
  <c r="W397" i="13"/>
  <c r="W405" i="13"/>
  <c r="W413" i="13"/>
  <c r="W421" i="13"/>
  <c r="W307" i="13"/>
  <c r="W323" i="13"/>
  <c r="W332" i="13"/>
  <c r="W341" i="13"/>
  <c r="W354" i="13"/>
  <c r="W362" i="13"/>
  <c r="W370" i="13"/>
  <c r="W261" i="13"/>
  <c r="W306" i="13"/>
  <c r="W328" i="13"/>
  <c r="W337" i="13"/>
  <c r="W346" i="13"/>
  <c r="W359" i="13"/>
  <c r="W275" i="13"/>
  <c r="W324" i="13"/>
  <c r="W333" i="13"/>
  <c r="W347" i="13"/>
  <c r="W351" i="13"/>
  <c r="W356" i="13"/>
  <c r="W364" i="13"/>
  <c r="W372" i="13"/>
  <c r="W380" i="13"/>
  <c r="W388" i="13"/>
  <c r="W396" i="13"/>
  <c r="W404" i="13"/>
  <c r="W412" i="13"/>
  <c r="W248" i="13"/>
  <c r="W256" i="13"/>
  <c r="W320" i="13"/>
  <c r="W329" i="13"/>
  <c r="W338" i="13"/>
  <c r="W353" i="13"/>
  <c r="W249" i="13"/>
  <c r="W299" i="13"/>
  <c r="W305" i="13"/>
  <c r="W313" i="13"/>
  <c r="W314" i="13"/>
  <c r="W315" i="13"/>
  <c r="W316" i="13"/>
  <c r="W325" i="13"/>
  <c r="W339" i="13"/>
  <c r="W348" i="13"/>
  <c r="W302" i="13"/>
  <c r="W308" i="13"/>
  <c r="W349" i="13"/>
  <c r="W352" i="13"/>
  <c r="W382" i="13"/>
  <c r="W391" i="13"/>
  <c r="W400" i="13"/>
  <c r="W414" i="13"/>
  <c r="W419" i="13"/>
  <c r="W430" i="13"/>
  <c r="W330" i="13"/>
  <c r="W378" i="13"/>
  <c r="W387" i="13"/>
  <c r="W401" i="13"/>
  <c r="W410" i="13"/>
  <c r="W417" i="13"/>
  <c r="W317" i="13"/>
  <c r="W340" i="13"/>
  <c r="W355" i="13"/>
  <c r="W374" i="13"/>
  <c r="W383" i="13"/>
  <c r="W392" i="13"/>
  <c r="W406" i="13"/>
  <c r="W415" i="13"/>
  <c r="W321" i="13"/>
  <c r="W344" i="13"/>
  <c r="W361" i="13"/>
  <c r="W379" i="13"/>
  <c r="W393" i="13"/>
  <c r="W402" i="13"/>
  <c r="W411" i="13"/>
  <c r="W420" i="13"/>
  <c r="W427" i="13"/>
  <c r="W429" i="13"/>
  <c r="W437" i="13"/>
  <c r="W445" i="13"/>
  <c r="W453" i="13"/>
  <c r="W461" i="13"/>
  <c r="W331" i="13"/>
  <c r="W360" i="13"/>
  <c r="W363" i="13"/>
  <c r="W366" i="13"/>
  <c r="W367" i="13"/>
  <c r="W369" i="13"/>
  <c r="W375" i="13"/>
  <c r="W384" i="13"/>
  <c r="W398" i="13"/>
  <c r="W407" i="13"/>
  <c r="W358" i="13"/>
  <c r="W368" i="13"/>
  <c r="W371" i="13"/>
  <c r="W385" i="13"/>
  <c r="W394" i="13"/>
  <c r="W403" i="13"/>
  <c r="W376" i="13"/>
  <c r="W390" i="13"/>
  <c r="W399" i="13"/>
  <c r="W408" i="13"/>
  <c r="W416" i="13"/>
  <c r="W428" i="13"/>
  <c r="W436" i="13"/>
  <c r="W444" i="13"/>
  <c r="W452" i="13"/>
  <c r="W460" i="13"/>
  <c r="T2" i="13"/>
  <c r="U474" i="13"/>
  <c r="W472" i="13"/>
  <c r="T471" i="13"/>
  <c r="U467" i="13"/>
  <c r="W466" i="13"/>
  <c r="T458" i="13"/>
  <c r="W457" i="13"/>
  <c r="U453" i="13"/>
  <c r="T449" i="13"/>
  <c r="AA446" i="13"/>
  <c r="U444" i="13"/>
  <c r="W443" i="13"/>
  <c r="T440" i="13"/>
  <c r="V439" i="13"/>
  <c r="AA437" i="13"/>
  <c r="U435" i="13"/>
  <c r="W434" i="13"/>
  <c r="W423" i="13"/>
  <c r="V422" i="13"/>
  <c r="T421" i="13"/>
  <c r="U417" i="13"/>
  <c r="T410" i="13"/>
  <c r="S406" i="13"/>
  <c r="W386" i="13"/>
  <c r="U373" i="13"/>
  <c r="T336" i="13"/>
  <c r="U308" i="13"/>
  <c r="V3" i="13"/>
  <c r="V11" i="13"/>
  <c r="V19" i="13"/>
  <c r="V27" i="13"/>
  <c r="V35" i="13"/>
  <c r="V8" i="13"/>
  <c r="V16" i="13"/>
  <c r="V24" i="13"/>
  <c r="V32" i="13"/>
  <c r="V40" i="13"/>
  <c r="V48" i="13"/>
  <c r="V5" i="13"/>
  <c r="V13" i="13"/>
  <c r="V21" i="13"/>
  <c r="V29" i="13"/>
  <c r="V37" i="13"/>
  <c r="V45" i="13"/>
  <c r="V10" i="13"/>
  <c r="V18" i="13"/>
  <c r="V26" i="13"/>
  <c r="V34" i="13"/>
  <c r="V7" i="13"/>
  <c r="V15" i="13"/>
  <c r="V23" i="13"/>
  <c r="V31" i="13"/>
  <c r="V4" i="13"/>
  <c r="V12" i="13"/>
  <c r="V20" i="13"/>
  <c r="V28" i="13"/>
  <c r="V36" i="13"/>
  <c r="V6" i="13"/>
  <c r="V33" i="13"/>
  <c r="V38" i="13"/>
  <c r="V39" i="13"/>
  <c r="V43" i="13"/>
  <c r="V59" i="13"/>
  <c r="V67" i="13"/>
  <c r="V75" i="13"/>
  <c r="V83" i="13"/>
  <c r="V9" i="13"/>
  <c r="V44" i="13"/>
  <c r="V56" i="13"/>
  <c r="V64" i="13"/>
  <c r="V72" i="13"/>
  <c r="V80" i="13"/>
  <c r="V14" i="13"/>
  <c r="V49" i="13"/>
  <c r="V53" i="13"/>
  <c r="V61" i="13"/>
  <c r="V69" i="13"/>
  <c r="V77" i="13"/>
  <c r="V85" i="13"/>
  <c r="V93" i="13"/>
  <c r="V101" i="13"/>
  <c r="V17" i="13"/>
  <c r="V50" i="13"/>
  <c r="V58" i="13"/>
  <c r="V66" i="13"/>
  <c r="V74" i="13"/>
  <c r="V22" i="13"/>
  <c r="V41" i="13"/>
  <c r="V55" i="13"/>
  <c r="V63" i="13"/>
  <c r="V25" i="13"/>
  <c r="V42" i="13"/>
  <c r="V46" i="13"/>
  <c r="V60" i="13"/>
  <c r="V30" i="13"/>
  <c r="V47" i="13"/>
  <c r="V51" i="13"/>
  <c r="V57" i="13"/>
  <c r="V65" i="13"/>
  <c r="V76" i="13"/>
  <c r="V79" i="13"/>
  <c r="V87" i="13"/>
  <c r="V94" i="13"/>
  <c r="V105" i="13"/>
  <c r="V113" i="13"/>
  <c r="V121" i="13"/>
  <c r="V78" i="13"/>
  <c r="V81" i="13"/>
  <c r="V92" i="13"/>
  <c r="V99" i="13"/>
  <c r="V110" i="13"/>
  <c r="V118" i="13"/>
  <c r="V52" i="13"/>
  <c r="V62" i="13"/>
  <c r="V71" i="13"/>
  <c r="V82" i="13"/>
  <c r="V90" i="13"/>
  <c r="V97" i="13"/>
  <c r="V107" i="13"/>
  <c r="V115" i="13"/>
  <c r="V123" i="13"/>
  <c r="V131" i="13"/>
  <c r="V139" i="13"/>
  <c r="V147" i="13"/>
  <c r="V155" i="13"/>
  <c r="V95" i="13"/>
  <c r="V102" i="13"/>
  <c r="V104" i="13"/>
  <c r="V112" i="13"/>
  <c r="V68" i="13"/>
  <c r="V88" i="13"/>
  <c r="V100" i="13"/>
  <c r="V70" i="13"/>
  <c r="V84" i="13"/>
  <c r="V91" i="13"/>
  <c r="V89" i="13"/>
  <c r="V96" i="13"/>
  <c r="V108" i="13"/>
  <c r="V116" i="13"/>
  <c r="V117" i="13"/>
  <c r="V120" i="13"/>
  <c r="V130" i="13"/>
  <c r="V137" i="13"/>
  <c r="V149" i="13"/>
  <c r="V156" i="13"/>
  <c r="V109" i="13"/>
  <c r="V119" i="13"/>
  <c r="V122" i="13"/>
  <c r="V128" i="13"/>
  <c r="V135" i="13"/>
  <c r="V142" i="13"/>
  <c r="V154" i="13"/>
  <c r="V86" i="13"/>
  <c r="V114" i="13"/>
  <c r="V124" i="13"/>
  <c r="V125" i="13"/>
  <c r="V133" i="13"/>
  <c r="V140" i="13"/>
  <c r="V98" i="13"/>
  <c r="V138" i="13"/>
  <c r="V145" i="13"/>
  <c r="V73" i="13"/>
  <c r="V103" i="13"/>
  <c r="V111" i="13"/>
  <c r="V126" i="13"/>
  <c r="V136" i="13"/>
  <c r="V127" i="13"/>
  <c r="V134" i="13"/>
  <c r="V146" i="13"/>
  <c r="V153" i="13"/>
  <c r="V163" i="13"/>
  <c r="V132" i="13"/>
  <c r="V144" i="13"/>
  <c r="V151" i="13"/>
  <c r="V158" i="13"/>
  <c r="V160" i="13"/>
  <c r="V168" i="13"/>
  <c r="V106" i="13"/>
  <c r="V172" i="13"/>
  <c r="V180" i="13"/>
  <c r="V188" i="13"/>
  <c r="V196" i="13"/>
  <c r="V204" i="13"/>
  <c r="V212" i="13"/>
  <c r="V220" i="13"/>
  <c r="V228" i="13"/>
  <c r="V236" i="13"/>
  <c r="V244" i="13"/>
  <c r="V252" i="13"/>
  <c r="V54" i="13"/>
  <c r="V152" i="13"/>
  <c r="V169" i="13"/>
  <c r="V177" i="13"/>
  <c r="V185" i="13"/>
  <c r="V193" i="13"/>
  <c r="V141" i="13"/>
  <c r="V166" i="13"/>
  <c r="V174" i="13"/>
  <c r="V182" i="13"/>
  <c r="V190" i="13"/>
  <c r="V167" i="13"/>
  <c r="V171" i="13"/>
  <c r="V179" i="13"/>
  <c r="V187" i="13"/>
  <c r="V195" i="13"/>
  <c r="V203" i="13"/>
  <c r="V211" i="13"/>
  <c r="V219" i="13"/>
  <c r="V227" i="13"/>
  <c r="V235" i="13"/>
  <c r="V243" i="13"/>
  <c r="V129" i="13"/>
  <c r="V176" i="13"/>
  <c r="V184" i="13"/>
  <c r="V192" i="13"/>
  <c r="V159" i="13"/>
  <c r="V162" i="13"/>
  <c r="V173" i="13"/>
  <c r="V181" i="13"/>
  <c r="V189" i="13"/>
  <c r="V191" i="13"/>
  <c r="V198" i="13"/>
  <c r="V213" i="13"/>
  <c r="V222" i="13"/>
  <c r="V231" i="13"/>
  <c r="V245" i="13"/>
  <c r="V250" i="13"/>
  <c r="V197" i="13"/>
  <c r="V199" i="13"/>
  <c r="V200" i="13"/>
  <c r="V209" i="13"/>
  <c r="V218" i="13"/>
  <c r="V232" i="13"/>
  <c r="V241" i="13"/>
  <c r="V248" i="13"/>
  <c r="V255" i="13"/>
  <c r="V262" i="13"/>
  <c r="V270" i="13"/>
  <c r="V278" i="13"/>
  <c r="V286" i="13"/>
  <c r="V294" i="13"/>
  <c r="V302" i="13"/>
  <c r="V148" i="13"/>
  <c r="V205" i="13"/>
  <c r="V214" i="13"/>
  <c r="V223" i="13"/>
  <c r="V237" i="13"/>
  <c r="V164" i="13"/>
  <c r="V170" i="13"/>
  <c r="V201" i="13"/>
  <c r="V210" i="13"/>
  <c r="V224" i="13"/>
  <c r="V150" i="13"/>
  <c r="V175" i="13"/>
  <c r="V206" i="13"/>
  <c r="V215" i="13"/>
  <c r="V229" i="13"/>
  <c r="V161" i="13"/>
  <c r="V178" i="13"/>
  <c r="V202" i="13"/>
  <c r="V216" i="13"/>
  <c r="V225" i="13"/>
  <c r="V143" i="13"/>
  <c r="V157" i="13"/>
  <c r="V165" i="13"/>
  <c r="V183" i="13"/>
  <c r="V194" i="13"/>
  <c r="V207" i="13"/>
  <c r="V221" i="13"/>
  <c r="V230" i="13"/>
  <c r="V239" i="13"/>
  <c r="V247" i="13"/>
  <c r="V263" i="13"/>
  <c r="V271" i="13"/>
  <c r="V279" i="13"/>
  <c r="V287" i="13"/>
  <c r="V238" i="13"/>
  <c r="V242" i="13"/>
  <c r="V246" i="13"/>
  <c r="V267" i="13"/>
  <c r="V276" i="13"/>
  <c r="V285" i="13"/>
  <c r="V293" i="13"/>
  <c r="V300" i="13"/>
  <c r="V309" i="13"/>
  <c r="V208" i="13"/>
  <c r="V234" i="13"/>
  <c r="V258" i="13"/>
  <c r="V272" i="13"/>
  <c r="V281" i="13"/>
  <c r="V290" i="13"/>
  <c r="V298" i="13"/>
  <c r="V306" i="13"/>
  <c r="V259" i="13"/>
  <c r="V268" i="13"/>
  <c r="V277" i="13"/>
  <c r="V291" i="13"/>
  <c r="V296" i="13"/>
  <c r="V303" i="13"/>
  <c r="V264" i="13"/>
  <c r="V273" i="13"/>
  <c r="V282" i="13"/>
  <c r="V301" i="13"/>
  <c r="V308" i="13"/>
  <c r="V316" i="13"/>
  <c r="V324" i="13"/>
  <c r="V332" i="13"/>
  <c r="V340" i="13"/>
  <c r="V348" i="13"/>
  <c r="V217" i="13"/>
  <c r="V240" i="13"/>
  <c r="V251" i="13"/>
  <c r="V253" i="13"/>
  <c r="V260" i="13"/>
  <c r="V269" i="13"/>
  <c r="V283" i="13"/>
  <c r="V299" i="13"/>
  <c r="V233" i="13"/>
  <c r="V254" i="13"/>
  <c r="V265" i="13"/>
  <c r="V274" i="13"/>
  <c r="V288" i="13"/>
  <c r="V292" i="13"/>
  <c r="V186" i="13"/>
  <c r="V249" i="13"/>
  <c r="V256" i="13"/>
  <c r="V261" i="13"/>
  <c r="V275" i="13"/>
  <c r="V284" i="13"/>
  <c r="V297" i="13"/>
  <c r="V307" i="13"/>
  <c r="V315" i="13"/>
  <c r="V323" i="13"/>
  <c r="V331" i="13"/>
  <c r="V339" i="13"/>
  <c r="V347" i="13"/>
  <c r="V266" i="13"/>
  <c r="V304" i="13"/>
  <c r="V318" i="13"/>
  <c r="V327" i="13"/>
  <c r="V341" i="13"/>
  <c r="V350" i="13"/>
  <c r="V354" i="13"/>
  <c r="V362" i="13"/>
  <c r="V370" i="13"/>
  <c r="V378" i="13"/>
  <c r="V386" i="13"/>
  <c r="V394" i="13"/>
  <c r="V402" i="13"/>
  <c r="V410" i="13"/>
  <c r="V418" i="13"/>
  <c r="V426" i="13"/>
  <c r="V280" i="13"/>
  <c r="V328" i="13"/>
  <c r="V337" i="13"/>
  <c r="V346" i="13"/>
  <c r="V359" i="13"/>
  <c r="V367" i="13"/>
  <c r="V319" i="13"/>
  <c r="V333" i="13"/>
  <c r="V342" i="13"/>
  <c r="V351" i="13"/>
  <c r="V356" i="13"/>
  <c r="V320" i="13"/>
  <c r="V329" i="13"/>
  <c r="V338" i="13"/>
  <c r="V353" i="13"/>
  <c r="V361" i="13"/>
  <c r="V369" i="13"/>
  <c r="V377" i="13"/>
  <c r="V385" i="13"/>
  <c r="V393" i="13"/>
  <c r="V401" i="13"/>
  <c r="V409" i="13"/>
  <c r="V289" i="13"/>
  <c r="V295" i="13"/>
  <c r="V305" i="13"/>
  <c r="V310" i="13"/>
  <c r="V311" i="13"/>
  <c r="V312" i="13"/>
  <c r="V313" i="13"/>
  <c r="V314" i="13"/>
  <c r="V325" i="13"/>
  <c r="V334" i="13"/>
  <c r="V343" i="13"/>
  <c r="V257" i="13"/>
  <c r="V321" i="13"/>
  <c r="V330" i="13"/>
  <c r="V344" i="13"/>
  <c r="V355" i="13"/>
  <c r="V336" i="13"/>
  <c r="V373" i="13"/>
  <c r="V387" i="13"/>
  <c r="V396" i="13"/>
  <c r="V405" i="13"/>
  <c r="V417" i="13"/>
  <c r="V424" i="13"/>
  <c r="V317" i="13"/>
  <c r="V374" i="13"/>
  <c r="V383" i="13"/>
  <c r="V392" i="13"/>
  <c r="V406" i="13"/>
  <c r="V415" i="13"/>
  <c r="V226" i="13"/>
  <c r="V379" i="13"/>
  <c r="V388" i="13"/>
  <c r="V397" i="13"/>
  <c r="V411" i="13"/>
  <c r="V360" i="13"/>
  <c r="V363" i="13"/>
  <c r="V364" i="13"/>
  <c r="V366" i="13"/>
  <c r="V375" i="13"/>
  <c r="V384" i="13"/>
  <c r="V398" i="13"/>
  <c r="V407" i="13"/>
  <c r="V425" i="13"/>
  <c r="V434" i="13"/>
  <c r="V442" i="13"/>
  <c r="V450" i="13"/>
  <c r="V458" i="13"/>
  <c r="V466" i="13"/>
  <c r="V358" i="13"/>
  <c r="V365" i="13"/>
  <c r="V368" i="13"/>
  <c r="V371" i="13"/>
  <c r="V380" i="13"/>
  <c r="V389" i="13"/>
  <c r="V403" i="13"/>
  <c r="V412" i="13"/>
  <c r="V335" i="13"/>
  <c r="V376" i="13"/>
  <c r="V390" i="13"/>
  <c r="V399" i="13"/>
  <c r="V322" i="13"/>
  <c r="V345" i="13"/>
  <c r="V372" i="13"/>
  <c r="V381" i="13"/>
  <c r="V395" i="13"/>
  <c r="V404" i="13"/>
  <c r="V413" i="13"/>
  <c r="V421" i="13"/>
  <c r="V433" i="13"/>
  <c r="V441" i="13"/>
  <c r="V449" i="13"/>
  <c r="V457" i="13"/>
  <c r="V465" i="13"/>
  <c r="AA2" i="13"/>
  <c r="S2" i="13"/>
  <c r="W475" i="13"/>
  <c r="T474" i="13"/>
  <c r="V472" i="13"/>
  <c r="AA471" i="13"/>
  <c r="S471" i="13"/>
  <c r="U469" i="13"/>
  <c r="S467" i="13"/>
  <c r="U466" i="13"/>
  <c r="T462" i="13"/>
  <c r="V461" i="13"/>
  <c r="AA459" i="13"/>
  <c r="S458" i="13"/>
  <c r="U457" i="13"/>
  <c r="W456" i="13"/>
  <c r="T453" i="13"/>
  <c r="V452" i="13"/>
  <c r="AA450" i="13"/>
  <c r="U448" i="13"/>
  <c r="W447" i="13"/>
  <c r="S444" i="13"/>
  <c r="V443" i="13"/>
  <c r="T439" i="13"/>
  <c r="W438" i="13"/>
  <c r="AA436" i="13"/>
  <c r="S435" i="13"/>
  <c r="U434" i="13"/>
  <c r="W424" i="13"/>
  <c r="V423" i="13"/>
  <c r="T422" i="13"/>
  <c r="U413" i="13"/>
  <c r="AA398" i="13"/>
  <c r="T392" i="13"/>
  <c r="AA364" i="13"/>
  <c r="S356" i="13"/>
  <c r="T302" i="13"/>
  <c r="U8" i="13"/>
  <c r="U16" i="13"/>
  <c r="U24" i="13"/>
  <c r="U32" i="13"/>
  <c r="U5" i="13"/>
  <c r="U13" i="13"/>
  <c r="U21" i="13"/>
  <c r="U29" i="13"/>
  <c r="U37" i="13"/>
  <c r="U45" i="13"/>
  <c r="U10" i="13"/>
  <c r="U18" i="13"/>
  <c r="U26" i="13"/>
  <c r="U34" i="13"/>
  <c r="U42" i="13"/>
  <c r="U50" i="13"/>
  <c r="U7" i="13"/>
  <c r="U15" i="13"/>
  <c r="U23" i="13"/>
  <c r="U31" i="13"/>
  <c r="U4" i="13"/>
  <c r="U12" i="13"/>
  <c r="U20" i="13"/>
  <c r="U28" i="13"/>
  <c r="U9" i="13"/>
  <c r="U17" i="13"/>
  <c r="U25" i="13"/>
  <c r="U33" i="13"/>
  <c r="U11" i="13"/>
  <c r="U44" i="13"/>
  <c r="U48" i="13"/>
  <c r="U56" i="13"/>
  <c r="U64" i="13"/>
  <c r="U72" i="13"/>
  <c r="U80" i="13"/>
  <c r="U14" i="13"/>
  <c r="U36" i="13"/>
  <c r="U49" i="13"/>
  <c r="U53" i="13"/>
  <c r="U61" i="13"/>
  <c r="U69" i="13"/>
  <c r="U77" i="13"/>
  <c r="U19" i="13"/>
  <c r="U40" i="13"/>
  <c r="U58" i="13"/>
  <c r="U66" i="13"/>
  <c r="U74" i="13"/>
  <c r="U82" i="13"/>
  <c r="U90" i="13"/>
  <c r="U98" i="13"/>
  <c r="U22" i="13"/>
  <c r="U35" i="13"/>
  <c r="U41" i="13"/>
  <c r="U55" i="13"/>
  <c r="U63" i="13"/>
  <c r="U71" i="13"/>
  <c r="U27" i="13"/>
  <c r="U46" i="13"/>
  <c r="U60" i="13"/>
  <c r="U30" i="13"/>
  <c r="U47" i="13"/>
  <c r="U51" i="13"/>
  <c r="U57" i="13"/>
  <c r="U65" i="13"/>
  <c r="U3" i="13"/>
  <c r="U52" i="13"/>
  <c r="U54" i="13"/>
  <c r="U62" i="13"/>
  <c r="U70" i="13"/>
  <c r="U78" i="13"/>
  <c r="U81" i="13"/>
  <c r="U92" i="13"/>
  <c r="U99" i="13"/>
  <c r="U110" i="13"/>
  <c r="U118" i="13"/>
  <c r="U126" i="13"/>
  <c r="U38" i="13"/>
  <c r="U85" i="13"/>
  <c r="U97" i="13"/>
  <c r="U107" i="13"/>
  <c r="U115" i="13"/>
  <c r="U123" i="13"/>
  <c r="U6" i="13"/>
  <c r="U39" i="13"/>
  <c r="U75" i="13"/>
  <c r="U95" i="13"/>
  <c r="U102" i="13"/>
  <c r="U104" i="13"/>
  <c r="U112" i="13"/>
  <c r="U120" i="13"/>
  <c r="U128" i="13"/>
  <c r="U136" i="13"/>
  <c r="U144" i="13"/>
  <c r="U152" i="13"/>
  <c r="U68" i="13"/>
  <c r="U88" i="13"/>
  <c r="U100" i="13"/>
  <c r="U109" i="13"/>
  <c r="U117" i="13"/>
  <c r="U73" i="13"/>
  <c r="U83" i="13"/>
  <c r="U86" i="13"/>
  <c r="U93" i="13"/>
  <c r="U106" i="13"/>
  <c r="U89" i="13"/>
  <c r="U96" i="13"/>
  <c r="U43" i="13"/>
  <c r="U67" i="13"/>
  <c r="U76" i="13"/>
  <c r="U79" i="13"/>
  <c r="U87" i="13"/>
  <c r="U94" i="13"/>
  <c r="U101" i="13"/>
  <c r="U105" i="13"/>
  <c r="U113" i="13"/>
  <c r="U119" i="13"/>
  <c r="U122" i="13"/>
  <c r="U135" i="13"/>
  <c r="U142" i="13"/>
  <c r="U154" i="13"/>
  <c r="U162" i="13"/>
  <c r="U91" i="13"/>
  <c r="U114" i="13"/>
  <c r="U121" i="13"/>
  <c r="U124" i="13"/>
  <c r="U125" i="13"/>
  <c r="U133" i="13"/>
  <c r="U140" i="13"/>
  <c r="U147" i="13"/>
  <c r="U138" i="13"/>
  <c r="U145" i="13"/>
  <c r="U103" i="13"/>
  <c r="U111" i="13"/>
  <c r="U131" i="13"/>
  <c r="U143" i="13"/>
  <c r="U150" i="13"/>
  <c r="U116" i="13"/>
  <c r="U129" i="13"/>
  <c r="U59" i="13"/>
  <c r="U132" i="13"/>
  <c r="U139" i="13"/>
  <c r="U151" i="13"/>
  <c r="U158" i="13"/>
  <c r="U160" i="13"/>
  <c r="U168" i="13"/>
  <c r="U84" i="13"/>
  <c r="U130" i="13"/>
  <c r="U137" i="13"/>
  <c r="U149" i="13"/>
  <c r="U156" i="13"/>
  <c r="U165" i="13"/>
  <c r="U146" i="13"/>
  <c r="U153" i="13"/>
  <c r="U169" i="13"/>
  <c r="U177" i="13"/>
  <c r="U185" i="13"/>
  <c r="U193" i="13"/>
  <c r="U201" i="13"/>
  <c r="U209" i="13"/>
  <c r="U217" i="13"/>
  <c r="U225" i="13"/>
  <c r="U233" i="13"/>
  <c r="U241" i="13"/>
  <c r="U249" i="13"/>
  <c r="U108" i="13"/>
  <c r="U127" i="13"/>
  <c r="U141" i="13"/>
  <c r="U166" i="13"/>
  <c r="U174" i="13"/>
  <c r="U182" i="13"/>
  <c r="U190" i="13"/>
  <c r="U198" i="13"/>
  <c r="U167" i="13"/>
  <c r="U171" i="13"/>
  <c r="U179" i="13"/>
  <c r="U187" i="13"/>
  <c r="U195" i="13"/>
  <c r="U134" i="13"/>
  <c r="U155" i="13"/>
  <c r="U176" i="13"/>
  <c r="U184" i="13"/>
  <c r="U192" i="13"/>
  <c r="U200" i="13"/>
  <c r="U208" i="13"/>
  <c r="U216" i="13"/>
  <c r="U224" i="13"/>
  <c r="U232" i="13"/>
  <c r="U240" i="13"/>
  <c r="U159" i="13"/>
  <c r="U173" i="13"/>
  <c r="U181" i="13"/>
  <c r="U189" i="13"/>
  <c r="U161" i="13"/>
  <c r="U164" i="13"/>
  <c r="U170" i="13"/>
  <c r="U178" i="13"/>
  <c r="U186" i="13"/>
  <c r="U197" i="13"/>
  <c r="U199" i="13"/>
  <c r="U204" i="13"/>
  <c r="U218" i="13"/>
  <c r="U227" i="13"/>
  <c r="U236" i="13"/>
  <c r="U248" i="13"/>
  <c r="U148" i="13"/>
  <c r="U163" i="13"/>
  <c r="U205" i="13"/>
  <c r="U214" i="13"/>
  <c r="U223" i="13"/>
  <c r="U237" i="13"/>
  <c r="U246" i="13"/>
  <c r="U253" i="13"/>
  <c r="U259" i="13"/>
  <c r="U267" i="13"/>
  <c r="U275" i="13"/>
  <c r="U283" i="13"/>
  <c r="U291" i="13"/>
  <c r="U299" i="13"/>
  <c r="U172" i="13"/>
  <c r="U210" i="13"/>
  <c r="U219" i="13"/>
  <c r="U228" i="13"/>
  <c r="U175" i="13"/>
  <c r="U196" i="13"/>
  <c r="U206" i="13"/>
  <c r="U215" i="13"/>
  <c r="U180" i="13"/>
  <c r="U202" i="13"/>
  <c r="U211" i="13"/>
  <c r="U220" i="13"/>
  <c r="U234" i="13"/>
  <c r="U157" i="13"/>
  <c r="U183" i="13"/>
  <c r="U194" i="13"/>
  <c r="U207" i="13"/>
  <c r="U221" i="13"/>
  <c r="U188" i="13"/>
  <c r="U203" i="13"/>
  <c r="U212" i="13"/>
  <c r="U226" i="13"/>
  <c r="U235" i="13"/>
  <c r="U244" i="13"/>
  <c r="U252" i="13"/>
  <c r="U260" i="13"/>
  <c r="U268" i="13"/>
  <c r="U276" i="13"/>
  <c r="U284" i="13"/>
  <c r="U191" i="13"/>
  <c r="U247" i="13"/>
  <c r="U258" i="13"/>
  <c r="U272" i="13"/>
  <c r="U281" i="13"/>
  <c r="U290" i="13"/>
  <c r="U298" i="13"/>
  <c r="U306" i="13"/>
  <c r="U314" i="13"/>
  <c r="U263" i="13"/>
  <c r="U277" i="13"/>
  <c r="U286" i="13"/>
  <c r="U296" i="13"/>
  <c r="U303" i="13"/>
  <c r="U222" i="13"/>
  <c r="U230" i="13"/>
  <c r="U245" i="13"/>
  <c r="U264" i="13"/>
  <c r="U273" i="13"/>
  <c r="U282" i="13"/>
  <c r="U301" i="13"/>
  <c r="U251" i="13"/>
  <c r="U269" i="13"/>
  <c r="U278" i="13"/>
  <c r="U287" i="13"/>
  <c r="U294" i="13"/>
  <c r="U305" i="13"/>
  <c r="U313" i="13"/>
  <c r="U321" i="13"/>
  <c r="U329" i="13"/>
  <c r="U337" i="13"/>
  <c r="U345" i="13"/>
  <c r="U254" i="13"/>
  <c r="U265" i="13"/>
  <c r="U274" i="13"/>
  <c r="U288" i="13"/>
  <c r="U292" i="13"/>
  <c r="U250" i="13"/>
  <c r="U255" i="13"/>
  <c r="U256" i="13"/>
  <c r="U261" i="13"/>
  <c r="U270" i="13"/>
  <c r="U279" i="13"/>
  <c r="U229" i="13"/>
  <c r="U231" i="13"/>
  <c r="U239" i="13"/>
  <c r="U243" i="13"/>
  <c r="U257" i="13"/>
  <c r="U266" i="13"/>
  <c r="U280" i="13"/>
  <c r="U289" i="13"/>
  <c r="U295" i="13"/>
  <c r="U302" i="13"/>
  <c r="U304" i="13"/>
  <c r="U312" i="13"/>
  <c r="U320" i="13"/>
  <c r="U328" i="13"/>
  <c r="U336" i="13"/>
  <c r="U344" i="13"/>
  <c r="U300" i="13"/>
  <c r="U307" i="13"/>
  <c r="U323" i="13"/>
  <c r="U332" i="13"/>
  <c r="U346" i="13"/>
  <c r="U359" i="13"/>
  <c r="U367" i="13"/>
  <c r="U375" i="13"/>
  <c r="U383" i="13"/>
  <c r="U391" i="13"/>
  <c r="U399" i="13"/>
  <c r="U407" i="13"/>
  <c r="U415" i="13"/>
  <c r="U423" i="13"/>
  <c r="U293" i="13"/>
  <c r="U319" i="13"/>
  <c r="U333" i="13"/>
  <c r="U342" i="13"/>
  <c r="U351" i="13"/>
  <c r="U356" i="13"/>
  <c r="U364" i="13"/>
  <c r="U324" i="13"/>
  <c r="U338" i="13"/>
  <c r="U347" i="13"/>
  <c r="U353" i="13"/>
  <c r="U262" i="13"/>
  <c r="U310" i="13"/>
  <c r="U311" i="13"/>
  <c r="U325" i="13"/>
  <c r="U334" i="13"/>
  <c r="U343" i="13"/>
  <c r="U358" i="13"/>
  <c r="U366" i="13"/>
  <c r="U374" i="13"/>
  <c r="U382" i="13"/>
  <c r="U390" i="13"/>
  <c r="U398" i="13"/>
  <c r="U406" i="13"/>
  <c r="U414" i="13"/>
  <c r="U238" i="13"/>
  <c r="U315" i="13"/>
  <c r="U316" i="13"/>
  <c r="U330" i="13"/>
  <c r="U339" i="13"/>
  <c r="U348" i="13"/>
  <c r="U213" i="13"/>
  <c r="U309" i="13"/>
  <c r="U317" i="13"/>
  <c r="U326" i="13"/>
  <c r="U335" i="13"/>
  <c r="U349" i="13"/>
  <c r="U352" i="13"/>
  <c r="U285" i="13"/>
  <c r="U378" i="13"/>
  <c r="U392" i="13"/>
  <c r="U401" i="13"/>
  <c r="U410" i="13"/>
  <c r="U422" i="13"/>
  <c r="U340" i="13"/>
  <c r="U355" i="13"/>
  <c r="U379" i="13"/>
  <c r="U388" i="13"/>
  <c r="U397" i="13"/>
  <c r="U411" i="13"/>
  <c r="U327" i="13"/>
  <c r="U350" i="13"/>
  <c r="U360" i="13"/>
  <c r="U361" i="13"/>
  <c r="U363" i="13"/>
  <c r="U384" i="13"/>
  <c r="U393" i="13"/>
  <c r="U402" i="13"/>
  <c r="U271" i="13"/>
  <c r="U331" i="13"/>
  <c r="U362" i="13"/>
  <c r="U365" i="13"/>
  <c r="U368" i="13"/>
  <c r="U369" i="13"/>
  <c r="U371" i="13"/>
  <c r="U380" i="13"/>
  <c r="U389" i="13"/>
  <c r="U403" i="13"/>
  <c r="U412" i="13"/>
  <c r="U418" i="13"/>
  <c r="U431" i="13"/>
  <c r="U439" i="13"/>
  <c r="U447" i="13"/>
  <c r="U455" i="13"/>
  <c r="U463" i="13"/>
  <c r="U242" i="13"/>
  <c r="U297" i="13"/>
  <c r="U318" i="13"/>
  <c r="U341" i="13"/>
  <c r="U370" i="13"/>
  <c r="U376" i="13"/>
  <c r="U385" i="13"/>
  <c r="U394" i="13"/>
  <c r="U408" i="13"/>
  <c r="U322" i="13"/>
  <c r="U372" i="13"/>
  <c r="U381" i="13"/>
  <c r="U395" i="13"/>
  <c r="U404" i="13"/>
  <c r="U354" i="13"/>
  <c r="U357" i="13"/>
  <c r="U377" i="13"/>
  <c r="U386" i="13"/>
  <c r="U400" i="13"/>
  <c r="U409" i="13"/>
  <c r="U419" i="13"/>
  <c r="U426" i="13"/>
  <c r="U430" i="13"/>
  <c r="U438" i="13"/>
  <c r="U446" i="13"/>
  <c r="U454" i="13"/>
  <c r="U462" i="13"/>
  <c r="U472" i="13"/>
  <c r="W470" i="13"/>
  <c r="T469" i="13"/>
  <c r="T466" i="13"/>
  <c r="W465" i="13"/>
  <c r="U461" i="13"/>
  <c r="T457" i="13"/>
  <c r="AA454" i="13"/>
  <c r="U452" i="13"/>
  <c r="W451" i="13"/>
  <c r="T448" i="13"/>
  <c r="V447" i="13"/>
  <c r="AA445" i="13"/>
  <c r="U443" i="13"/>
  <c r="W442" i="13"/>
  <c r="S439" i="13"/>
  <c r="V438" i="13"/>
  <c r="T434" i="13"/>
  <c r="W433" i="13"/>
  <c r="AA431" i="13"/>
  <c r="AA430" i="13"/>
  <c r="AA429" i="13"/>
  <c r="AA428" i="13"/>
  <c r="W425" i="13"/>
  <c r="U424" i="13"/>
  <c r="S423" i="13"/>
  <c r="W418" i="13"/>
  <c r="S415" i="13"/>
  <c r="W409" i="13"/>
  <c r="V391" i="13"/>
  <c r="W284" i="13"/>
  <c r="T5" i="13"/>
  <c r="T13" i="13"/>
  <c r="T21" i="13"/>
  <c r="T29" i="13"/>
  <c r="T37" i="13"/>
  <c r="T10" i="13"/>
  <c r="T18" i="13"/>
  <c r="T26" i="13"/>
  <c r="T34" i="13"/>
  <c r="T42" i="13"/>
  <c r="T50" i="13"/>
  <c r="T7" i="13"/>
  <c r="T15" i="13"/>
  <c r="T23" i="13"/>
  <c r="T31" i="13"/>
  <c r="T39" i="13"/>
  <c r="T47" i="13"/>
  <c r="T4" i="13"/>
  <c r="T12" i="13"/>
  <c r="T20" i="13"/>
  <c r="T28" i="13"/>
  <c r="T9" i="13"/>
  <c r="T17" i="13"/>
  <c r="T25" i="13"/>
  <c r="T6" i="13"/>
  <c r="T14" i="13"/>
  <c r="T22" i="13"/>
  <c r="T30" i="13"/>
  <c r="T16" i="13"/>
  <c r="T36" i="13"/>
  <c r="T49" i="13"/>
  <c r="T53" i="13"/>
  <c r="T61" i="13"/>
  <c r="T69" i="13"/>
  <c r="T77" i="13"/>
  <c r="T19" i="13"/>
  <c r="T40" i="13"/>
  <c r="T58" i="13"/>
  <c r="T66" i="13"/>
  <c r="T74" i="13"/>
  <c r="T24" i="13"/>
  <c r="T35" i="13"/>
  <c r="T41" i="13"/>
  <c r="T45" i="13"/>
  <c r="T55" i="13"/>
  <c r="T63" i="13"/>
  <c r="T71" i="13"/>
  <c r="T79" i="13"/>
  <c r="T87" i="13"/>
  <c r="T95" i="13"/>
  <c r="T103" i="13"/>
  <c r="T27" i="13"/>
  <c r="T46" i="13"/>
  <c r="T60" i="13"/>
  <c r="T68" i="13"/>
  <c r="T76" i="13"/>
  <c r="T32" i="13"/>
  <c r="T51" i="13"/>
  <c r="T57" i="13"/>
  <c r="T3" i="13"/>
  <c r="T52" i="13"/>
  <c r="T54" i="13"/>
  <c r="T62" i="13"/>
  <c r="T8" i="13"/>
  <c r="T38" i="13"/>
  <c r="T43" i="13"/>
  <c r="T59" i="13"/>
  <c r="T67" i="13"/>
  <c r="T44" i="13"/>
  <c r="T56" i="13"/>
  <c r="T80" i="13"/>
  <c r="T85" i="13"/>
  <c r="T97" i="13"/>
  <c r="T107" i="13"/>
  <c r="T115" i="13"/>
  <c r="T123" i="13"/>
  <c r="T75" i="13"/>
  <c r="T82" i="13"/>
  <c r="T90" i="13"/>
  <c r="T102" i="13"/>
  <c r="T104" i="13"/>
  <c r="T112" i="13"/>
  <c r="T120" i="13"/>
  <c r="T88" i="13"/>
  <c r="T100" i="13"/>
  <c r="T109" i="13"/>
  <c r="T117" i="13"/>
  <c r="T125" i="13"/>
  <c r="T133" i="13"/>
  <c r="T141" i="13"/>
  <c r="T149" i="13"/>
  <c r="T157" i="13"/>
  <c r="T73" i="13"/>
  <c r="T83" i="13"/>
  <c r="T86" i="13"/>
  <c r="T93" i="13"/>
  <c r="T106" i="13"/>
  <c r="T114" i="13"/>
  <c r="T11" i="13"/>
  <c r="T84" i="13"/>
  <c r="T91" i="13"/>
  <c r="T98" i="13"/>
  <c r="T94" i="13"/>
  <c r="T101" i="13"/>
  <c r="T65" i="13"/>
  <c r="T72" i="13"/>
  <c r="T78" i="13"/>
  <c r="T81" i="13"/>
  <c r="T92" i="13"/>
  <c r="T99" i="13"/>
  <c r="T110" i="13"/>
  <c r="T96" i="13"/>
  <c r="T118" i="13"/>
  <c r="T121" i="13"/>
  <c r="T124" i="13"/>
  <c r="T128" i="13"/>
  <c r="T140" i="13"/>
  <c r="T147" i="13"/>
  <c r="T159" i="13"/>
  <c r="T138" i="13"/>
  <c r="T145" i="13"/>
  <c r="T152" i="13"/>
  <c r="T33" i="13"/>
  <c r="T70" i="13"/>
  <c r="T105" i="13"/>
  <c r="T111" i="13"/>
  <c r="T131" i="13"/>
  <c r="T143" i="13"/>
  <c r="T116" i="13"/>
  <c r="T126" i="13"/>
  <c r="T129" i="13"/>
  <c r="T136" i="13"/>
  <c r="T148" i="13"/>
  <c r="T48" i="13"/>
  <c r="T108" i="13"/>
  <c r="T127" i="13"/>
  <c r="T134" i="13"/>
  <c r="T89" i="13"/>
  <c r="T130" i="13"/>
  <c r="T137" i="13"/>
  <c r="T144" i="13"/>
  <c r="T156" i="13"/>
  <c r="T165" i="13"/>
  <c r="T64" i="13"/>
  <c r="T119" i="13"/>
  <c r="T122" i="13"/>
  <c r="T135" i="13"/>
  <c r="T142" i="13"/>
  <c r="T154" i="13"/>
  <c r="T162" i="13"/>
  <c r="T132" i="13"/>
  <c r="T166" i="13"/>
  <c r="T174" i="13"/>
  <c r="T182" i="13"/>
  <c r="T190" i="13"/>
  <c r="T198" i="13"/>
  <c r="T206" i="13"/>
  <c r="T214" i="13"/>
  <c r="T222" i="13"/>
  <c r="T230" i="13"/>
  <c r="T238" i="13"/>
  <c r="T246" i="13"/>
  <c r="T254" i="13"/>
  <c r="T167" i="13"/>
  <c r="T171" i="13"/>
  <c r="T179" i="13"/>
  <c r="T187" i="13"/>
  <c r="T195" i="13"/>
  <c r="T155" i="13"/>
  <c r="T176" i="13"/>
  <c r="T184" i="13"/>
  <c r="T192" i="13"/>
  <c r="T173" i="13"/>
  <c r="T181" i="13"/>
  <c r="T189" i="13"/>
  <c r="T197" i="13"/>
  <c r="T205" i="13"/>
  <c r="T213" i="13"/>
  <c r="T221" i="13"/>
  <c r="T229" i="13"/>
  <c r="T237" i="13"/>
  <c r="T245" i="13"/>
  <c r="T113" i="13"/>
  <c r="T139" i="13"/>
  <c r="T151" i="13"/>
  <c r="T161" i="13"/>
  <c r="T164" i="13"/>
  <c r="T168" i="13"/>
  <c r="T170" i="13"/>
  <c r="T178" i="13"/>
  <c r="T186" i="13"/>
  <c r="T160" i="13"/>
  <c r="T163" i="13"/>
  <c r="T175" i="13"/>
  <c r="T183" i="13"/>
  <c r="T191" i="13"/>
  <c r="T146" i="13"/>
  <c r="T153" i="13"/>
  <c r="T169" i="13"/>
  <c r="T200" i="13"/>
  <c r="T209" i="13"/>
  <c r="T223" i="13"/>
  <c r="T232" i="13"/>
  <c r="T241" i="13"/>
  <c r="T172" i="13"/>
  <c r="T210" i="13"/>
  <c r="T219" i="13"/>
  <c r="T228" i="13"/>
  <c r="T242" i="13"/>
  <c r="T251" i="13"/>
  <c r="T264" i="13"/>
  <c r="T272" i="13"/>
  <c r="T280" i="13"/>
  <c r="T288" i="13"/>
  <c r="T296" i="13"/>
  <c r="T177" i="13"/>
  <c r="T196" i="13"/>
  <c r="T201" i="13"/>
  <c r="T215" i="13"/>
  <c r="T224" i="13"/>
  <c r="T233" i="13"/>
  <c r="T150" i="13"/>
  <c r="T180" i="13"/>
  <c r="T202" i="13"/>
  <c r="T211" i="13"/>
  <c r="T220" i="13"/>
  <c r="T185" i="13"/>
  <c r="T194" i="13"/>
  <c r="T207" i="13"/>
  <c r="T216" i="13"/>
  <c r="T225" i="13"/>
  <c r="T188" i="13"/>
  <c r="T203" i="13"/>
  <c r="T212" i="13"/>
  <c r="T226" i="13"/>
  <c r="T208" i="13"/>
  <c r="T217" i="13"/>
  <c r="T231" i="13"/>
  <c r="T240" i="13"/>
  <c r="T250" i="13"/>
  <c r="T257" i="13"/>
  <c r="T265" i="13"/>
  <c r="T273" i="13"/>
  <c r="T281" i="13"/>
  <c r="T289" i="13"/>
  <c r="T234" i="13"/>
  <c r="T236" i="13"/>
  <c r="T263" i="13"/>
  <c r="T277" i="13"/>
  <c r="T286" i="13"/>
  <c r="T303" i="13"/>
  <c r="T311" i="13"/>
  <c r="T193" i="13"/>
  <c r="T227" i="13"/>
  <c r="T259" i="13"/>
  <c r="T268" i="13"/>
  <c r="T282" i="13"/>
  <c r="T291" i="13"/>
  <c r="T301" i="13"/>
  <c r="T308" i="13"/>
  <c r="T269" i="13"/>
  <c r="T278" i="13"/>
  <c r="T287" i="13"/>
  <c r="T294" i="13"/>
  <c r="T305" i="13"/>
  <c r="T252" i="13"/>
  <c r="T253" i="13"/>
  <c r="T260" i="13"/>
  <c r="T274" i="13"/>
  <c r="T283" i="13"/>
  <c r="T292" i="13"/>
  <c r="T299" i="13"/>
  <c r="T310" i="13"/>
  <c r="T318" i="13"/>
  <c r="T326" i="13"/>
  <c r="T334" i="13"/>
  <c r="T342" i="13"/>
  <c r="T350" i="13"/>
  <c r="T158" i="13"/>
  <c r="T204" i="13"/>
  <c r="T235" i="13"/>
  <c r="T244" i="13"/>
  <c r="T255" i="13"/>
  <c r="T256" i="13"/>
  <c r="T261" i="13"/>
  <c r="T270" i="13"/>
  <c r="T279" i="13"/>
  <c r="T297" i="13"/>
  <c r="T218" i="13"/>
  <c r="T239" i="13"/>
  <c r="T243" i="13"/>
  <c r="T249" i="13"/>
  <c r="T266" i="13"/>
  <c r="T275" i="13"/>
  <c r="T284" i="13"/>
  <c r="T295" i="13"/>
  <c r="T199" i="13"/>
  <c r="T248" i="13"/>
  <c r="T262" i="13"/>
  <c r="T271" i="13"/>
  <c r="T285" i="13"/>
  <c r="T293" i="13"/>
  <c r="T300" i="13"/>
  <c r="T309" i="13"/>
  <c r="T317" i="13"/>
  <c r="T325" i="13"/>
  <c r="T333" i="13"/>
  <c r="T341" i="13"/>
  <c r="T349" i="13"/>
  <c r="T319" i="13"/>
  <c r="T328" i="13"/>
  <c r="T337" i="13"/>
  <c r="T351" i="13"/>
  <c r="T356" i="13"/>
  <c r="T364" i="13"/>
  <c r="T372" i="13"/>
  <c r="T380" i="13"/>
  <c r="T388" i="13"/>
  <c r="T396" i="13"/>
  <c r="T404" i="13"/>
  <c r="T412" i="13"/>
  <c r="T420" i="13"/>
  <c r="T428" i="13"/>
  <c r="T267" i="13"/>
  <c r="T306" i="13"/>
  <c r="T324" i="13"/>
  <c r="T338" i="13"/>
  <c r="T347" i="13"/>
  <c r="T353" i="13"/>
  <c r="T361" i="13"/>
  <c r="T369" i="13"/>
  <c r="T298" i="13"/>
  <c r="T320" i="13"/>
  <c r="T329" i="13"/>
  <c r="T343" i="13"/>
  <c r="T358" i="13"/>
  <c r="T247" i="13"/>
  <c r="T312" i="13"/>
  <c r="T313" i="13"/>
  <c r="T314" i="13"/>
  <c r="T315" i="13"/>
  <c r="T316" i="13"/>
  <c r="T330" i="13"/>
  <c r="T339" i="13"/>
  <c r="T348" i="13"/>
  <c r="T355" i="13"/>
  <c r="T363" i="13"/>
  <c r="T371" i="13"/>
  <c r="T379" i="13"/>
  <c r="T387" i="13"/>
  <c r="T395" i="13"/>
  <c r="T403" i="13"/>
  <c r="T411" i="13"/>
  <c r="T276" i="13"/>
  <c r="T321" i="13"/>
  <c r="T335" i="13"/>
  <c r="T344" i="13"/>
  <c r="T352" i="13"/>
  <c r="T290" i="13"/>
  <c r="T322" i="13"/>
  <c r="T331" i="13"/>
  <c r="T340" i="13"/>
  <c r="T323" i="13"/>
  <c r="T346" i="13"/>
  <c r="T374" i="13"/>
  <c r="T383" i="13"/>
  <c r="T397" i="13"/>
  <c r="T406" i="13"/>
  <c r="T415" i="13"/>
  <c r="T427" i="13"/>
  <c r="T429" i="13"/>
  <c r="T327" i="13"/>
  <c r="T360" i="13"/>
  <c r="T384" i="13"/>
  <c r="T393" i="13"/>
  <c r="T402" i="13"/>
  <c r="T304" i="13"/>
  <c r="T362" i="13"/>
  <c r="T365" i="13"/>
  <c r="T366" i="13"/>
  <c r="T368" i="13"/>
  <c r="T375" i="13"/>
  <c r="T389" i="13"/>
  <c r="T398" i="13"/>
  <c r="T407" i="13"/>
  <c r="T359" i="13"/>
  <c r="T367" i="13"/>
  <c r="T370" i="13"/>
  <c r="T376" i="13"/>
  <c r="T385" i="13"/>
  <c r="T394" i="13"/>
  <c r="T408" i="13"/>
  <c r="T416" i="13"/>
  <c r="T423" i="13"/>
  <c r="T436" i="13"/>
  <c r="T444" i="13"/>
  <c r="T452" i="13"/>
  <c r="T460" i="13"/>
  <c r="T468" i="13"/>
  <c r="T381" i="13"/>
  <c r="T390" i="13"/>
  <c r="T399" i="13"/>
  <c r="T413" i="13"/>
  <c r="T345" i="13"/>
  <c r="T354" i="13"/>
  <c r="T357" i="13"/>
  <c r="T377" i="13"/>
  <c r="T386" i="13"/>
  <c r="T400" i="13"/>
  <c r="T307" i="13"/>
  <c r="T332" i="13"/>
  <c r="T373" i="13"/>
  <c r="T382" i="13"/>
  <c r="T391" i="13"/>
  <c r="T405" i="13"/>
  <c r="T414" i="13"/>
  <c r="T417" i="13"/>
  <c r="T424" i="13"/>
  <c r="T435" i="13"/>
  <c r="T443" i="13"/>
  <c r="T451" i="13"/>
  <c r="T459" i="13"/>
  <c r="T467" i="13"/>
  <c r="U475" i="13"/>
  <c r="W473" i="13"/>
  <c r="T472" i="13"/>
  <c r="U465" i="13"/>
  <c r="W464" i="13"/>
  <c r="T461" i="13"/>
  <c r="AA458" i="13"/>
  <c r="U456" i="13"/>
  <c r="W455" i="13"/>
  <c r="S452" i="13"/>
  <c r="V451" i="13"/>
  <c r="T447" i="13"/>
  <c r="W446" i="13"/>
  <c r="AA444" i="13"/>
  <c r="S443" i="13"/>
  <c r="U442" i="13"/>
  <c r="T438" i="13"/>
  <c r="V437" i="13"/>
  <c r="AA435" i="13"/>
  <c r="S434" i="13"/>
  <c r="U433" i="13"/>
  <c r="W432" i="13"/>
  <c r="W426" i="13"/>
  <c r="U425" i="13"/>
  <c r="S424" i="13"/>
  <c r="AA420" i="13"/>
  <c r="T418" i="13"/>
  <c r="T409" i="13"/>
  <c r="W377" i="13"/>
  <c r="V352" i="13"/>
  <c r="V326" i="13"/>
  <c r="T258" i="13"/>
  <c r="AA10" i="13"/>
  <c r="AA18" i="13"/>
  <c r="AA26" i="13"/>
  <c r="AA34" i="13"/>
  <c r="AA7" i="13"/>
  <c r="AA15" i="13"/>
  <c r="AA23" i="13"/>
  <c r="AA31" i="13"/>
  <c r="AA39" i="13"/>
  <c r="AA47" i="13"/>
  <c r="AA4" i="13"/>
  <c r="AA12" i="13"/>
  <c r="AA20" i="13"/>
  <c r="AA28" i="13"/>
  <c r="AA36" i="13"/>
  <c r="AA44" i="13"/>
  <c r="AA52" i="13"/>
  <c r="AA9" i="13"/>
  <c r="AA17" i="13"/>
  <c r="AA25" i="13"/>
  <c r="AA33" i="13"/>
  <c r="AA6" i="13"/>
  <c r="AA14" i="13"/>
  <c r="AA22" i="13"/>
  <c r="AA30" i="13"/>
  <c r="AA3" i="13"/>
  <c r="AA11" i="13"/>
  <c r="AA19" i="13"/>
  <c r="AA27" i="13"/>
  <c r="AA35" i="13"/>
  <c r="AA13" i="13"/>
  <c r="AA46" i="13"/>
  <c r="AA50" i="13"/>
  <c r="AA58" i="13"/>
  <c r="AA66" i="13"/>
  <c r="AA74" i="13"/>
  <c r="AA82" i="13"/>
  <c r="AA16" i="13"/>
  <c r="AA51" i="13"/>
  <c r="AA55" i="13"/>
  <c r="AA63" i="13"/>
  <c r="AA71" i="13"/>
  <c r="AA79" i="13"/>
  <c r="AA21" i="13"/>
  <c r="AA38" i="13"/>
  <c r="AA42" i="13"/>
  <c r="AA60" i="13"/>
  <c r="AA68" i="13"/>
  <c r="AA76" i="13"/>
  <c r="AA84" i="13"/>
  <c r="AA92" i="13"/>
  <c r="AA100" i="13"/>
  <c r="AA24" i="13"/>
  <c r="AA37" i="13"/>
  <c r="AA43" i="13"/>
  <c r="AA57" i="13"/>
  <c r="AA65" i="13"/>
  <c r="AA73" i="13"/>
  <c r="AA29" i="13"/>
  <c r="AA48" i="13"/>
  <c r="AA54" i="13"/>
  <c r="AA62" i="13"/>
  <c r="AA32" i="13"/>
  <c r="AA49" i="13"/>
  <c r="AA59" i="13"/>
  <c r="AA5" i="13"/>
  <c r="AA40" i="13"/>
  <c r="AA56" i="13"/>
  <c r="AA64" i="13"/>
  <c r="AA72" i="13"/>
  <c r="AA83" i="13"/>
  <c r="AA88" i="13"/>
  <c r="AA95" i="13"/>
  <c r="AA104" i="13"/>
  <c r="AA112" i="13"/>
  <c r="AA120" i="13"/>
  <c r="AA61" i="13"/>
  <c r="AA67" i="13"/>
  <c r="AA86" i="13"/>
  <c r="AA93" i="13"/>
  <c r="AA109" i="13"/>
  <c r="AA117" i="13"/>
  <c r="AA45" i="13"/>
  <c r="AA91" i="13"/>
  <c r="AA98" i="13"/>
  <c r="AA106" i="13"/>
  <c r="AA114" i="13"/>
  <c r="AA122" i="13"/>
  <c r="AA130" i="13"/>
  <c r="AA138" i="13"/>
  <c r="AA146" i="13"/>
  <c r="AA154" i="13"/>
  <c r="AA8" i="13"/>
  <c r="AA69" i="13"/>
  <c r="AA78" i="13"/>
  <c r="AA89" i="13"/>
  <c r="AA96" i="13"/>
  <c r="AA103" i="13"/>
  <c r="AA111" i="13"/>
  <c r="AA53" i="13"/>
  <c r="AA75" i="13"/>
  <c r="AA77" i="13"/>
  <c r="AA80" i="13"/>
  <c r="AA81" i="13"/>
  <c r="AA94" i="13"/>
  <c r="AA101" i="13"/>
  <c r="AA85" i="13"/>
  <c r="AA97" i="13"/>
  <c r="AA70" i="13"/>
  <c r="AA90" i="13"/>
  <c r="AA102" i="13"/>
  <c r="AA107" i="13"/>
  <c r="AA115" i="13"/>
  <c r="AA126" i="13"/>
  <c r="AA131" i="13"/>
  <c r="AA143" i="13"/>
  <c r="AA150" i="13"/>
  <c r="AA157" i="13"/>
  <c r="AA110" i="13"/>
  <c r="AA129" i="13"/>
  <c r="AA136" i="13"/>
  <c r="AA148" i="13"/>
  <c r="AA155" i="13"/>
  <c r="AA127" i="13"/>
  <c r="AA134" i="13"/>
  <c r="AA141" i="13"/>
  <c r="AA41" i="13"/>
  <c r="AA105" i="13"/>
  <c r="AA119" i="13"/>
  <c r="AA132" i="13"/>
  <c r="AA139" i="13"/>
  <c r="AA87" i="13"/>
  <c r="AA118" i="13"/>
  <c r="AA121" i="13"/>
  <c r="AA124" i="13"/>
  <c r="AA137" i="13"/>
  <c r="AA108" i="13"/>
  <c r="AA125" i="13"/>
  <c r="AA128" i="13"/>
  <c r="AA140" i="13"/>
  <c r="AA147" i="13"/>
  <c r="AA162" i="13"/>
  <c r="AA113" i="13"/>
  <c r="AA133" i="13"/>
  <c r="AA145" i="13"/>
  <c r="AA152" i="13"/>
  <c r="AA159" i="13"/>
  <c r="AA167" i="13"/>
  <c r="AA161" i="13"/>
  <c r="AA171" i="13"/>
  <c r="AA179" i="13"/>
  <c r="AA187" i="13"/>
  <c r="AA195" i="13"/>
  <c r="AA203" i="13"/>
  <c r="AA211" i="13"/>
  <c r="AA219" i="13"/>
  <c r="AA227" i="13"/>
  <c r="AA235" i="13"/>
  <c r="AA243" i="13"/>
  <c r="AA251" i="13"/>
  <c r="AA153" i="13"/>
  <c r="AA158" i="13"/>
  <c r="AA160" i="13"/>
  <c r="AA163" i="13"/>
  <c r="AA164" i="13"/>
  <c r="AA168" i="13"/>
  <c r="AA176" i="13"/>
  <c r="AA184" i="13"/>
  <c r="AA192" i="13"/>
  <c r="AA173" i="13"/>
  <c r="AA181" i="13"/>
  <c r="AA189" i="13"/>
  <c r="AA197" i="13"/>
  <c r="AA144" i="13"/>
  <c r="AA156" i="13"/>
  <c r="AA170" i="13"/>
  <c r="AA178" i="13"/>
  <c r="AA186" i="13"/>
  <c r="AA194" i="13"/>
  <c r="AA202" i="13"/>
  <c r="AA210" i="13"/>
  <c r="AA218" i="13"/>
  <c r="AA226" i="13"/>
  <c r="AA234" i="13"/>
  <c r="AA242" i="13"/>
  <c r="AA165" i="13"/>
  <c r="AA175" i="13"/>
  <c r="AA183" i="13"/>
  <c r="AA191" i="13"/>
  <c r="AA123" i="13"/>
  <c r="AA135" i="13"/>
  <c r="AA149" i="13"/>
  <c r="AA166" i="13"/>
  <c r="AA172" i="13"/>
  <c r="AA180" i="13"/>
  <c r="AA188" i="13"/>
  <c r="AA206" i="13"/>
  <c r="AA220" i="13"/>
  <c r="AA229" i="13"/>
  <c r="AA238" i="13"/>
  <c r="AA99" i="13"/>
  <c r="AA169" i="13"/>
  <c r="AA207" i="13"/>
  <c r="AA216" i="13"/>
  <c r="AA225" i="13"/>
  <c r="AA239" i="13"/>
  <c r="AA249" i="13"/>
  <c r="AA261" i="13"/>
  <c r="AA269" i="13"/>
  <c r="AA277" i="13"/>
  <c r="AA285" i="13"/>
  <c r="AA293" i="13"/>
  <c r="AA301" i="13"/>
  <c r="AA174" i="13"/>
  <c r="AA193" i="13"/>
  <c r="AA212" i="13"/>
  <c r="AA221" i="13"/>
  <c r="AA230" i="13"/>
  <c r="AA116" i="13"/>
  <c r="AA177" i="13"/>
  <c r="AA199" i="13"/>
  <c r="AA208" i="13"/>
  <c r="AA217" i="13"/>
  <c r="AA182" i="13"/>
  <c r="AA198" i="13"/>
  <c r="AA204" i="13"/>
  <c r="AA213" i="13"/>
  <c r="AA222" i="13"/>
  <c r="AA236" i="13"/>
  <c r="AA142" i="13"/>
  <c r="AA151" i="13"/>
  <c r="AA185" i="13"/>
  <c r="AA196" i="13"/>
  <c r="AA200" i="13"/>
  <c r="AA209" i="13"/>
  <c r="AA223" i="13"/>
  <c r="AA190" i="13"/>
  <c r="AA205" i="13"/>
  <c r="AA214" i="13"/>
  <c r="AA228" i="13"/>
  <c r="AA237" i="13"/>
  <c r="AA253" i="13"/>
  <c r="AA262" i="13"/>
  <c r="AA270" i="13"/>
  <c r="AA278" i="13"/>
  <c r="AA286" i="13"/>
  <c r="AA250" i="13"/>
  <c r="AA254" i="13"/>
  <c r="AA260" i="13"/>
  <c r="AA274" i="13"/>
  <c r="AA283" i="13"/>
  <c r="AA294" i="13"/>
  <c r="AA308" i="13"/>
  <c r="AA201" i="13"/>
  <c r="AA255" i="13"/>
  <c r="AA256" i="13"/>
  <c r="AA265" i="13"/>
  <c r="AA279" i="13"/>
  <c r="AA288" i="13"/>
  <c r="AA292" i="13"/>
  <c r="AA299" i="13"/>
  <c r="AA305" i="13"/>
  <c r="AA215" i="13"/>
  <c r="AA247" i="13"/>
  <c r="AA248" i="13"/>
  <c r="AA266" i="13"/>
  <c r="AA275" i="13"/>
  <c r="AA284" i="13"/>
  <c r="AA297" i="13"/>
  <c r="AA232" i="13"/>
  <c r="AA257" i="13"/>
  <c r="AA271" i="13"/>
  <c r="AA280" i="13"/>
  <c r="AA289" i="13"/>
  <c r="AA295" i="13"/>
  <c r="AA302" i="13"/>
  <c r="AA307" i="13"/>
  <c r="AA315" i="13"/>
  <c r="AA323" i="13"/>
  <c r="AA331" i="13"/>
  <c r="AA339" i="13"/>
  <c r="AA347" i="13"/>
  <c r="AA246" i="13"/>
  <c r="AA258" i="13"/>
  <c r="AA267" i="13"/>
  <c r="AA276" i="13"/>
  <c r="AA290" i="13"/>
  <c r="AA300" i="13"/>
  <c r="AA224" i="13"/>
  <c r="AA241" i="13"/>
  <c r="AA245" i="13"/>
  <c r="AA263" i="13"/>
  <c r="AA272" i="13"/>
  <c r="AA281" i="13"/>
  <c r="AA240" i="13"/>
  <c r="AA244" i="13"/>
  <c r="AA259" i="13"/>
  <c r="AA268" i="13"/>
  <c r="AA282" i="13"/>
  <c r="AA291" i="13"/>
  <c r="AA306" i="13"/>
  <c r="AA314" i="13"/>
  <c r="AA322" i="13"/>
  <c r="AA330" i="13"/>
  <c r="AA338" i="13"/>
  <c r="AA346" i="13"/>
  <c r="AA252" i="13"/>
  <c r="AA309" i="13"/>
  <c r="AA316" i="13"/>
  <c r="AA325" i="13"/>
  <c r="AA334" i="13"/>
  <c r="AA348" i="13"/>
  <c r="AA353" i="13"/>
  <c r="AA361" i="13"/>
  <c r="AA369" i="13"/>
  <c r="AA377" i="13"/>
  <c r="AA385" i="13"/>
  <c r="AA393" i="13"/>
  <c r="AA401" i="13"/>
  <c r="AA409" i="13"/>
  <c r="AA417" i="13"/>
  <c r="AA425" i="13"/>
  <c r="AA231" i="13"/>
  <c r="AA273" i="13"/>
  <c r="AA304" i="13"/>
  <c r="AA321" i="13"/>
  <c r="AA335" i="13"/>
  <c r="AA344" i="13"/>
  <c r="AA358" i="13"/>
  <c r="AA366" i="13"/>
  <c r="AA233" i="13"/>
  <c r="AA287" i="13"/>
  <c r="AA317" i="13"/>
  <c r="AA326" i="13"/>
  <c r="AA340" i="13"/>
  <c r="AA349" i="13"/>
  <c r="AA355" i="13"/>
  <c r="AA298" i="13"/>
  <c r="AA327" i="13"/>
  <c r="AA336" i="13"/>
  <c r="AA345" i="13"/>
  <c r="AA352" i="13"/>
  <c r="AA360" i="13"/>
  <c r="AA368" i="13"/>
  <c r="AA376" i="13"/>
  <c r="AA384" i="13"/>
  <c r="AA392" i="13"/>
  <c r="AA400" i="13"/>
  <c r="AA408" i="13"/>
  <c r="AA318" i="13"/>
  <c r="AA332" i="13"/>
  <c r="AA341" i="13"/>
  <c r="AA350" i="13"/>
  <c r="AA303" i="13"/>
  <c r="AA319" i="13"/>
  <c r="AA328" i="13"/>
  <c r="AA337" i="13"/>
  <c r="AA354" i="13"/>
  <c r="AA312" i="13"/>
  <c r="AA329" i="13"/>
  <c r="AA357" i="13"/>
  <c r="AA371" i="13"/>
  <c r="AA380" i="13"/>
  <c r="AA394" i="13"/>
  <c r="AA403" i="13"/>
  <c r="AA412" i="13"/>
  <c r="AA418" i="13"/>
  <c r="AA264" i="13"/>
  <c r="AA333" i="13"/>
  <c r="AA381" i="13"/>
  <c r="AA390" i="13"/>
  <c r="AA399" i="13"/>
  <c r="AA413" i="13"/>
  <c r="AA416" i="13"/>
  <c r="AA313" i="13"/>
  <c r="AA320" i="13"/>
  <c r="AA343" i="13"/>
  <c r="AA372" i="13"/>
  <c r="AA386" i="13"/>
  <c r="AA395" i="13"/>
  <c r="AA404" i="13"/>
  <c r="AA296" i="13"/>
  <c r="AA324" i="13"/>
  <c r="AA356" i="13"/>
  <c r="AA373" i="13"/>
  <c r="AA382" i="13"/>
  <c r="AA391" i="13"/>
  <c r="AA405" i="13"/>
  <c r="AA414" i="13"/>
  <c r="AA419" i="13"/>
  <c r="AA426" i="13"/>
  <c r="AA433" i="13"/>
  <c r="AA441" i="13"/>
  <c r="AA449" i="13"/>
  <c r="AA457" i="13"/>
  <c r="AA465" i="13"/>
  <c r="AA310" i="13"/>
  <c r="AA378" i="13"/>
  <c r="AA387" i="13"/>
  <c r="AA396" i="13"/>
  <c r="AA410" i="13"/>
  <c r="AA351" i="13"/>
  <c r="AA374" i="13"/>
  <c r="AA383" i="13"/>
  <c r="AA397" i="13"/>
  <c r="AA406" i="13"/>
  <c r="AA311" i="13"/>
  <c r="AA359" i="13"/>
  <c r="AA362" i="13"/>
  <c r="AA363" i="13"/>
  <c r="AA365" i="13"/>
  <c r="AA379" i="13"/>
  <c r="AA388" i="13"/>
  <c r="AA402" i="13"/>
  <c r="AA411" i="13"/>
  <c r="AA415" i="13"/>
  <c r="AA427" i="13"/>
  <c r="AA432" i="13"/>
  <c r="AA440" i="13"/>
  <c r="AA448" i="13"/>
  <c r="AA456" i="13"/>
  <c r="AA464" i="13"/>
  <c r="S10" i="13"/>
  <c r="S18" i="13"/>
  <c r="S26" i="13"/>
  <c r="S34" i="13"/>
  <c r="S7" i="13"/>
  <c r="S15" i="13"/>
  <c r="S23" i="13"/>
  <c r="S31" i="13"/>
  <c r="S39" i="13"/>
  <c r="S47" i="13"/>
  <c r="S4" i="13"/>
  <c r="S12" i="13"/>
  <c r="S20" i="13"/>
  <c r="S28" i="13"/>
  <c r="S36" i="13"/>
  <c r="S44" i="13"/>
  <c r="S52" i="13"/>
  <c r="S9" i="13"/>
  <c r="S17" i="13"/>
  <c r="S25" i="13"/>
  <c r="S33" i="13"/>
  <c r="S6" i="13"/>
  <c r="S14" i="13"/>
  <c r="S22" i="13"/>
  <c r="S30" i="13"/>
  <c r="S3" i="13"/>
  <c r="S11" i="13"/>
  <c r="S19" i="13"/>
  <c r="S27" i="13"/>
  <c r="S35" i="13"/>
  <c r="S21" i="13"/>
  <c r="S40" i="13"/>
  <c r="S58" i="13"/>
  <c r="S66" i="13"/>
  <c r="S74" i="13"/>
  <c r="S82" i="13"/>
  <c r="S24" i="13"/>
  <c r="S41" i="13"/>
  <c r="S45" i="13"/>
  <c r="S55" i="13"/>
  <c r="S63" i="13"/>
  <c r="S71" i="13"/>
  <c r="S79" i="13"/>
  <c r="S29" i="13"/>
  <c r="S46" i="13"/>
  <c r="S50" i="13"/>
  <c r="S60" i="13"/>
  <c r="S68" i="13"/>
  <c r="S76" i="13"/>
  <c r="S84" i="13"/>
  <c r="S92" i="13"/>
  <c r="S100" i="13"/>
  <c r="S32" i="13"/>
  <c r="S51" i="13"/>
  <c r="S57" i="13"/>
  <c r="S65" i="13"/>
  <c r="S73" i="13"/>
  <c r="S5" i="13"/>
  <c r="S42" i="13"/>
  <c r="S54" i="13"/>
  <c r="S62" i="13"/>
  <c r="S8" i="13"/>
  <c r="S38" i="13"/>
  <c r="S43" i="13"/>
  <c r="S59" i="13"/>
  <c r="S13" i="13"/>
  <c r="S48" i="13"/>
  <c r="S56" i="13"/>
  <c r="S64" i="13"/>
  <c r="S72" i="13"/>
  <c r="S37" i="13"/>
  <c r="S61" i="13"/>
  <c r="S69" i="13"/>
  <c r="S75" i="13"/>
  <c r="S90" i="13"/>
  <c r="S102" i="13"/>
  <c r="S104" i="13"/>
  <c r="S112" i="13"/>
  <c r="S120" i="13"/>
  <c r="S88" i="13"/>
  <c r="S95" i="13"/>
  <c r="S109" i="13"/>
  <c r="S117" i="13"/>
  <c r="S83" i="13"/>
  <c r="S86" i="13"/>
  <c r="S93" i="13"/>
  <c r="S106" i="13"/>
  <c r="S114" i="13"/>
  <c r="S122" i="13"/>
  <c r="S130" i="13"/>
  <c r="S138" i="13"/>
  <c r="S146" i="13"/>
  <c r="S154" i="13"/>
  <c r="S53" i="13"/>
  <c r="S91" i="13"/>
  <c r="S98" i="13"/>
  <c r="S111" i="13"/>
  <c r="S70" i="13"/>
  <c r="S89" i="13"/>
  <c r="S96" i="13"/>
  <c r="S103" i="13"/>
  <c r="S16" i="13"/>
  <c r="S49" i="13"/>
  <c r="S67" i="13"/>
  <c r="S78" i="13"/>
  <c r="S81" i="13"/>
  <c r="S87" i="13"/>
  <c r="S99" i="13"/>
  <c r="S77" i="13"/>
  <c r="S80" i="13"/>
  <c r="S85" i="13"/>
  <c r="S97" i="13"/>
  <c r="S107" i="13"/>
  <c r="S115" i="13"/>
  <c r="S123" i="13"/>
  <c r="S125" i="13"/>
  <c r="S133" i="13"/>
  <c r="S145" i="13"/>
  <c r="S152" i="13"/>
  <c r="S164" i="13"/>
  <c r="S105" i="13"/>
  <c r="S131" i="13"/>
  <c r="S143" i="13"/>
  <c r="S150" i="13"/>
  <c r="S116" i="13"/>
  <c r="S126" i="13"/>
  <c r="S129" i="13"/>
  <c r="S136" i="13"/>
  <c r="S108" i="13"/>
  <c r="S127" i="13"/>
  <c r="S134" i="13"/>
  <c r="S141" i="13"/>
  <c r="S113" i="13"/>
  <c r="S132" i="13"/>
  <c r="S110" i="13"/>
  <c r="S119" i="13"/>
  <c r="S135" i="13"/>
  <c r="S142" i="13"/>
  <c r="S149" i="13"/>
  <c r="S162" i="13"/>
  <c r="S101" i="13"/>
  <c r="S118" i="13"/>
  <c r="S121" i="13"/>
  <c r="S124" i="13"/>
  <c r="S128" i="13"/>
  <c r="S140" i="13"/>
  <c r="S147" i="13"/>
  <c r="S159" i="13"/>
  <c r="S167" i="13"/>
  <c r="S156" i="13"/>
  <c r="S171" i="13"/>
  <c r="S179" i="13"/>
  <c r="S187" i="13"/>
  <c r="S195" i="13"/>
  <c r="S203" i="13"/>
  <c r="S211" i="13"/>
  <c r="S219" i="13"/>
  <c r="S227" i="13"/>
  <c r="S235" i="13"/>
  <c r="S243" i="13"/>
  <c r="S251" i="13"/>
  <c r="S155" i="13"/>
  <c r="S176" i="13"/>
  <c r="S184" i="13"/>
  <c r="S192" i="13"/>
  <c r="S144" i="13"/>
  <c r="S173" i="13"/>
  <c r="S181" i="13"/>
  <c r="S189" i="13"/>
  <c r="S197" i="13"/>
  <c r="S139" i="13"/>
  <c r="S151" i="13"/>
  <c r="S161" i="13"/>
  <c r="S168" i="13"/>
  <c r="S170" i="13"/>
  <c r="S178" i="13"/>
  <c r="S186" i="13"/>
  <c r="S194" i="13"/>
  <c r="S202" i="13"/>
  <c r="S210" i="13"/>
  <c r="S218" i="13"/>
  <c r="S226" i="13"/>
  <c r="S234" i="13"/>
  <c r="S242" i="13"/>
  <c r="S160" i="13"/>
  <c r="S163" i="13"/>
  <c r="S175" i="13"/>
  <c r="S183" i="13"/>
  <c r="S191" i="13"/>
  <c r="S94" i="13"/>
  <c r="S148" i="13"/>
  <c r="S157" i="13"/>
  <c r="S158" i="13"/>
  <c r="S172" i="13"/>
  <c r="S180" i="13"/>
  <c r="S188" i="13"/>
  <c r="S166" i="13"/>
  <c r="S174" i="13"/>
  <c r="S205" i="13"/>
  <c r="S214" i="13"/>
  <c r="S228" i="13"/>
  <c r="S237" i="13"/>
  <c r="S246" i="13"/>
  <c r="S177" i="13"/>
  <c r="S196" i="13"/>
  <c r="S201" i="13"/>
  <c r="S215" i="13"/>
  <c r="S224" i="13"/>
  <c r="S233" i="13"/>
  <c r="S256" i="13"/>
  <c r="S261" i="13"/>
  <c r="S269" i="13"/>
  <c r="S277" i="13"/>
  <c r="S285" i="13"/>
  <c r="S293" i="13"/>
  <c r="S301" i="13"/>
  <c r="S137" i="13"/>
  <c r="S182" i="13"/>
  <c r="S206" i="13"/>
  <c r="S220" i="13"/>
  <c r="S229" i="13"/>
  <c r="S238" i="13"/>
  <c r="S185" i="13"/>
  <c r="S207" i="13"/>
  <c r="S216" i="13"/>
  <c r="S225" i="13"/>
  <c r="S190" i="13"/>
  <c r="S212" i="13"/>
  <c r="S221" i="13"/>
  <c r="S230" i="13"/>
  <c r="S165" i="13"/>
  <c r="S208" i="13"/>
  <c r="S217" i="13"/>
  <c r="S193" i="13"/>
  <c r="S199" i="13"/>
  <c r="S204" i="13"/>
  <c r="S213" i="13"/>
  <c r="S222" i="13"/>
  <c r="S236" i="13"/>
  <c r="S245" i="13"/>
  <c r="S248" i="13"/>
  <c r="S255" i="13"/>
  <c r="S262" i="13"/>
  <c r="S270" i="13"/>
  <c r="S278" i="13"/>
  <c r="S286" i="13"/>
  <c r="S259" i="13"/>
  <c r="S268" i="13"/>
  <c r="S282" i="13"/>
  <c r="S291" i="13"/>
  <c r="S296" i="13"/>
  <c r="S308" i="13"/>
  <c r="S316" i="13"/>
  <c r="S232" i="13"/>
  <c r="S241" i="13"/>
  <c r="S264" i="13"/>
  <c r="S273" i="13"/>
  <c r="S287" i="13"/>
  <c r="S294" i="13"/>
  <c r="S305" i="13"/>
  <c r="S209" i="13"/>
  <c r="S252" i="13"/>
  <c r="S253" i="13"/>
  <c r="S260" i="13"/>
  <c r="S274" i="13"/>
  <c r="S283" i="13"/>
  <c r="S292" i="13"/>
  <c r="S299" i="13"/>
  <c r="S153" i="13"/>
  <c r="S223" i="13"/>
  <c r="S240" i="13"/>
  <c r="S244" i="13"/>
  <c r="S254" i="13"/>
  <c r="S265" i="13"/>
  <c r="S279" i="13"/>
  <c r="S288" i="13"/>
  <c r="S297" i="13"/>
  <c r="S307" i="13"/>
  <c r="S315" i="13"/>
  <c r="S323" i="13"/>
  <c r="S331" i="13"/>
  <c r="S339" i="13"/>
  <c r="S347" i="13"/>
  <c r="S239" i="13"/>
  <c r="S249" i="13"/>
  <c r="S250" i="13"/>
  <c r="S266" i="13"/>
  <c r="S275" i="13"/>
  <c r="S284" i="13"/>
  <c r="S295" i="13"/>
  <c r="S198" i="13"/>
  <c r="S231" i="13"/>
  <c r="S257" i="13"/>
  <c r="S271" i="13"/>
  <c r="S280" i="13"/>
  <c r="S289" i="13"/>
  <c r="S247" i="13"/>
  <c r="S258" i="13"/>
  <c r="S267" i="13"/>
  <c r="S276" i="13"/>
  <c r="S290" i="13"/>
  <c r="S298" i="13"/>
  <c r="S306" i="13"/>
  <c r="S314" i="13"/>
  <c r="S322" i="13"/>
  <c r="S330" i="13"/>
  <c r="S338" i="13"/>
  <c r="S346" i="13"/>
  <c r="S324" i="13"/>
  <c r="S333" i="13"/>
  <c r="S342" i="13"/>
  <c r="S353" i="13"/>
  <c r="S361" i="13"/>
  <c r="S369" i="13"/>
  <c r="S377" i="13"/>
  <c r="S385" i="13"/>
  <c r="S393" i="13"/>
  <c r="S401" i="13"/>
  <c r="S409" i="13"/>
  <c r="S417" i="13"/>
  <c r="S425" i="13"/>
  <c r="S169" i="13"/>
  <c r="S320" i="13"/>
  <c r="S329" i="13"/>
  <c r="S343" i="13"/>
  <c r="S358" i="13"/>
  <c r="S366" i="13"/>
  <c r="S281" i="13"/>
  <c r="S303" i="13"/>
  <c r="S310" i="13"/>
  <c r="S311" i="13"/>
  <c r="S312" i="13"/>
  <c r="S313" i="13"/>
  <c r="S325" i="13"/>
  <c r="S334" i="13"/>
  <c r="S348" i="13"/>
  <c r="S355" i="13"/>
  <c r="S200" i="13"/>
  <c r="S321" i="13"/>
  <c r="S335" i="13"/>
  <c r="S344" i="13"/>
  <c r="S352" i="13"/>
  <c r="S360" i="13"/>
  <c r="S368" i="13"/>
  <c r="S376" i="13"/>
  <c r="S384" i="13"/>
  <c r="S392" i="13"/>
  <c r="S400" i="13"/>
  <c r="S408" i="13"/>
  <c r="S263" i="13"/>
  <c r="S309" i="13"/>
  <c r="S317" i="13"/>
  <c r="S326" i="13"/>
  <c r="S340" i="13"/>
  <c r="S349" i="13"/>
  <c r="S302" i="13"/>
  <c r="S327" i="13"/>
  <c r="S336" i="13"/>
  <c r="S345" i="13"/>
  <c r="S354" i="13"/>
  <c r="S379" i="13"/>
  <c r="S388" i="13"/>
  <c r="S402" i="13"/>
  <c r="S411" i="13"/>
  <c r="S420" i="13"/>
  <c r="S304" i="13"/>
  <c r="S350" i="13"/>
  <c r="S362" i="13"/>
  <c r="S363" i="13"/>
  <c r="S365" i="13"/>
  <c r="S375" i="13"/>
  <c r="S389" i="13"/>
  <c r="S398" i="13"/>
  <c r="S407" i="13"/>
  <c r="S418" i="13"/>
  <c r="S337" i="13"/>
  <c r="S359" i="13"/>
  <c r="S364" i="13"/>
  <c r="S367" i="13"/>
  <c r="S370" i="13"/>
  <c r="S371" i="13"/>
  <c r="S380" i="13"/>
  <c r="S394" i="13"/>
  <c r="S403" i="13"/>
  <c r="S412" i="13"/>
  <c r="S416" i="13"/>
  <c r="S318" i="13"/>
  <c r="S341" i="13"/>
  <c r="S381" i="13"/>
  <c r="S390" i="13"/>
  <c r="S399" i="13"/>
  <c r="S413" i="13"/>
  <c r="S421" i="13"/>
  <c r="S428" i="13"/>
  <c r="S433" i="13"/>
  <c r="S441" i="13"/>
  <c r="S449" i="13"/>
  <c r="S457" i="13"/>
  <c r="S465" i="13"/>
  <c r="S272" i="13"/>
  <c r="S328" i="13"/>
  <c r="S351" i="13"/>
  <c r="S357" i="13"/>
  <c r="S372" i="13"/>
  <c r="S386" i="13"/>
  <c r="S395" i="13"/>
  <c r="S404" i="13"/>
  <c r="S332" i="13"/>
  <c r="S373" i="13"/>
  <c r="S382" i="13"/>
  <c r="S391" i="13"/>
  <c r="S405" i="13"/>
  <c r="S300" i="13"/>
  <c r="S319" i="13"/>
  <c r="S378" i="13"/>
  <c r="S387" i="13"/>
  <c r="S396" i="13"/>
  <c r="S410" i="13"/>
  <c r="S422" i="13"/>
  <c r="S432" i="13"/>
  <c r="S440" i="13"/>
  <c r="S448" i="13"/>
  <c r="S456" i="13"/>
  <c r="S464" i="13"/>
  <c r="T475" i="13"/>
  <c r="V473" i="13"/>
  <c r="AA472" i="13"/>
  <c r="S472" i="13"/>
  <c r="U470" i="13"/>
  <c r="W468" i="13"/>
  <c r="T465" i="13"/>
  <c r="V464" i="13"/>
  <c r="AA462" i="13"/>
  <c r="S461" i="13"/>
  <c r="U460" i="13"/>
  <c r="W459" i="13"/>
  <c r="T456" i="13"/>
  <c r="V455" i="13"/>
  <c r="AA453" i="13"/>
  <c r="U451" i="13"/>
  <c r="W450" i="13"/>
  <c r="S447" i="13"/>
  <c r="V446" i="13"/>
  <c r="T442" i="13"/>
  <c r="W441" i="13"/>
  <c r="AA439" i="13"/>
  <c r="S438" i="13"/>
  <c r="U437" i="13"/>
  <c r="T433" i="13"/>
  <c r="V432" i="13"/>
  <c r="W431" i="13"/>
  <c r="V427" i="13"/>
  <c r="T426" i="13"/>
  <c r="T425" i="13"/>
  <c r="AA421" i="13"/>
  <c r="V419" i="13"/>
  <c r="U396" i="13"/>
  <c r="AA389" i="13"/>
  <c r="S383" i="13"/>
  <c r="V349" i="13"/>
  <c r="W476" i="13" l="1"/>
  <c r="W477" i="13"/>
  <c r="Y477" i="13"/>
  <c r="Y476" i="13"/>
  <c r="Z477" i="13"/>
  <c r="Z476" i="13"/>
  <c r="V476" i="13"/>
  <c r="V477" i="13"/>
  <c r="X477" i="13"/>
  <c r="X476" i="13"/>
  <c r="AB476" i="13"/>
  <c r="AB477" i="13"/>
  <c r="S476" i="13"/>
  <c r="S477" i="13"/>
  <c r="Q477" i="13"/>
  <c r="Q476" i="13"/>
  <c r="R477" i="13"/>
  <c r="R476" i="13"/>
  <c r="AA477" i="13"/>
  <c r="AA476" i="13"/>
  <c r="T476" i="13"/>
  <c r="T477" i="13"/>
  <c r="U476" i="13"/>
  <c r="U477" i="13"/>
  <c r="P476" i="13"/>
  <c r="P477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Khariza</author>
  </authors>
  <commentList>
    <comment ref="AD1" authorId="0" shapeId="0" xr:uid="{EE5C9AF4-4C46-4775-A9E4-7265A94AE93D}">
      <text>
        <r>
          <rPr>
            <sz val="9"/>
            <color indexed="81"/>
            <rFont val="Tahoma"/>
            <family val="2"/>
          </rPr>
          <t>Weights (aka coefficients values) used to compute each PC from the input variables.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Khariza</author>
  </authors>
  <commentList>
    <comment ref="AD1" authorId="0" shapeId="0" xr:uid="{C4A51E76-C76F-41DD-8A9E-22D9C89766B9}">
      <text>
        <r>
          <rPr>
            <sz val="9"/>
            <color indexed="81"/>
            <rFont val="Tahoma"/>
            <family val="2"/>
          </rPr>
          <t>Weights (aka coefficients values) used to compute each PC from the input variables.</t>
        </r>
      </text>
    </comment>
  </commentList>
</comments>
</file>

<file path=xl/sharedStrings.xml><?xml version="1.0" encoding="utf-8"?>
<sst xmlns="http://schemas.openxmlformats.org/spreadsheetml/2006/main" count="249" uniqueCount="67">
  <si>
    <t>objID</t>
  </si>
  <si>
    <t>ra</t>
  </si>
  <si>
    <t>dec</t>
  </si>
  <si>
    <t>z</t>
  </si>
  <si>
    <t>Rproj</t>
  </si>
  <si>
    <t>Vrad</t>
  </si>
  <si>
    <t>u</t>
  </si>
  <si>
    <t>g</t>
  </si>
  <si>
    <t>r</t>
  </si>
  <si>
    <t>i</t>
  </si>
  <si>
    <t>u-g</t>
  </si>
  <si>
    <t>u-r</t>
  </si>
  <si>
    <t>u-i</t>
  </si>
  <si>
    <t>zmag</t>
  </si>
  <si>
    <t>u-z</t>
  </si>
  <si>
    <t>g-r</t>
  </si>
  <si>
    <t>g-i</t>
  </si>
  <si>
    <t>g-z</t>
  </si>
  <si>
    <t>r-i</t>
  </si>
  <si>
    <t>r-z</t>
  </si>
  <si>
    <t>i-z</t>
  </si>
  <si>
    <t>Principal Component Analysis (PCA)</t>
  </si>
  <si>
    <t>PC(1)</t>
  </si>
  <si>
    <t>PC(2)</t>
  </si>
  <si>
    <t>PC(3)</t>
  </si>
  <si>
    <t>PC(4)</t>
  </si>
  <si>
    <t>PC(5)</t>
  </si>
  <si>
    <t>PC(6)</t>
  </si>
  <si>
    <t>PC(7)</t>
  </si>
  <si>
    <t>Variance</t>
  </si>
  <si>
    <t>Proportion</t>
  </si>
  <si>
    <t>Cum. Proportion</t>
  </si>
  <si>
    <t>Loadings</t>
  </si>
  <si>
    <t>Values</t>
  </si>
  <si>
    <t>PC(8)</t>
  </si>
  <si>
    <t>PC(9)</t>
  </si>
  <si>
    <t>PC(10)</t>
  </si>
  <si>
    <t>PC(11)</t>
  </si>
  <si>
    <t>PC(12)</t>
  </si>
  <si>
    <t>PC1</t>
  </si>
  <si>
    <t>PC2</t>
  </si>
  <si>
    <t>PC(13)</t>
  </si>
  <si>
    <t>min 0.7-0.12</t>
  </si>
  <si>
    <t>2.005-3.24</t>
  </si>
  <si>
    <t>mean</t>
  </si>
  <si>
    <t>stdv</t>
  </si>
  <si>
    <t>det</t>
  </si>
  <si>
    <t>eigen1</t>
  </si>
  <si>
    <t>eigen2</t>
  </si>
  <si>
    <t>eigen3</t>
  </si>
  <si>
    <t>eigen4</t>
  </si>
  <si>
    <t>eigen5</t>
  </si>
  <si>
    <t>eigen6</t>
  </si>
  <si>
    <t>eigen7</t>
  </si>
  <si>
    <t>eigen8</t>
  </si>
  <si>
    <t>eigen9</t>
  </si>
  <si>
    <t>eigen10</t>
  </si>
  <si>
    <t>eigen11</t>
  </si>
  <si>
    <t>eigen12</t>
  </si>
  <si>
    <t>eigen13</t>
  </si>
  <si>
    <t>Covariance Matrix</t>
  </si>
  <si>
    <t>Identity</t>
  </si>
  <si>
    <t>initial eigen</t>
  </si>
  <si>
    <t>PC3</t>
  </si>
  <si>
    <t>2- min 1.2</t>
  </si>
  <si>
    <t>Rproj (m)</t>
  </si>
  <si>
    <t>Vrad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</si>
</sst>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"/>
    <numFmt numFmtId="165" formatCode="#0.0%"/>
    <numFmt numFmtId="166" formatCode="#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4" fillId="0" borderId="5" xfId="0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D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Scree</a:t>
            </a:r>
            <a:r>
              <a:rPr lang="en-ID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Plot</a:t>
            </a:r>
            <a:endParaRPr lang="en-ID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6350" cap="flat" cmpd="sng" algn="ctr">
              <a:solidFill>
                <a:schemeClr val="dk1"/>
              </a:solidFill>
              <a:prstDash val="solid"/>
              <a:miter lim="800000"/>
            </a:ln>
            <a:effectLst/>
          </c:spPr>
          <c:marker>
            <c:symbol val="square"/>
            <c:size val="5"/>
            <c:spPr>
              <a:gradFill rotWithShape="1">
                <a:gsLst>
                  <a:gs pos="0">
                    <a:schemeClr val="dk1"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63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</c:marker>
          <c:val>
            <c:numRef>
              <c:f>pca!$AF$3:$AR$3</c:f>
              <c:numCache>
                <c:formatCode>General</c:formatCode>
                <c:ptCount val="13"/>
                <c:pt idx="0">
                  <c:v>0.71032211235357912</c:v>
                </c:pt>
                <c:pt idx="1">
                  <c:v>0.30191156996865987</c:v>
                </c:pt>
                <c:pt idx="2">
                  <c:v>0.10696126064897292</c:v>
                </c:pt>
                <c:pt idx="3">
                  <c:v>8.9855436925606075E-2</c:v>
                </c:pt>
                <c:pt idx="4">
                  <c:v>5.5112284723139206E-2</c:v>
                </c:pt>
                <c:pt idx="5">
                  <c:v>2.7080135977017684E-2</c:v>
                </c:pt>
                <c:pt idx="6">
                  <c:v>8.7571995018432113E-3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9-4BD3-8F8B-CFACB36C3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91039"/>
        <c:axId val="1023136463"/>
      </c:lineChart>
      <c:catAx>
        <c:axId val="770910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23136463"/>
        <c:crosses val="autoZero"/>
        <c:auto val="1"/>
        <c:lblAlgn val="ctr"/>
        <c:lblOffset val="100"/>
        <c:noMultiLvlLbl val="0"/>
      </c:catAx>
      <c:valAx>
        <c:axId val="102313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91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'2 pc'!$Q$2:$Q$103</c:f>
              <c:numCache>
                <c:formatCode>General</c:formatCode>
                <c:ptCount val="102"/>
                <c:pt idx="0">
                  <c:v>2.5682362377956762</c:v>
                </c:pt>
                <c:pt idx="1">
                  <c:v>2.5682362377956762</c:v>
                </c:pt>
                <c:pt idx="2">
                  <c:v>0.88725364995904443</c:v>
                </c:pt>
                <c:pt idx="3">
                  <c:v>2.3776894872294649</c:v>
                </c:pt>
                <c:pt idx="4">
                  <c:v>1.8882414371741467</c:v>
                </c:pt>
                <c:pt idx="5">
                  <c:v>1.6889331721481895</c:v>
                </c:pt>
                <c:pt idx="6">
                  <c:v>3.9299087756555974E-2</c:v>
                </c:pt>
                <c:pt idx="7">
                  <c:v>0.67532664689993915</c:v>
                </c:pt>
                <c:pt idx="8">
                  <c:v>2.2386950062963855</c:v>
                </c:pt>
                <c:pt idx="9">
                  <c:v>0.58247897651460845</c:v>
                </c:pt>
                <c:pt idx="10">
                  <c:v>0.58422039092362565</c:v>
                </c:pt>
                <c:pt idx="11">
                  <c:v>1.4597160279211154</c:v>
                </c:pt>
                <c:pt idx="12">
                  <c:v>3.4161113444507643</c:v>
                </c:pt>
                <c:pt idx="13">
                  <c:v>2.4508866402239757</c:v>
                </c:pt>
                <c:pt idx="14">
                  <c:v>3.2622503573767587</c:v>
                </c:pt>
                <c:pt idx="15">
                  <c:v>0.73380658689833778</c:v>
                </c:pt>
                <c:pt idx="16">
                  <c:v>1.6383709336377279</c:v>
                </c:pt>
                <c:pt idx="17">
                  <c:v>2.4619321178881228</c:v>
                </c:pt>
                <c:pt idx="18">
                  <c:v>2.4529736856273168</c:v>
                </c:pt>
                <c:pt idx="19">
                  <c:v>0.43620623965546879</c:v>
                </c:pt>
                <c:pt idx="20">
                  <c:v>1.5604547415987065</c:v>
                </c:pt>
                <c:pt idx="21">
                  <c:v>0.65219400759343349</c:v>
                </c:pt>
                <c:pt idx="22">
                  <c:v>2.1721595906559967</c:v>
                </c:pt>
                <c:pt idx="23">
                  <c:v>2.116403719994449</c:v>
                </c:pt>
                <c:pt idx="24">
                  <c:v>2.5184981384345777</c:v>
                </c:pt>
                <c:pt idx="25">
                  <c:v>0.28187978597371338</c:v>
                </c:pt>
                <c:pt idx="26">
                  <c:v>2.713141643829712</c:v>
                </c:pt>
                <c:pt idx="27">
                  <c:v>1.2312122679418309</c:v>
                </c:pt>
                <c:pt idx="28">
                  <c:v>0.26131339745760657</c:v>
                </c:pt>
                <c:pt idx="29">
                  <c:v>0.20319326236465482</c:v>
                </c:pt>
                <c:pt idx="30">
                  <c:v>1.0703534660276919</c:v>
                </c:pt>
                <c:pt idx="31">
                  <c:v>0.99012406777551543</c:v>
                </c:pt>
                <c:pt idx="32">
                  <c:v>0.16704270716479927</c:v>
                </c:pt>
                <c:pt idx="33">
                  <c:v>0.94075725577220204</c:v>
                </c:pt>
                <c:pt idx="34">
                  <c:v>0.24630149448995659</c:v>
                </c:pt>
                <c:pt idx="35">
                  <c:v>1.6145050256873967</c:v>
                </c:pt>
                <c:pt idx="36">
                  <c:v>1.8759963119869909</c:v>
                </c:pt>
                <c:pt idx="37">
                  <c:v>0.74536422000131974</c:v>
                </c:pt>
                <c:pt idx="38">
                  <c:v>0.70970282895518888</c:v>
                </c:pt>
                <c:pt idx="39">
                  <c:v>0.66154725601913977</c:v>
                </c:pt>
                <c:pt idx="40">
                  <c:v>0.23558856001464887</c:v>
                </c:pt>
                <c:pt idx="41">
                  <c:v>0.23558856001464887</c:v>
                </c:pt>
                <c:pt idx="42">
                  <c:v>0.67222844758922207</c:v>
                </c:pt>
                <c:pt idx="43">
                  <c:v>1.768084354335518</c:v>
                </c:pt>
                <c:pt idx="44">
                  <c:v>0.82217386121224878</c:v>
                </c:pt>
                <c:pt idx="45">
                  <c:v>0.18037073474107862</c:v>
                </c:pt>
                <c:pt idx="46">
                  <c:v>0.34956357431281837</c:v>
                </c:pt>
                <c:pt idx="47">
                  <c:v>0.65486079174816869</c:v>
                </c:pt>
                <c:pt idx="48">
                  <c:v>1.31617220983831</c:v>
                </c:pt>
                <c:pt idx="49">
                  <c:v>1.3854294406421264</c:v>
                </c:pt>
                <c:pt idx="50">
                  <c:v>0.22015404537345615</c:v>
                </c:pt>
                <c:pt idx="51">
                  <c:v>0.40062530347012143</c:v>
                </c:pt>
                <c:pt idx="52">
                  <c:v>2.4988050869590781</c:v>
                </c:pt>
                <c:pt idx="53">
                  <c:v>0.10926823880486437</c:v>
                </c:pt>
                <c:pt idx="54">
                  <c:v>0.59399050664315445</c:v>
                </c:pt>
                <c:pt idx="55">
                  <c:v>0.38260971162358987</c:v>
                </c:pt>
                <c:pt idx="56">
                  <c:v>0.82800640368256817</c:v>
                </c:pt>
                <c:pt idx="57">
                  <c:v>0.12501757254691803</c:v>
                </c:pt>
                <c:pt idx="58">
                  <c:v>0.32364461576308784</c:v>
                </c:pt>
                <c:pt idx="59">
                  <c:v>0.32364461576308784</c:v>
                </c:pt>
                <c:pt idx="60">
                  <c:v>1.6290051933057981</c:v>
                </c:pt>
                <c:pt idx="61">
                  <c:v>0.83220075131863647</c:v>
                </c:pt>
                <c:pt idx="62">
                  <c:v>0.39837088446574259</c:v>
                </c:pt>
                <c:pt idx="63">
                  <c:v>2.5876049829123318</c:v>
                </c:pt>
                <c:pt idx="64">
                  <c:v>0.48337544186050574</c:v>
                </c:pt>
                <c:pt idx="65">
                  <c:v>2.6990114823628573</c:v>
                </c:pt>
                <c:pt idx="66">
                  <c:v>2.5258245697602493</c:v>
                </c:pt>
                <c:pt idx="67">
                  <c:v>0.33525437214035148</c:v>
                </c:pt>
                <c:pt idx="68">
                  <c:v>0.42541627063118193</c:v>
                </c:pt>
                <c:pt idx="69">
                  <c:v>1.8395910870557817</c:v>
                </c:pt>
                <c:pt idx="70">
                  <c:v>1.9438117359621504E-2</c:v>
                </c:pt>
                <c:pt idx="71">
                  <c:v>0.56215857671187697</c:v>
                </c:pt>
                <c:pt idx="72">
                  <c:v>1.3287770152613074</c:v>
                </c:pt>
                <c:pt idx="73">
                  <c:v>0.76044491802252312</c:v>
                </c:pt>
                <c:pt idx="74">
                  <c:v>1.852345487697002</c:v>
                </c:pt>
                <c:pt idx="75">
                  <c:v>0.2908235029830723</c:v>
                </c:pt>
                <c:pt idx="76">
                  <c:v>1.6224108235642953</c:v>
                </c:pt>
                <c:pt idx="77">
                  <c:v>0.55580856305996929</c:v>
                </c:pt>
                <c:pt idx="78">
                  <c:v>2.186874831001814</c:v>
                </c:pt>
                <c:pt idx="79">
                  <c:v>0.65140788870012079</c:v>
                </c:pt>
                <c:pt idx="80">
                  <c:v>1.0564641747642374</c:v>
                </c:pt>
                <c:pt idx="81">
                  <c:v>2.7212771313963042</c:v>
                </c:pt>
                <c:pt idx="82">
                  <c:v>1.9487999619048335</c:v>
                </c:pt>
                <c:pt idx="83">
                  <c:v>1.0837548696002517</c:v>
                </c:pt>
                <c:pt idx="84">
                  <c:v>2.2287939765540172</c:v>
                </c:pt>
                <c:pt idx="85">
                  <c:v>2.0372055541738385</c:v>
                </c:pt>
                <c:pt idx="86">
                  <c:v>2.764288980255472</c:v>
                </c:pt>
                <c:pt idx="87">
                  <c:v>3.1689324243093551</c:v>
                </c:pt>
                <c:pt idx="88">
                  <c:v>1.7079492580961837</c:v>
                </c:pt>
                <c:pt idx="89">
                  <c:v>2.8212471416323228</c:v>
                </c:pt>
                <c:pt idx="90">
                  <c:v>1.1758136372182224</c:v>
                </c:pt>
                <c:pt idx="91">
                  <c:v>0.7726821472782095</c:v>
                </c:pt>
                <c:pt idx="92">
                  <c:v>0.86136950659901601</c:v>
                </c:pt>
                <c:pt idx="93">
                  <c:v>3.554043918311776</c:v>
                </c:pt>
                <c:pt idx="94">
                  <c:v>2.7181387219509543</c:v>
                </c:pt>
                <c:pt idx="95">
                  <c:v>1.9337421602175662</c:v>
                </c:pt>
                <c:pt idx="96">
                  <c:v>0.50227270891968478</c:v>
                </c:pt>
                <c:pt idx="97">
                  <c:v>2.8260906389152534</c:v>
                </c:pt>
                <c:pt idx="98">
                  <c:v>2.2082528838550757</c:v>
                </c:pt>
                <c:pt idx="99">
                  <c:v>1.3203669375508782</c:v>
                </c:pt>
                <c:pt idx="100">
                  <c:v>2.2702633156458782</c:v>
                </c:pt>
                <c:pt idx="101">
                  <c:v>2.5844001972309258</c:v>
                </c:pt>
              </c:numCache>
            </c:numRef>
          </c:xVal>
          <c:yVal>
            <c:numRef>
              <c:f>'2 pc'!$R$2:$R$103</c:f>
              <c:numCache>
                <c:formatCode>General</c:formatCode>
                <c:ptCount val="102"/>
                <c:pt idx="0">
                  <c:v>16556.280000000002</c:v>
                </c:pt>
                <c:pt idx="1">
                  <c:v>16571.762999999999</c:v>
                </c:pt>
                <c:pt idx="2">
                  <c:v>18860.675999999999</c:v>
                </c:pt>
                <c:pt idx="3">
                  <c:v>23774.982</c:v>
                </c:pt>
                <c:pt idx="4">
                  <c:v>19285.02</c:v>
                </c:pt>
                <c:pt idx="5">
                  <c:v>19899.417000000001</c:v>
                </c:pt>
                <c:pt idx="6">
                  <c:v>19546.761000000002</c:v>
                </c:pt>
                <c:pt idx="7">
                  <c:v>19934.751</c:v>
                </c:pt>
                <c:pt idx="8">
                  <c:v>20781.198</c:v>
                </c:pt>
                <c:pt idx="9">
                  <c:v>20050.329000000002</c:v>
                </c:pt>
                <c:pt idx="10">
                  <c:v>20002.251</c:v>
                </c:pt>
                <c:pt idx="11">
                  <c:v>20154.363000000001</c:v>
                </c:pt>
                <c:pt idx="12">
                  <c:v>24202.310999999998</c:v>
                </c:pt>
                <c:pt idx="13">
                  <c:v>20749.811999999998</c:v>
                </c:pt>
                <c:pt idx="14">
                  <c:v>23871.156000000003</c:v>
                </c:pt>
                <c:pt idx="15">
                  <c:v>20086.254000000001</c:v>
                </c:pt>
                <c:pt idx="16">
                  <c:v>20948.261999999999</c:v>
                </c:pt>
                <c:pt idx="17">
                  <c:v>20458.641</c:v>
                </c:pt>
                <c:pt idx="18">
                  <c:v>19629.864000000001</c:v>
                </c:pt>
                <c:pt idx="19">
                  <c:v>20623.563000000002</c:v>
                </c:pt>
                <c:pt idx="20">
                  <c:v>19811.258999999998</c:v>
                </c:pt>
                <c:pt idx="21">
                  <c:v>19318.688999999998</c:v>
                </c:pt>
                <c:pt idx="22">
                  <c:v>19168.164000000001</c:v>
                </c:pt>
                <c:pt idx="23">
                  <c:v>19522.509000000002</c:v>
                </c:pt>
                <c:pt idx="24">
                  <c:v>23756.529000000002</c:v>
                </c:pt>
                <c:pt idx="25">
                  <c:v>18838.404000000002</c:v>
                </c:pt>
                <c:pt idx="26">
                  <c:v>23023.649999999998</c:v>
                </c:pt>
                <c:pt idx="27">
                  <c:v>19787.037</c:v>
                </c:pt>
                <c:pt idx="28">
                  <c:v>18119.780999999999</c:v>
                </c:pt>
                <c:pt idx="29">
                  <c:v>20848.400999999998</c:v>
                </c:pt>
                <c:pt idx="30">
                  <c:v>23603.762999999999</c:v>
                </c:pt>
                <c:pt idx="31">
                  <c:v>19604.418000000001</c:v>
                </c:pt>
                <c:pt idx="32">
                  <c:v>19114.094999999998</c:v>
                </c:pt>
                <c:pt idx="33">
                  <c:v>23438.241000000002</c:v>
                </c:pt>
                <c:pt idx="34">
                  <c:v>21021.195</c:v>
                </c:pt>
                <c:pt idx="35">
                  <c:v>19972.182000000001</c:v>
                </c:pt>
                <c:pt idx="36">
                  <c:v>23124.632999999998</c:v>
                </c:pt>
                <c:pt idx="37">
                  <c:v>21911.97</c:v>
                </c:pt>
                <c:pt idx="38">
                  <c:v>20122.089</c:v>
                </c:pt>
                <c:pt idx="39">
                  <c:v>20260.362000000001</c:v>
                </c:pt>
                <c:pt idx="40">
                  <c:v>18301.71</c:v>
                </c:pt>
                <c:pt idx="41">
                  <c:v>18313.331999999999</c:v>
                </c:pt>
                <c:pt idx="42">
                  <c:v>19151.013000000003</c:v>
                </c:pt>
                <c:pt idx="43">
                  <c:v>20100.951000000001</c:v>
                </c:pt>
                <c:pt idx="44">
                  <c:v>20135.712000000003</c:v>
                </c:pt>
                <c:pt idx="45">
                  <c:v>20730.498</c:v>
                </c:pt>
                <c:pt idx="46">
                  <c:v>20971.029000000002</c:v>
                </c:pt>
                <c:pt idx="47">
                  <c:v>19760.853000000003</c:v>
                </c:pt>
                <c:pt idx="48">
                  <c:v>19826.412</c:v>
                </c:pt>
                <c:pt idx="49">
                  <c:v>19239.362999999998</c:v>
                </c:pt>
                <c:pt idx="50">
                  <c:v>17999.670000000002</c:v>
                </c:pt>
                <c:pt idx="51">
                  <c:v>19696.212</c:v>
                </c:pt>
                <c:pt idx="52">
                  <c:v>19594.547999999999</c:v>
                </c:pt>
                <c:pt idx="53">
                  <c:v>19671.201000000001</c:v>
                </c:pt>
                <c:pt idx="54">
                  <c:v>20294.535</c:v>
                </c:pt>
                <c:pt idx="55">
                  <c:v>18466.652999999998</c:v>
                </c:pt>
                <c:pt idx="56">
                  <c:v>19738.983</c:v>
                </c:pt>
                <c:pt idx="57">
                  <c:v>19725.078000000001</c:v>
                </c:pt>
                <c:pt idx="58">
                  <c:v>19495.584000000003</c:v>
                </c:pt>
                <c:pt idx="59">
                  <c:v>19499.867999999999</c:v>
                </c:pt>
                <c:pt idx="60">
                  <c:v>19344.897000000001</c:v>
                </c:pt>
                <c:pt idx="61">
                  <c:v>18403.811999999998</c:v>
                </c:pt>
                <c:pt idx="62">
                  <c:v>19198.812000000002</c:v>
                </c:pt>
                <c:pt idx="63">
                  <c:v>19424.091</c:v>
                </c:pt>
                <c:pt idx="64">
                  <c:v>19234.161</c:v>
                </c:pt>
                <c:pt idx="65">
                  <c:v>23737.998</c:v>
                </c:pt>
                <c:pt idx="66">
                  <c:v>19476.275999999998</c:v>
                </c:pt>
                <c:pt idx="67">
                  <c:v>20578.635000000002</c:v>
                </c:pt>
                <c:pt idx="68">
                  <c:v>18996.519</c:v>
                </c:pt>
                <c:pt idx="69">
                  <c:v>20030.513999999999</c:v>
                </c:pt>
                <c:pt idx="70">
                  <c:v>18856.842000000001</c:v>
                </c:pt>
                <c:pt idx="71">
                  <c:v>20666.934000000001</c:v>
                </c:pt>
                <c:pt idx="72">
                  <c:v>20555.403000000002</c:v>
                </c:pt>
                <c:pt idx="73">
                  <c:v>20288.037</c:v>
                </c:pt>
                <c:pt idx="74">
                  <c:v>20141.757000000001</c:v>
                </c:pt>
                <c:pt idx="75">
                  <c:v>18655.212</c:v>
                </c:pt>
                <c:pt idx="76">
                  <c:v>19919.597999999998</c:v>
                </c:pt>
                <c:pt idx="77">
                  <c:v>19604.676000000003</c:v>
                </c:pt>
                <c:pt idx="78">
                  <c:v>23431.137000000002</c:v>
                </c:pt>
                <c:pt idx="79">
                  <c:v>18848.382000000001</c:v>
                </c:pt>
                <c:pt idx="80">
                  <c:v>20693.186999999998</c:v>
                </c:pt>
                <c:pt idx="81">
                  <c:v>20202.182999999997</c:v>
                </c:pt>
                <c:pt idx="82">
                  <c:v>20368.362000000001</c:v>
                </c:pt>
                <c:pt idx="83">
                  <c:v>19702.223999999998</c:v>
                </c:pt>
                <c:pt idx="84">
                  <c:v>19801.521000000001</c:v>
                </c:pt>
                <c:pt idx="85">
                  <c:v>20075.289000000001</c:v>
                </c:pt>
                <c:pt idx="86">
                  <c:v>19567.280999999999</c:v>
                </c:pt>
                <c:pt idx="87">
                  <c:v>20182.302</c:v>
                </c:pt>
                <c:pt idx="88">
                  <c:v>19838.315999999999</c:v>
                </c:pt>
                <c:pt idx="89">
                  <c:v>20605.460999999999</c:v>
                </c:pt>
                <c:pt idx="90">
                  <c:v>20857.487999999998</c:v>
                </c:pt>
                <c:pt idx="91">
                  <c:v>21878.655000000002</c:v>
                </c:pt>
                <c:pt idx="92">
                  <c:v>20842.752</c:v>
                </c:pt>
                <c:pt idx="93">
                  <c:v>22985.751</c:v>
                </c:pt>
                <c:pt idx="94">
                  <c:v>19595.022000000001</c:v>
                </c:pt>
                <c:pt idx="95">
                  <c:v>19493.882999999998</c:v>
                </c:pt>
                <c:pt idx="96">
                  <c:v>19698.494999999999</c:v>
                </c:pt>
                <c:pt idx="97">
                  <c:v>20028.002999999997</c:v>
                </c:pt>
                <c:pt idx="98">
                  <c:v>20609.699999999997</c:v>
                </c:pt>
                <c:pt idx="99">
                  <c:v>19159.302000000003</c:v>
                </c:pt>
                <c:pt idx="100">
                  <c:v>47114.55</c:v>
                </c:pt>
                <c:pt idx="101">
                  <c:v>20548.584000000003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4-4761-915B-D4A92D772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851279"/>
        <c:axId val="731837551"/>
      </c:scatterChart>
      <c:valAx>
        <c:axId val="731851279"/>
        <c:scaling>
          <c:orientation val="minMax"/>
          <c:max val="3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ID" sz="900"/>
                  <a:t>R</a:t>
                </a:r>
                <a:r>
                  <a:rPr lang="en-ID" sz="800"/>
                  <a:t>proj</a:t>
                </a:r>
                <a:r>
                  <a:rPr lang="en-ID" sz="900"/>
                  <a:t> (Mpc)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731837551"/>
        <c:crosses val="autoZero"/>
        <c:crossBetween val="midCat"/>
      </c:valAx>
      <c:valAx>
        <c:axId val="731837551"/>
        <c:scaling>
          <c:orientation val="minMax"/>
          <c:max val="25000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ID" sz="900"/>
                  <a:t>V</a:t>
                </a:r>
                <a:r>
                  <a:rPr lang="en-ID" sz="800"/>
                  <a:t>rad</a:t>
                </a:r>
                <a:r>
                  <a:rPr lang="en-ID" sz="900"/>
                  <a:t> (km/s)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73185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Tahoma" panose="020B060403050404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'3 pc'!$P$1</c:f>
              <c:strCache>
                <c:ptCount val="1"/>
                <c:pt idx="0">
                  <c:v>PC(2)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'3 pc'!$O$2:$O$475</c:f>
              <c:numCache>
                <c:formatCode>#0.000</c:formatCode>
                <c:ptCount val="474"/>
                <c:pt idx="0">
                  <c:v>0.62097452166511746</c:v>
                </c:pt>
                <c:pt idx="1">
                  <c:v>7.0133943877003171</c:v>
                </c:pt>
                <c:pt idx="2">
                  <c:v>5.3488902215347451</c:v>
                </c:pt>
                <c:pt idx="3">
                  <c:v>5.6023262935042988</c:v>
                </c:pt>
                <c:pt idx="4">
                  <c:v>4.6458071396278369</c:v>
                </c:pt>
                <c:pt idx="5">
                  <c:v>4.9600852899846304</c:v>
                </c:pt>
                <c:pt idx="6">
                  <c:v>4.1532790754936402</c:v>
                </c:pt>
                <c:pt idx="7">
                  <c:v>2.1630147961697572</c:v>
                </c:pt>
                <c:pt idx="8">
                  <c:v>2.1629491630088982</c:v>
                </c:pt>
                <c:pt idx="9">
                  <c:v>3.9363919214864835</c:v>
                </c:pt>
                <c:pt idx="10">
                  <c:v>2.3653091879236467</c:v>
                </c:pt>
                <c:pt idx="11">
                  <c:v>2.2866507345160723</c:v>
                </c:pt>
                <c:pt idx="12">
                  <c:v>2.2933588079738962</c:v>
                </c:pt>
                <c:pt idx="13">
                  <c:v>2.2933095417725475</c:v>
                </c:pt>
                <c:pt idx="14">
                  <c:v>2.4624571100378403</c:v>
                </c:pt>
                <c:pt idx="15">
                  <c:v>5.2261848410375711</c:v>
                </c:pt>
                <c:pt idx="16">
                  <c:v>2.9739891488282901</c:v>
                </c:pt>
                <c:pt idx="17">
                  <c:v>5.0795057006694675</c:v>
                </c:pt>
                <c:pt idx="18">
                  <c:v>2.6853354667699305</c:v>
                </c:pt>
                <c:pt idx="19">
                  <c:v>2.2194442398780012</c:v>
                </c:pt>
                <c:pt idx="20">
                  <c:v>3.0852717508477112</c:v>
                </c:pt>
                <c:pt idx="21">
                  <c:v>2.089841090413485</c:v>
                </c:pt>
                <c:pt idx="22">
                  <c:v>2.40799142607933</c:v>
                </c:pt>
                <c:pt idx="23">
                  <c:v>2.6887481626382481</c:v>
                </c:pt>
                <c:pt idx="24">
                  <c:v>2.5968655320135676</c:v>
                </c:pt>
                <c:pt idx="25">
                  <c:v>4.5339957524030545</c:v>
                </c:pt>
                <c:pt idx="26">
                  <c:v>2.3092204891801731</c:v>
                </c:pt>
                <c:pt idx="27">
                  <c:v>2.8130105847932017</c:v>
                </c:pt>
                <c:pt idx="28">
                  <c:v>2.2688883672056397</c:v>
                </c:pt>
                <c:pt idx="29">
                  <c:v>2.5358431041956262</c:v>
                </c:pt>
                <c:pt idx="30">
                  <c:v>2.638369917179304</c:v>
                </c:pt>
                <c:pt idx="31">
                  <c:v>2.6954267011666158</c:v>
                </c:pt>
                <c:pt idx="32">
                  <c:v>1.9268297679387596</c:v>
                </c:pt>
                <c:pt idx="33">
                  <c:v>2.1754942940344182</c:v>
                </c:pt>
                <c:pt idx="34">
                  <c:v>2.5617072571391519</c:v>
                </c:pt>
                <c:pt idx="35">
                  <c:v>2.1099812080079761</c:v>
                </c:pt>
                <c:pt idx="36">
                  <c:v>2.4820467980571381</c:v>
                </c:pt>
                <c:pt idx="37">
                  <c:v>2.9781725065790101</c:v>
                </c:pt>
                <c:pt idx="38">
                  <c:v>5.298215176963752</c:v>
                </c:pt>
                <c:pt idx="39">
                  <c:v>2.3830127288995797</c:v>
                </c:pt>
                <c:pt idx="40">
                  <c:v>3.0865969668127406</c:v>
                </c:pt>
                <c:pt idx="41">
                  <c:v>2.4272047027572867</c:v>
                </c:pt>
                <c:pt idx="42">
                  <c:v>3.2362767214894257</c:v>
                </c:pt>
                <c:pt idx="43">
                  <c:v>2.4799791813174852</c:v>
                </c:pt>
                <c:pt idx="44">
                  <c:v>2.4799610212412002</c:v>
                </c:pt>
                <c:pt idx="45">
                  <c:v>2.5877794490788468</c:v>
                </c:pt>
                <c:pt idx="46">
                  <c:v>2.3910007955127082</c:v>
                </c:pt>
                <c:pt idx="47">
                  <c:v>2.883856162641139</c:v>
                </c:pt>
                <c:pt idx="48">
                  <c:v>2.4853296581453819</c:v>
                </c:pt>
                <c:pt idx="49">
                  <c:v>2.8610426301371494</c:v>
                </c:pt>
                <c:pt idx="50">
                  <c:v>2.1401230080834477</c:v>
                </c:pt>
                <c:pt idx="51">
                  <c:v>2.7513482914334424</c:v>
                </c:pt>
                <c:pt idx="52">
                  <c:v>2.4751515640258184</c:v>
                </c:pt>
                <c:pt idx="53">
                  <c:v>2.3561677545823416</c:v>
                </c:pt>
                <c:pt idx="54">
                  <c:v>2.4672212310556993</c:v>
                </c:pt>
                <c:pt idx="55">
                  <c:v>2.0921880762713423</c:v>
                </c:pt>
                <c:pt idx="56">
                  <c:v>2.8618345445428215</c:v>
                </c:pt>
                <c:pt idx="57">
                  <c:v>2.6610364467929633</c:v>
                </c:pt>
                <c:pt idx="58">
                  <c:v>2.4520778333239628</c:v>
                </c:pt>
                <c:pt idx="59">
                  <c:v>2.5078264440180091</c:v>
                </c:pt>
                <c:pt idx="60">
                  <c:v>2.2695921181219449</c:v>
                </c:pt>
                <c:pt idx="61">
                  <c:v>2.2032138171220796</c:v>
                </c:pt>
                <c:pt idx="62">
                  <c:v>3.1098701790526637</c:v>
                </c:pt>
                <c:pt idx="63">
                  <c:v>2.2798967762838962</c:v>
                </c:pt>
                <c:pt idx="64">
                  <c:v>2.2169403602043247</c:v>
                </c:pt>
                <c:pt idx="65">
                  <c:v>3.0679323176435664</c:v>
                </c:pt>
                <c:pt idx="66">
                  <c:v>2.0577948035194198</c:v>
                </c:pt>
                <c:pt idx="67">
                  <c:v>2.4647735827827049</c:v>
                </c:pt>
                <c:pt idx="68">
                  <c:v>2.4889501480455922</c:v>
                </c:pt>
                <c:pt idx="69">
                  <c:v>2.2038580490172053</c:v>
                </c:pt>
                <c:pt idx="70">
                  <c:v>2.8846991432976536</c:v>
                </c:pt>
                <c:pt idx="71">
                  <c:v>2.7589272945324352</c:v>
                </c:pt>
                <c:pt idx="72">
                  <c:v>2.5404438566197016</c:v>
                </c:pt>
                <c:pt idx="73">
                  <c:v>2.9671712801760215</c:v>
                </c:pt>
                <c:pt idx="74">
                  <c:v>2.1474180502460527</c:v>
                </c:pt>
                <c:pt idx="75">
                  <c:v>2.2769156827393608</c:v>
                </c:pt>
                <c:pt idx="76">
                  <c:v>2.306730892062955</c:v>
                </c:pt>
                <c:pt idx="77">
                  <c:v>2.0051698550465407</c:v>
                </c:pt>
                <c:pt idx="78">
                  <c:v>2.6021790496031589</c:v>
                </c:pt>
                <c:pt idx="79">
                  <c:v>2.4522280139287012</c:v>
                </c:pt>
                <c:pt idx="80">
                  <c:v>2.4659676790274045</c:v>
                </c:pt>
                <c:pt idx="81">
                  <c:v>2.7124186957461247</c:v>
                </c:pt>
                <c:pt idx="82">
                  <c:v>2.3588611714367991</c:v>
                </c:pt>
                <c:pt idx="83">
                  <c:v>4.4711824621717806</c:v>
                </c:pt>
                <c:pt idx="84">
                  <c:v>2.6723635385181903</c:v>
                </c:pt>
                <c:pt idx="85">
                  <c:v>2.5163722852844796</c:v>
                </c:pt>
                <c:pt idx="86">
                  <c:v>2.4203967620226825</c:v>
                </c:pt>
                <c:pt idx="87">
                  <c:v>2.6339482051371808</c:v>
                </c:pt>
                <c:pt idx="88">
                  <c:v>2.3434342052231609</c:v>
                </c:pt>
                <c:pt idx="89">
                  <c:v>2.7544103213449374</c:v>
                </c:pt>
                <c:pt idx="90">
                  <c:v>4.8004232446318698</c:v>
                </c:pt>
                <c:pt idx="91">
                  <c:v>2.7948532211070818</c:v>
                </c:pt>
                <c:pt idx="92">
                  <c:v>3.8317643723093746</c:v>
                </c:pt>
                <c:pt idx="93">
                  <c:v>2.7643371058624875</c:v>
                </c:pt>
                <c:pt idx="94">
                  <c:v>2.8567750034698114</c:v>
                </c:pt>
                <c:pt idx="95">
                  <c:v>2.5010017841444916</c:v>
                </c:pt>
                <c:pt idx="96">
                  <c:v>2.3224824060832714</c:v>
                </c:pt>
                <c:pt idx="97">
                  <c:v>2.7547145733009573</c:v>
                </c:pt>
                <c:pt idx="98">
                  <c:v>3.7248535378976135</c:v>
                </c:pt>
                <c:pt idx="99">
                  <c:v>3.0445421714523073</c:v>
                </c:pt>
                <c:pt idx="100">
                  <c:v>2.3647163778553844</c:v>
                </c:pt>
                <c:pt idx="101">
                  <c:v>2.6951915732202631</c:v>
                </c:pt>
                <c:pt idx="102">
                  <c:v>2.3980197631992746</c:v>
                </c:pt>
                <c:pt idx="103">
                  <c:v>3.5327036983122579</c:v>
                </c:pt>
                <c:pt idx="104">
                  <c:v>2.1632030962775097</c:v>
                </c:pt>
                <c:pt idx="105">
                  <c:v>2.6683305968793021</c:v>
                </c:pt>
                <c:pt idx="106">
                  <c:v>2.3815623613012065</c:v>
                </c:pt>
                <c:pt idx="107">
                  <c:v>2.7390747016768002</c:v>
                </c:pt>
                <c:pt idx="108">
                  <c:v>2.2915942037883914</c:v>
                </c:pt>
                <c:pt idx="109">
                  <c:v>3.9535489303522051</c:v>
                </c:pt>
                <c:pt idx="110">
                  <c:v>2.8448995048026355</c:v>
                </c:pt>
                <c:pt idx="111">
                  <c:v>1.7661051736013245</c:v>
                </c:pt>
                <c:pt idx="112">
                  <c:v>2.3332563017116192</c:v>
                </c:pt>
                <c:pt idx="113">
                  <c:v>1.9713738977659465</c:v>
                </c:pt>
                <c:pt idx="114">
                  <c:v>2.3762369018579386</c:v>
                </c:pt>
                <c:pt idx="115">
                  <c:v>2.6195785363533024</c:v>
                </c:pt>
                <c:pt idx="116">
                  <c:v>1.4203352331028218</c:v>
                </c:pt>
                <c:pt idx="117">
                  <c:v>4.5686190592973617</c:v>
                </c:pt>
                <c:pt idx="118">
                  <c:v>2.5917483250041222</c:v>
                </c:pt>
                <c:pt idx="119">
                  <c:v>2.601115235345167</c:v>
                </c:pt>
                <c:pt idx="120">
                  <c:v>1.7361694072864642</c:v>
                </c:pt>
                <c:pt idx="121">
                  <c:v>4.9406600623709744</c:v>
                </c:pt>
                <c:pt idx="122">
                  <c:v>2.9807402096702518</c:v>
                </c:pt>
                <c:pt idx="123">
                  <c:v>3.7363045165213538</c:v>
                </c:pt>
                <c:pt idx="124">
                  <c:v>2.2815816802412714</c:v>
                </c:pt>
                <c:pt idx="125">
                  <c:v>2.4755735384918407</c:v>
                </c:pt>
                <c:pt idx="126">
                  <c:v>2.5726607146769114</c:v>
                </c:pt>
                <c:pt idx="127">
                  <c:v>3.072114134321049</c:v>
                </c:pt>
                <c:pt idx="128">
                  <c:v>0.56918040287169747</c:v>
                </c:pt>
                <c:pt idx="129">
                  <c:v>3.6960448755172899</c:v>
                </c:pt>
                <c:pt idx="130">
                  <c:v>4.0772491232535506</c:v>
                </c:pt>
                <c:pt idx="131">
                  <c:v>4.9363408872668115</c:v>
                </c:pt>
                <c:pt idx="132">
                  <c:v>2.5701045217612251</c:v>
                </c:pt>
                <c:pt idx="133">
                  <c:v>2.1048290851614464</c:v>
                </c:pt>
                <c:pt idx="134">
                  <c:v>3.8226133826170923</c:v>
                </c:pt>
                <c:pt idx="135">
                  <c:v>2.1136739664493005</c:v>
                </c:pt>
                <c:pt idx="136">
                  <c:v>4.3643532640053468</c:v>
                </c:pt>
                <c:pt idx="137">
                  <c:v>2.4231959917341483</c:v>
                </c:pt>
                <c:pt idx="138">
                  <c:v>2.3258819494204017</c:v>
                </c:pt>
                <c:pt idx="139">
                  <c:v>2.9807046376966944</c:v>
                </c:pt>
                <c:pt idx="140">
                  <c:v>2.1197622412705712</c:v>
                </c:pt>
                <c:pt idx="141">
                  <c:v>1.8395171285734639</c:v>
                </c:pt>
                <c:pt idx="142">
                  <c:v>1.8013205022960723</c:v>
                </c:pt>
                <c:pt idx="143">
                  <c:v>2.1261955266859109</c:v>
                </c:pt>
                <c:pt idx="144">
                  <c:v>2.2036050555273095</c:v>
                </c:pt>
                <c:pt idx="145">
                  <c:v>2.0600147689283781</c:v>
                </c:pt>
                <c:pt idx="146">
                  <c:v>1.8936894727418445</c:v>
                </c:pt>
                <c:pt idx="147">
                  <c:v>3.9193033425919812</c:v>
                </c:pt>
                <c:pt idx="148">
                  <c:v>1.7825736123174192</c:v>
                </c:pt>
                <c:pt idx="149">
                  <c:v>4.3602252572585778</c:v>
                </c:pt>
                <c:pt idx="150">
                  <c:v>2.7909926185003147</c:v>
                </c:pt>
                <c:pt idx="151">
                  <c:v>1.8948381864668127</c:v>
                </c:pt>
                <c:pt idx="152">
                  <c:v>1.7088945194193204</c:v>
                </c:pt>
                <c:pt idx="153">
                  <c:v>1.9631758750438353</c:v>
                </c:pt>
                <c:pt idx="154">
                  <c:v>2.5258442620149282</c:v>
                </c:pt>
                <c:pt idx="155">
                  <c:v>3.2895358544168452</c:v>
                </c:pt>
                <c:pt idx="156">
                  <c:v>1.8137529064898401</c:v>
                </c:pt>
                <c:pt idx="157">
                  <c:v>2.6087592887346691</c:v>
                </c:pt>
                <c:pt idx="158">
                  <c:v>2.1525888801458062</c:v>
                </c:pt>
                <c:pt idx="159">
                  <c:v>8.3819845344979331</c:v>
                </c:pt>
                <c:pt idx="160">
                  <c:v>2.7432769151601084</c:v>
                </c:pt>
                <c:pt idx="161">
                  <c:v>6.6567510387327502</c:v>
                </c:pt>
                <c:pt idx="162">
                  <c:v>3.4939731453341509</c:v>
                </c:pt>
                <c:pt idx="163">
                  <c:v>1.9999758704462454</c:v>
                </c:pt>
                <c:pt idx="164">
                  <c:v>1.6708537292545627</c:v>
                </c:pt>
                <c:pt idx="165">
                  <c:v>1.3759474313504634</c:v>
                </c:pt>
                <c:pt idx="166">
                  <c:v>2.197088965073918</c:v>
                </c:pt>
                <c:pt idx="167">
                  <c:v>2.7955561065223899</c:v>
                </c:pt>
                <c:pt idx="168">
                  <c:v>2.1494029572295035</c:v>
                </c:pt>
                <c:pt idx="169">
                  <c:v>3.1614516365082106</c:v>
                </c:pt>
                <c:pt idx="170">
                  <c:v>1.003929205431549</c:v>
                </c:pt>
                <c:pt idx="171">
                  <c:v>0.98946898441091824</c:v>
                </c:pt>
                <c:pt idx="172">
                  <c:v>1.3313440473239675</c:v>
                </c:pt>
                <c:pt idx="173">
                  <c:v>1.8332530416442629</c:v>
                </c:pt>
                <c:pt idx="174">
                  <c:v>1.515563491280209</c:v>
                </c:pt>
                <c:pt idx="175">
                  <c:v>3.623112506820132</c:v>
                </c:pt>
                <c:pt idx="176">
                  <c:v>1.1124213611151259</c:v>
                </c:pt>
                <c:pt idx="177">
                  <c:v>2.3155671266377968</c:v>
                </c:pt>
                <c:pt idx="178">
                  <c:v>0.85607904355340148</c:v>
                </c:pt>
                <c:pt idx="179">
                  <c:v>0.40033327502981564</c:v>
                </c:pt>
                <c:pt idx="180">
                  <c:v>1.3945637219228757</c:v>
                </c:pt>
                <c:pt idx="181">
                  <c:v>1.4505177102839415</c:v>
                </c:pt>
                <c:pt idx="182">
                  <c:v>0.79575886008708907</c:v>
                </c:pt>
                <c:pt idx="183">
                  <c:v>0.82982829903528332</c:v>
                </c:pt>
                <c:pt idx="184">
                  <c:v>1.3664053200518327</c:v>
                </c:pt>
                <c:pt idx="185">
                  <c:v>1.0388026608444119</c:v>
                </c:pt>
                <c:pt idx="186">
                  <c:v>0.85767177786734294</c:v>
                </c:pt>
                <c:pt idx="187">
                  <c:v>1.0063551616656419</c:v>
                </c:pt>
                <c:pt idx="188">
                  <c:v>1.1964623411920094</c:v>
                </c:pt>
                <c:pt idx="189">
                  <c:v>1.1813877959089876</c:v>
                </c:pt>
                <c:pt idx="190">
                  <c:v>1.644665092454235</c:v>
                </c:pt>
                <c:pt idx="191">
                  <c:v>0.97978986962518022</c:v>
                </c:pt>
                <c:pt idx="192">
                  <c:v>0.83994096421541697</c:v>
                </c:pt>
                <c:pt idx="193">
                  <c:v>0.70415390550009582</c:v>
                </c:pt>
                <c:pt idx="194">
                  <c:v>0.98475390576991273</c:v>
                </c:pt>
                <c:pt idx="195">
                  <c:v>0.93661813064228217</c:v>
                </c:pt>
                <c:pt idx="196">
                  <c:v>1.3509085095671738</c:v>
                </c:pt>
                <c:pt idx="197">
                  <c:v>0.20766980019560369</c:v>
                </c:pt>
                <c:pt idx="198">
                  <c:v>1.6824970074567651</c:v>
                </c:pt>
                <c:pt idx="199">
                  <c:v>1.1600128428944751</c:v>
                </c:pt>
                <c:pt idx="200">
                  <c:v>1.5211569733981365</c:v>
                </c:pt>
                <c:pt idx="201">
                  <c:v>2.7265385510693125</c:v>
                </c:pt>
                <c:pt idx="202">
                  <c:v>1.0513552552252654</c:v>
                </c:pt>
                <c:pt idx="203">
                  <c:v>0.8711522763833508</c:v>
                </c:pt>
                <c:pt idx="204">
                  <c:v>0.98193127315582796</c:v>
                </c:pt>
                <c:pt idx="205">
                  <c:v>0.53127545793081155</c:v>
                </c:pt>
                <c:pt idx="206">
                  <c:v>1.3745371693356871</c:v>
                </c:pt>
                <c:pt idx="207">
                  <c:v>-0.35830930016389656</c:v>
                </c:pt>
                <c:pt idx="208">
                  <c:v>-0.35835063086972657</c:v>
                </c:pt>
                <c:pt idx="209">
                  <c:v>0.45839450581299895</c:v>
                </c:pt>
                <c:pt idx="210">
                  <c:v>0.41111087237493454</c:v>
                </c:pt>
                <c:pt idx="211">
                  <c:v>0.1598406146405239</c:v>
                </c:pt>
                <c:pt idx="212">
                  <c:v>-8.2907065883252598E-2</c:v>
                </c:pt>
                <c:pt idx="213">
                  <c:v>0.27443285106041809</c:v>
                </c:pt>
                <c:pt idx="214">
                  <c:v>0.14561288190319624</c:v>
                </c:pt>
                <c:pt idx="215">
                  <c:v>0.95802775437781051</c:v>
                </c:pt>
                <c:pt idx="216">
                  <c:v>-0.32449224403681926</c:v>
                </c:pt>
                <c:pt idx="217">
                  <c:v>-0.32462780875194247</c:v>
                </c:pt>
                <c:pt idx="218">
                  <c:v>-0.30237468628434711</c:v>
                </c:pt>
                <c:pt idx="219">
                  <c:v>-0.84931027961399641</c:v>
                </c:pt>
                <c:pt idx="220">
                  <c:v>-0.35570577626561484</c:v>
                </c:pt>
                <c:pt idx="221">
                  <c:v>0.42969500231252428</c:v>
                </c:pt>
                <c:pt idx="222">
                  <c:v>-0.22171105523682608</c:v>
                </c:pt>
                <c:pt idx="223">
                  <c:v>4.6638194783135072</c:v>
                </c:pt>
                <c:pt idx="224">
                  <c:v>7.4346302346978643E-2</c:v>
                </c:pt>
                <c:pt idx="225">
                  <c:v>-0.73325635038902803</c:v>
                </c:pt>
                <c:pt idx="226">
                  <c:v>-2.5079588578674583</c:v>
                </c:pt>
                <c:pt idx="227">
                  <c:v>-0.21066264134130805</c:v>
                </c:pt>
                <c:pt idx="228">
                  <c:v>-1.4540464947858291</c:v>
                </c:pt>
                <c:pt idx="229">
                  <c:v>-1.4541398385953033</c:v>
                </c:pt>
                <c:pt idx="230">
                  <c:v>0.81753578785046976</c:v>
                </c:pt>
                <c:pt idx="231">
                  <c:v>-0.34745039237466852</c:v>
                </c:pt>
                <c:pt idx="232">
                  <c:v>-0.34764382007795397</c:v>
                </c:pt>
                <c:pt idx="233">
                  <c:v>-0.66996976556398047</c:v>
                </c:pt>
                <c:pt idx="234">
                  <c:v>-1.1072114733955889</c:v>
                </c:pt>
                <c:pt idx="235">
                  <c:v>-0.37635057144477069</c:v>
                </c:pt>
                <c:pt idx="236">
                  <c:v>-1.2969606971417265</c:v>
                </c:pt>
                <c:pt idx="237">
                  <c:v>-2.9754883123405924</c:v>
                </c:pt>
                <c:pt idx="238">
                  <c:v>-1.3564526834679087</c:v>
                </c:pt>
                <c:pt idx="239">
                  <c:v>-0.11165805334798801</c:v>
                </c:pt>
                <c:pt idx="240">
                  <c:v>-1.3565729876147263</c:v>
                </c:pt>
                <c:pt idx="241">
                  <c:v>0.36707912963010869</c:v>
                </c:pt>
                <c:pt idx="242">
                  <c:v>0.3492124306036456</c:v>
                </c:pt>
                <c:pt idx="243">
                  <c:v>-0.90978655806213615</c:v>
                </c:pt>
                <c:pt idx="244">
                  <c:v>-0.90983462885230193</c:v>
                </c:pt>
                <c:pt idx="245">
                  <c:v>-0.78688843134537945</c:v>
                </c:pt>
                <c:pt idx="246">
                  <c:v>-0.5823630701332414</c:v>
                </c:pt>
                <c:pt idx="247">
                  <c:v>-0.99524846464533745</c:v>
                </c:pt>
                <c:pt idx="248">
                  <c:v>-0.32931591447536945</c:v>
                </c:pt>
                <c:pt idx="249">
                  <c:v>-0.39825707883159989</c:v>
                </c:pt>
                <c:pt idx="250">
                  <c:v>-0.39835500081156661</c:v>
                </c:pt>
                <c:pt idx="251">
                  <c:v>-1.6923277233663985</c:v>
                </c:pt>
                <c:pt idx="252">
                  <c:v>-6.5984840417249488E-2</c:v>
                </c:pt>
                <c:pt idx="253">
                  <c:v>-6.5985221931457325E-2</c:v>
                </c:pt>
                <c:pt idx="254">
                  <c:v>-1.177679339654409</c:v>
                </c:pt>
                <c:pt idx="255">
                  <c:v>-2.3672165090629935</c:v>
                </c:pt>
                <c:pt idx="256">
                  <c:v>-0.86611400008282513</c:v>
                </c:pt>
                <c:pt idx="257">
                  <c:v>-1.2400465558872598</c:v>
                </c:pt>
                <c:pt idx="258">
                  <c:v>-1.075220819479676</c:v>
                </c:pt>
                <c:pt idx="259">
                  <c:v>9.8907327905864942E-2</c:v>
                </c:pt>
                <c:pt idx="260">
                  <c:v>-2.1039610901529855</c:v>
                </c:pt>
                <c:pt idx="261">
                  <c:v>-0.20097808754136126</c:v>
                </c:pt>
                <c:pt idx="262">
                  <c:v>-0.20111365225648392</c:v>
                </c:pt>
                <c:pt idx="263">
                  <c:v>-1.2049108193280633</c:v>
                </c:pt>
                <c:pt idx="264">
                  <c:v>-0.74892599781031433</c:v>
                </c:pt>
                <c:pt idx="265">
                  <c:v>-1.3814004657993453</c:v>
                </c:pt>
                <c:pt idx="266">
                  <c:v>-2.6821271333487084</c:v>
                </c:pt>
                <c:pt idx="267">
                  <c:v>-2.9837468214586202</c:v>
                </c:pt>
                <c:pt idx="268">
                  <c:v>-0.57103081898996355</c:v>
                </c:pt>
                <c:pt idx="269">
                  <c:v>-0.57112657905608721</c:v>
                </c:pt>
                <c:pt idx="270">
                  <c:v>-1.5793404209983462</c:v>
                </c:pt>
                <c:pt idx="271">
                  <c:v>-1.6900502643873907</c:v>
                </c:pt>
                <c:pt idx="272">
                  <c:v>-0.94596298653050659</c:v>
                </c:pt>
                <c:pt idx="273">
                  <c:v>1.2664880449788101</c:v>
                </c:pt>
                <c:pt idx="274">
                  <c:v>-1.4383881611405502</c:v>
                </c:pt>
                <c:pt idx="275">
                  <c:v>-0.77956828975787151</c:v>
                </c:pt>
                <c:pt idx="276">
                  <c:v>-0.77964065028592466</c:v>
                </c:pt>
                <c:pt idx="277">
                  <c:v>-3.6802466319726581</c:v>
                </c:pt>
                <c:pt idx="278">
                  <c:v>-3.3425238633554843</c:v>
                </c:pt>
                <c:pt idx="279">
                  <c:v>0.66804270957573275</c:v>
                </c:pt>
                <c:pt idx="280">
                  <c:v>-0.88866965612298054</c:v>
                </c:pt>
                <c:pt idx="281">
                  <c:v>-2.9890259082050008</c:v>
                </c:pt>
                <c:pt idx="282">
                  <c:v>-0.10546935205723978</c:v>
                </c:pt>
                <c:pt idx="283">
                  <c:v>-0.80343283096620999</c:v>
                </c:pt>
                <c:pt idx="284">
                  <c:v>-0.28350734550707801</c:v>
                </c:pt>
                <c:pt idx="285">
                  <c:v>-1.7985763796354579</c:v>
                </c:pt>
                <c:pt idx="286">
                  <c:v>-0.60600215004495128</c:v>
                </c:pt>
                <c:pt idx="287">
                  <c:v>-0.60602033555551627</c:v>
                </c:pt>
                <c:pt idx="288">
                  <c:v>-2.5227344139381658</c:v>
                </c:pt>
                <c:pt idx="289">
                  <c:v>-2.5227730740445433</c:v>
                </c:pt>
                <c:pt idx="290">
                  <c:v>-2.5071551391015015</c:v>
                </c:pt>
                <c:pt idx="291">
                  <c:v>-1.6216511940312488</c:v>
                </c:pt>
                <c:pt idx="292">
                  <c:v>-1.0972102383121722</c:v>
                </c:pt>
                <c:pt idx="293">
                  <c:v>-3.402121853331872</c:v>
                </c:pt>
                <c:pt idx="294">
                  <c:v>-3.4024818755725024</c:v>
                </c:pt>
                <c:pt idx="295">
                  <c:v>-1.5916097017707502</c:v>
                </c:pt>
                <c:pt idx="296">
                  <c:v>-1.198416438218425</c:v>
                </c:pt>
                <c:pt idx="297">
                  <c:v>-0.56315408412807211</c:v>
                </c:pt>
                <c:pt idx="298">
                  <c:v>-1.944920726870107</c:v>
                </c:pt>
                <c:pt idx="299">
                  <c:v>-1.9454309385371555</c:v>
                </c:pt>
                <c:pt idx="300">
                  <c:v>-1.9930296575652431</c:v>
                </c:pt>
                <c:pt idx="301">
                  <c:v>-1.1437120848230997</c:v>
                </c:pt>
                <c:pt idx="302">
                  <c:v>-2.1099024879174695</c:v>
                </c:pt>
                <c:pt idx="303">
                  <c:v>-4.1476752691185323</c:v>
                </c:pt>
                <c:pt idx="304">
                  <c:v>-4.1477986253790169</c:v>
                </c:pt>
                <c:pt idx="305">
                  <c:v>-3.3823134437576297</c:v>
                </c:pt>
                <c:pt idx="306">
                  <c:v>-3.3824955532060881</c:v>
                </c:pt>
                <c:pt idx="307">
                  <c:v>-1.3372914844307426</c:v>
                </c:pt>
                <c:pt idx="308">
                  <c:v>-1.5125557887453449</c:v>
                </c:pt>
                <c:pt idx="309">
                  <c:v>-1.5126647746373345</c:v>
                </c:pt>
                <c:pt idx="310">
                  <c:v>-2.8125349687209549</c:v>
                </c:pt>
                <c:pt idx="311">
                  <c:v>-0.83531376756518494</c:v>
                </c:pt>
                <c:pt idx="312">
                  <c:v>-0.8355340284344086</c:v>
                </c:pt>
                <c:pt idx="313">
                  <c:v>-3.0082203081931698</c:v>
                </c:pt>
                <c:pt idx="314">
                  <c:v>-3.7330650141548238</c:v>
                </c:pt>
                <c:pt idx="315">
                  <c:v>-3.7334312677941806</c:v>
                </c:pt>
                <c:pt idx="316">
                  <c:v>-0.13127252558089267</c:v>
                </c:pt>
                <c:pt idx="317">
                  <c:v>-0.81632510397969682</c:v>
                </c:pt>
                <c:pt idx="318">
                  <c:v>-1.3308726397761246</c:v>
                </c:pt>
                <c:pt idx="319">
                  <c:v>0.29571620778323315</c:v>
                </c:pt>
                <c:pt idx="320">
                  <c:v>-1.7669953247700902</c:v>
                </c:pt>
                <c:pt idx="321">
                  <c:v>1.1567947394095943</c:v>
                </c:pt>
                <c:pt idx="322">
                  <c:v>-1.1696313001963359</c:v>
                </c:pt>
                <c:pt idx="323">
                  <c:v>-1.1697533847427879</c:v>
                </c:pt>
                <c:pt idx="324">
                  <c:v>-1.1170602874543538</c:v>
                </c:pt>
                <c:pt idx="325">
                  <c:v>-0.69720588828424579</c:v>
                </c:pt>
                <c:pt idx="326">
                  <c:v>0.59384119615790565</c:v>
                </c:pt>
                <c:pt idx="327">
                  <c:v>-2.683788724014895</c:v>
                </c:pt>
                <c:pt idx="328">
                  <c:v>-1.887539615027221</c:v>
                </c:pt>
                <c:pt idx="329">
                  <c:v>-1.2666043847449222</c:v>
                </c:pt>
                <c:pt idx="330">
                  <c:v>-2.4077398561702985</c:v>
                </c:pt>
                <c:pt idx="331">
                  <c:v>-2.4081396830599298</c:v>
                </c:pt>
                <c:pt idx="332">
                  <c:v>-0.9937093378838705</c:v>
                </c:pt>
                <c:pt idx="333">
                  <c:v>-3.0063880202629067</c:v>
                </c:pt>
                <c:pt idx="334">
                  <c:v>-1.1157077991107094</c:v>
                </c:pt>
                <c:pt idx="335">
                  <c:v>-3.3275948835221199</c:v>
                </c:pt>
                <c:pt idx="336">
                  <c:v>-2.3211183060847698</c:v>
                </c:pt>
                <c:pt idx="337">
                  <c:v>-1.7826247263324131</c:v>
                </c:pt>
                <c:pt idx="338">
                  <c:v>-1.7828907689065572</c:v>
                </c:pt>
                <c:pt idx="339">
                  <c:v>-2.6304488235280816</c:v>
                </c:pt>
                <c:pt idx="340">
                  <c:v>-3.5989141717758977</c:v>
                </c:pt>
                <c:pt idx="341">
                  <c:v>-3.5992399849092429</c:v>
                </c:pt>
                <c:pt idx="342">
                  <c:v>-0.9700581516635115</c:v>
                </c:pt>
                <c:pt idx="343">
                  <c:v>-2.9899246315496084</c:v>
                </c:pt>
                <c:pt idx="344">
                  <c:v>-0.66888261510796065</c:v>
                </c:pt>
                <c:pt idx="345">
                  <c:v>-3.2120247359553242</c:v>
                </c:pt>
                <c:pt idx="346">
                  <c:v>-1.9914893767234505</c:v>
                </c:pt>
                <c:pt idx="347">
                  <c:v>-2.3957685513428992</c:v>
                </c:pt>
                <c:pt idx="348">
                  <c:v>0.17087952599963027</c:v>
                </c:pt>
                <c:pt idx="349">
                  <c:v>0.17075171874006345</c:v>
                </c:pt>
                <c:pt idx="350">
                  <c:v>-3.6674890703917682</c:v>
                </c:pt>
                <c:pt idx="351">
                  <c:v>-2.4735901350198346</c:v>
                </c:pt>
                <c:pt idx="352">
                  <c:v>-2.401638971165402</c:v>
                </c:pt>
                <c:pt idx="353">
                  <c:v>-1.6342466031186977</c:v>
                </c:pt>
                <c:pt idx="354">
                  <c:v>-1.1502178375440457</c:v>
                </c:pt>
                <c:pt idx="355">
                  <c:v>-1.5706437568823284</c:v>
                </c:pt>
                <c:pt idx="356">
                  <c:v>-0.1359419774839111</c:v>
                </c:pt>
                <c:pt idx="357">
                  <c:v>-0.13600149370030629</c:v>
                </c:pt>
                <c:pt idx="358">
                  <c:v>-4.6397722615864136</c:v>
                </c:pt>
                <c:pt idx="359">
                  <c:v>-0.54164049472632803</c:v>
                </c:pt>
                <c:pt idx="360">
                  <c:v>1.3174840339162248</c:v>
                </c:pt>
                <c:pt idx="361">
                  <c:v>-3.7685012824240069</c:v>
                </c:pt>
                <c:pt idx="362">
                  <c:v>-3.5316188114456195</c:v>
                </c:pt>
                <c:pt idx="363">
                  <c:v>-3.988398833158675</c:v>
                </c:pt>
                <c:pt idx="364">
                  <c:v>-3.0471444370390146</c:v>
                </c:pt>
                <c:pt idx="365">
                  <c:v>-1.9842873195705126</c:v>
                </c:pt>
                <c:pt idx="366">
                  <c:v>-2.5130688317709042</c:v>
                </c:pt>
                <c:pt idx="367">
                  <c:v>-2.5132085931423158</c:v>
                </c:pt>
                <c:pt idx="368">
                  <c:v>-2.2169059307030694</c:v>
                </c:pt>
                <c:pt idx="369">
                  <c:v>-4.637585249424693</c:v>
                </c:pt>
                <c:pt idx="370">
                  <c:v>-1.0493922940974234</c:v>
                </c:pt>
                <c:pt idx="371">
                  <c:v>-2.4418088223462995</c:v>
                </c:pt>
                <c:pt idx="372">
                  <c:v>-2.561152510307108</c:v>
                </c:pt>
                <c:pt idx="373">
                  <c:v>-4.8762358829033179</c:v>
                </c:pt>
                <c:pt idx="374">
                  <c:v>-3.8595883543197607</c:v>
                </c:pt>
                <c:pt idx="375">
                  <c:v>-1.599579312574358</c:v>
                </c:pt>
                <c:pt idx="376">
                  <c:v>-2.0517422932243816</c:v>
                </c:pt>
                <c:pt idx="377">
                  <c:v>-1.5640260641025061</c:v>
                </c:pt>
                <c:pt idx="378">
                  <c:v>-0.74986735709135921</c:v>
                </c:pt>
                <c:pt idx="379">
                  <c:v>-2.7300004828611031</c:v>
                </c:pt>
                <c:pt idx="380">
                  <c:v>0.40158354195586271</c:v>
                </c:pt>
                <c:pt idx="381">
                  <c:v>0.47409651190328428</c:v>
                </c:pt>
                <c:pt idx="382">
                  <c:v>-2.8781521545515059</c:v>
                </c:pt>
                <c:pt idx="383">
                  <c:v>-2.8783294314866668</c:v>
                </c:pt>
                <c:pt idx="384">
                  <c:v>-1.3297027206918661</c:v>
                </c:pt>
                <c:pt idx="385">
                  <c:v>-3.4400965817388061</c:v>
                </c:pt>
                <c:pt idx="386">
                  <c:v>-3.6211823488583272</c:v>
                </c:pt>
                <c:pt idx="387">
                  <c:v>-2.9143208859803225</c:v>
                </c:pt>
                <c:pt idx="388">
                  <c:v>-2.9146155421200395</c:v>
                </c:pt>
                <c:pt idx="389">
                  <c:v>-1.4602025422279463</c:v>
                </c:pt>
                <c:pt idx="390">
                  <c:v>-2.3584630369529127</c:v>
                </c:pt>
                <c:pt idx="391">
                  <c:v>-4.586305458079341</c:v>
                </c:pt>
                <c:pt idx="392">
                  <c:v>-0.48981513885593886</c:v>
                </c:pt>
                <c:pt idx="393">
                  <c:v>-4.3852637129918497</c:v>
                </c:pt>
                <c:pt idx="394">
                  <c:v>-3.9712241914192283</c:v>
                </c:pt>
                <c:pt idx="395">
                  <c:v>-3.9714392382609445</c:v>
                </c:pt>
                <c:pt idx="396">
                  <c:v>-2.7286201608755944</c:v>
                </c:pt>
                <c:pt idx="397">
                  <c:v>-1.4167083909286862</c:v>
                </c:pt>
                <c:pt idx="398">
                  <c:v>-2.7287323260526479</c:v>
                </c:pt>
                <c:pt idx="399">
                  <c:v>-2.3887884106223005</c:v>
                </c:pt>
                <c:pt idx="400">
                  <c:v>-3.1571762176957932</c:v>
                </c:pt>
                <c:pt idx="401">
                  <c:v>-3.5288888551135198</c:v>
                </c:pt>
                <c:pt idx="402">
                  <c:v>-3.5290704558763681</c:v>
                </c:pt>
                <c:pt idx="403">
                  <c:v>-1.6160974012977001</c:v>
                </c:pt>
                <c:pt idx="404">
                  <c:v>-1.6084363540053035</c:v>
                </c:pt>
                <c:pt idx="405">
                  <c:v>-1.9116936953536798</c:v>
                </c:pt>
                <c:pt idx="406">
                  <c:v>-2.1415469283494213</c:v>
                </c:pt>
                <c:pt idx="407">
                  <c:v>-1.9096111759978198</c:v>
                </c:pt>
                <c:pt idx="408">
                  <c:v>-1.9098468246067535</c:v>
                </c:pt>
                <c:pt idx="409">
                  <c:v>-1.4126458520110565</c:v>
                </c:pt>
                <c:pt idx="410">
                  <c:v>-1.4130366497311053</c:v>
                </c:pt>
                <c:pt idx="411">
                  <c:v>-4.1103560333917581</c:v>
                </c:pt>
                <c:pt idx="412">
                  <c:v>-6.1628546945615472</c:v>
                </c:pt>
                <c:pt idx="413">
                  <c:v>-0.46699916163929783</c:v>
                </c:pt>
                <c:pt idx="414">
                  <c:v>-2.8766068760223829</c:v>
                </c:pt>
                <c:pt idx="415">
                  <c:v>-2.24899755537955</c:v>
                </c:pt>
                <c:pt idx="416">
                  <c:v>-2.2490538923108829</c:v>
                </c:pt>
                <c:pt idx="417">
                  <c:v>-2.7381135150507134</c:v>
                </c:pt>
                <c:pt idx="418">
                  <c:v>-6.180951754588639</c:v>
                </c:pt>
                <c:pt idx="419">
                  <c:v>-3.7008604765698019</c:v>
                </c:pt>
                <c:pt idx="420">
                  <c:v>-0.42884631500343617</c:v>
                </c:pt>
                <c:pt idx="421">
                  <c:v>-0.42893177418595296</c:v>
                </c:pt>
                <c:pt idx="422">
                  <c:v>-2.0476672905714115</c:v>
                </c:pt>
                <c:pt idx="423">
                  <c:v>-2.7699622613617056</c:v>
                </c:pt>
                <c:pt idx="424">
                  <c:v>-4.4577426438565206</c:v>
                </c:pt>
                <c:pt idx="425">
                  <c:v>-4.6956596775948229</c:v>
                </c:pt>
                <c:pt idx="426">
                  <c:v>-4.6957465356627681</c:v>
                </c:pt>
                <c:pt idx="427">
                  <c:v>-4.2346779989886389</c:v>
                </c:pt>
                <c:pt idx="428">
                  <c:v>-3.9669727736087821</c:v>
                </c:pt>
                <c:pt idx="429">
                  <c:v>0.3246536293080437</c:v>
                </c:pt>
                <c:pt idx="430">
                  <c:v>-0.6237131330227339</c:v>
                </c:pt>
                <c:pt idx="431">
                  <c:v>-3.8093101352815317</c:v>
                </c:pt>
                <c:pt idx="432">
                  <c:v>-0.25816094546517704</c:v>
                </c:pt>
                <c:pt idx="433">
                  <c:v>-4.4367664219759781</c:v>
                </c:pt>
                <c:pt idx="434">
                  <c:v>0.43319560703896437</c:v>
                </c:pt>
                <c:pt idx="435">
                  <c:v>-2.9611062475906151</c:v>
                </c:pt>
                <c:pt idx="436">
                  <c:v>-2.7961829005877084</c:v>
                </c:pt>
                <c:pt idx="437">
                  <c:v>-3.2246911964585285</c:v>
                </c:pt>
                <c:pt idx="438">
                  <c:v>-1.8173380415072145</c:v>
                </c:pt>
                <c:pt idx="439">
                  <c:v>-0.19415737470590788</c:v>
                </c:pt>
                <c:pt idx="440">
                  <c:v>-5.4930666485963844</c:v>
                </c:pt>
                <c:pt idx="441">
                  <c:v>-3.9615953494655622</c:v>
                </c:pt>
                <c:pt idx="442">
                  <c:v>-3.9013871558791089</c:v>
                </c:pt>
                <c:pt idx="443">
                  <c:v>-3.9014302669845744</c:v>
                </c:pt>
                <c:pt idx="444">
                  <c:v>-4.67609717600254</c:v>
                </c:pt>
                <c:pt idx="445">
                  <c:v>-3.486384160098662</c:v>
                </c:pt>
                <c:pt idx="446">
                  <c:v>-3.437663402924537</c:v>
                </c:pt>
                <c:pt idx="447">
                  <c:v>-3.9581784742465564</c:v>
                </c:pt>
                <c:pt idx="448">
                  <c:v>-4.1621477991401106</c:v>
                </c:pt>
                <c:pt idx="449">
                  <c:v>-4.3144826411134858</c:v>
                </c:pt>
                <c:pt idx="450">
                  <c:v>-5.3954135949457678</c:v>
                </c:pt>
                <c:pt idx="451">
                  <c:v>-1.7312639404023997</c:v>
                </c:pt>
                <c:pt idx="452">
                  <c:v>-4.2367637857668239</c:v>
                </c:pt>
                <c:pt idx="453">
                  <c:v>-4.2607428409805648</c:v>
                </c:pt>
                <c:pt idx="454">
                  <c:v>-6.3491686376352758</c:v>
                </c:pt>
                <c:pt idx="455">
                  <c:v>-3.5598946380540215</c:v>
                </c:pt>
                <c:pt idx="456">
                  <c:v>-3.5605895498894995</c:v>
                </c:pt>
                <c:pt idx="457">
                  <c:v>-3.1897672604221592</c:v>
                </c:pt>
                <c:pt idx="458">
                  <c:v>-4.9462508352838741</c:v>
                </c:pt>
                <c:pt idx="459">
                  <c:v>-3.3890666269372525</c:v>
                </c:pt>
                <c:pt idx="460">
                  <c:v>-2.1541003356721862</c:v>
                </c:pt>
                <c:pt idx="461">
                  <c:v>-4.0756039086057543</c:v>
                </c:pt>
                <c:pt idx="462">
                  <c:v>-6.7413578934729657</c:v>
                </c:pt>
                <c:pt idx="463">
                  <c:v>-3.8717848104501922</c:v>
                </c:pt>
                <c:pt idx="464">
                  <c:v>-4.4297838345116807</c:v>
                </c:pt>
                <c:pt idx="465">
                  <c:v>-6.1462346420473555</c:v>
                </c:pt>
                <c:pt idx="466">
                  <c:v>-3.344862496290653</c:v>
                </c:pt>
                <c:pt idx="467">
                  <c:v>-2.4224706798198654</c:v>
                </c:pt>
                <c:pt idx="468">
                  <c:v>-2.6506378858908919</c:v>
                </c:pt>
                <c:pt idx="469">
                  <c:v>-2.5335678409618567</c:v>
                </c:pt>
                <c:pt idx="470">
                  <c:v>-0.45416819679863113</c:v>
                </c:pt>
                <c:pt idx="471">
                  <c:v>-1.8526896522881817</c:v>
                </c:pt>
                <c:pt idx="472">
                  <c:v>-3.8200135548588841</c:v>
                </c:pt>
                <c:pt idx="473">
                  <c:v>-3.3535067490254029</c:v>
                </c:pt>
              </c:numCache>
            </c:numRef>
          </c:xVal>
          <c:yVal>
            <c:numRef>
              <c:f>'3 pc'!$P$2:$P$475</c:f>
              <c:numCache>
                <c:formatCode>#0.000</c:formatCode>
                <c:ptCount val="474"/>
                <c:pt idx="0">
                  <c:v>-0.76512384463834826</c:v>
                </c:pt>
                <c:pt idx="1">
                  <c:v>1.2791033455853358</c:v>
                </c:pt>
                <c:pt idx="2">
                  <c:v>0.84979636301627615</c:v>
                </c:pt>
                <c:pt idx="3">
                  <c:v>0.85312963584262835</c:v>
                </c:pt>
                <c:pt idx="4">
                  <c:v>0.59964520071413385</c:v>
                </c:pt>
                <c:pt idx="5">
                  <c:v>0.81208754181632614</c:v>
                </c:pt>
                <c:pt idx="6">
                  <c:v>0.13832046035869805</c:v>
                </c:pt>
                <c:pt idx="7">
                  <c:v>-0.61369314275426368</c:v>
                </c:pt>
                <c:pt idx="8">
                  <c:v>-0.61365492354480822</c:v>
                </c:pt>
                <c:pt idx="9">
                  <c:v>0.53252150274517707</c:v>
                </c:pt>
                <c:pt idx="10">
                  <c:v>-0.30213224392654842</c:v>
                </c:pt>
                <c:pt idx="11">
                  <c:v>-0.40687430484357295</c:v>
                </c:pt>
                <c:pt idx="12">
                  <c:v>-0.33777946619139448</c:v>
                </c:pt>
                <c:pt idx="13">
                  <c:v>-0.3377507777167903</c:v>
                </c:pt>
                <c:pt idx="14">
                  <c:v>-0.25638525942696572</c:v>
                </c:pt>
                <c:pt idx="15">
                  <c:v>1.1059147724808447</c:v>
                </c:pt>
                <c:pt idx="16">
                  <c:v>-0.28110182461999361</c:v>
                </c:pt>
                <c:pt idx="17">
                  <c:v>1.0332071991035909</c:v>
                </c:pt>
                <c:pt idx="18">
                  <c:v>-0.18180458448725464</c:v>
                </c:pt>
                <c:pt idx="19">
                  <c:v>-0.42391793151961432</c:v>
                </c:pt>
                <c:pt idx="20">
                  <c:v>-0.15872726911608998</c:v>
                </c:pt>
                <c:pt idx="21">
                  <c:v>-0.21975287587036685</c:v>
                </c:pt>
                <c:pt idx="22">
                  <c:v>-0.58682915403248903</c:v>
                </c:pt>
                <c:pt idx="23">
                  <c:v>-0.22397559012051199</c:v>
                </c:pt>
                <c:pt idx="24">
                  <c:v>-0.39216378504994837</c:v>
                </c:pt>
                <c:pt idx="25">
                  <c:v>1.1184447125393744</c:v>
                </c:pt>
                <c:pt idx="26">
                  <c:v>-0.33368336180664088</c:v>
                </c:pt>
                <c:pt idx="27">
                  <c:v>4.5637759746505004E-2</c:v>
                </c:pt>
                <c:pt idx="28">
                  <c:v>-0.43651925308435013</c:v>
                </c:pt>
                <c:pt idx="29">
                  <c:v>-0.25234372180782344</c:v>
                </c:pt>
                <c:pt idx="30">
                  <c:v>-0.24005298365591637</c:v>
                </c:pt>
                <c:pt idx="31">
                  <c:v>-0.30465829181768767</c:v>
                </c:pt>
                <c:pt idx="32">
                  <c:v>-0.8890798221209355</c:v>
                </c:pt>
                <c:pt idx="33">
                  <c:v>-0.55051894305358373</c:v>
                </c:pt>
                <c:pt idx="34">
                  <c:v>-0.44290918264571782</c:v>
                </c:pt>
                <c:pt idx="35">
                  <c:v>8.6418246119975388E-3</c:v>
                </c:pt>
                <c:pt idx="36">
                  <c:v>-0.26245326487571663</c:v>
                </c:pt>
                <c:pt idx="37">
                  <c:v>-0.24476600230614015</c:v>
                </c:pt>
                <c:pt idx="38">
                  <c:v>0.95680978053941701</c:v>
                </c:pt>
                <c:pt idx="39">
                  <c:v>-0.7088206402863666</c:v>
                </c:pt>
                <c:pt idx="40">
                  <c:v>0.32074535920620567</c:v>
                </c:pt>
                <c:pt idx="41">
                  <c:v>-0.23016927330371267</c:v>
                </c:pt>
                <c:pt idx="42">
                  <c:v>-1.1877991031938519E-4</c:v>
                </c:pt>
                <c:pt idx="43">
                  <c:v>-0.26580418461423044</c:v>
                </c:pt>
                <c:pt idx="44">
                  <c:v>-0.26579360971961685</c:v>
                </c:pt>
                <c:pt idx="45">
                  <c:v>-0.42722914867626671</c:v>
                </c:pt>
                <c:pt idx="46">
                  <c:v>-0.543515885302846</c:v>
                </c:pt>
                <c:pt idx="47">
                  <c:v>-0.10937421919475099</c:v>
                </c:pt>
                <c:pt idx="48">
                  <c:v>-0.29813953863885428</c:v>
                </c:pt>
                <c:pt idx="49">
                  <c:v>-4.1006311293613415E-3</c:v>
                </c:pt>
                <c:pt idx="50">
                  <c:v>-0.40155631459317953</c:v>
                </c:pt>
                <c:pt idx="51">
                  <c:v>-0.17141916392637349</c:v>
                </c:pt>
                <c:pt idx="52">
                  <c:v>-0.45579974805979923</c:v>
                </c:pt>
                <c:pt idx="53">
                  <c:v>-0.29589317450525482</c:v>
                </c:pt>
                <c:pt idx="54">
                  <c:v>-0.75557517236359339</c:v>
                </c:pt>
                <c:pt idx="55">
                  <c:v>-0.29961222243984115</c:v>
                </c:pt>
                <c:pt idx="56">
                  <c:v>2.4101626728006573E-2</c:v>
                </c:pt>
                <c:pt idx="57">
                  <c:v>-0.12509572496935817</c:v>
                </c:pt>
                <c:pt idx="58">
                  <c:v>-0.26995148668186125</c:v>
                </c:pt>
                <c:pt idx="59">
                  <c:v>-0.27711605302171782</c:v>
                </c:pt>
                <c:pt idx="60">
                  <c:v>-0.31968820591751435</c:v>
                </c:pt>
                <c:pt idx="61">
                  <c:v>-0.40899281052803055</c:v>
                </c:pt>
                <c:pt idx="62">
                  <c:v>-0.11757591982592901</c:v>
                </c:pt>
                <c:pt idx="63">
                  <c:v>-0.44739252621101139</c:v>
                </c:pt>
                <c:pt idx="64">
                  <c:v>-0.31189223011326761</c:v>
                </c:pt>
                <c:pt idx="65">
                  <c:v>-6.9173360102067927E-2</c:v>
                </c:pt>
                <c:pt idx="66">
                  <c:v>-0.84530036916352758</c:v>
                </c:pt>
                <c:pt idx="67">
                  <c:v>-0.54882830971976293</c:v>
                </c:pt>
                <c:pt idx="68">
                  <c:v>-0.1798059466270632</c:v>
                </c:pt>
                <c:pt idx="69">
                  <c:v>-0.53222112923618303</c:v>
                </c:pt>
                <c:pt idx="70">
                  <c:v>0.37755778455865768</c:v>
                </c:pt>
                <c:pt idx="71">
                  <c:v>-0.38374829955667022</c:v>
                </c:pt>
                <c:pt idx="72">
                  <c:v>-0.50053306497752681</c:v>
                </c:pt>
                <c:pt idx="73">
                  <c:v>3.7493077048404315E-2</c:v>
                </c:pt>
                <c:pt idx="74">
                  <c:v>-0.22025708551375422</c:v>
                </c:pt>
                <c:pt idx="75">
                  <c:v>-0.50818958168529682</c:v>
                </c:pt>
                <c:pt idx="76">
                  <c:v>-0.11685495710593737</c:v>
                </c:pt>
                <c:pt idx="77">
                  <c:v>-0.48225292735446212</c:v>
                </c:pt>
                <c:pt idx="78">
                  <c:v>-0.33194848226247059</c:v>
                </c:pt>
                <c:pt idx="79">
                  <c:v>-0.34527147801880631</c:v>
                </c:pt>
                <c:pt idx="80">
                  <c:v>-0.32456755308667434</c:v>
                </c:pt>
                <c:pt idx="81">
                  <c:v>-0.19293443376184732</c:v>
                </c:pt>
                <c:pt idx="82">
                  <c:v>-0.49618287623231955</c:v>
                </c:pt>
                <c:pt idx="83">
                  <c:v>1.6151893849236041</c:v>
                </c:pt>
                <c:pt idx="84">
                  <c:v>-8.8825125915228745E-2</c:v>
                </c:pt>
                <c:pt idx="85">
                  <c:v>-0.13641904962855592</c:v>
                </c:pt>
                <c:pt idx="86">
                  <c:v>-0.34054108055450949</c:v>
                </c:pt>
                <c:pt idx="87">
                  <c:v>-0.19428994544810682</c:v>
                </c:pt>
                <c:pt idx="88">
                  <c:v>-0.28656459642063503</c:v>
                </c:pt>
                <c:pt idx="89">
                  <c:v>-0.12593767537940204</c:v>
                </c:pt>
                <c:pt idx="90">
                  <c:v>0.89649895871328844</c:v>
                </c:pt>
                <c:pt idx="91">
                  <c:v>-0.46759060705650829</c:v>
                </c:pt>
                <c:pt idx="92">
                  <c:v>0.6314194646861665</c:v>
                </c:pt>
                <c:pt idx="93">
                  <c:v>4.9207450756514379E-2</c:v>
                </c:pt>
                <c:pt idx="94">
                  <c:v>-0.21326224465977367</c:v>
                </c:pt>
                <c:pt idx="95">
                  <c:v>0.25279408129478936</c:v>
                </c:pt>
                <c:pt idx="96">
                  <c:v>-0.22473323976204082</c:v>
                </c:pt>
                <c:pt idx="97">
                  <c:v>-5.9527961586132307E-2</c:v>
                </c:pt>
                <c:pt idx="98">
                  <c:v>0.53795839410107327</c:v>
                </c:pt>
                <c:pt idx="99">
                  <c:v>4.441549311027107E-2</c:v>
                </c:pt>
                <c:pt idx="100">
                  <c:v>-0.449229862149638</c:v>
                </c:pt>
                <c:pt idx="101">
                  <c:v>-0.21867204836572643</c:v>
                </c:pt>
                <c:pt idx="102">
                  <c:v>-0.15548624522949289</c:v>
                </c:pt>
                <c:pt idx="103">
                  <c:v>0.42081893966857264</c:v>
                </c:pt>
                <c:pt idx="104">
                  <c:v>-0.322006689850106</c:v>
                </c:pt>
                <c:pt idx="105">
                  <c:v>-0.48401801777704034</c:v>
                </c:pt>
                <c:pt idx="106">
                  <c:v>-0.51540146898437411</c:v>
                </c:pt>
                <c:pt idx="107">
                  <c:v>-3.2355509753253055E-2</c:v>
                </c:pt>
                <c:pt idx="108">
                  <c:v>-0.40536028854461503</c:v>
                </c:pt>
                <c:pt idx="109">
                  <c:v>0.17944758788200041</c:v>
                </c:pt>
                <c:pt idx="110">
                  <c:v>-5.247725449275701E-2</c:v>
                </c:pt>
                <c:pt idx="111">
                  <c:v>-0.46956077573921856</c:v>
                </c:pt>
                <c:pt idx="112">
                  <c:v>-0.47709108334815636</c:v>
                </c:pt>
                <c:pt idx="113">
                  <c:v>-0.54558260893084343</c:v>
                </c:pt>
                <c:pt idx="114">
                  <c:v>-0.32130306735547559</c:v>
                </c:pt>
                <c:pt idx="115">
                  <c:v>-0.39011552040903563</c:v>
                </c:pt>
                <c:pt idx="116">
                  <c:v>-0.29620326212700127</c:v>
                </c:pt>
                <c:pt idx="117">
                  <c:v>0.6169898047876442</c:v>
                </c:pt>
                <c:pt idx="118">
                  <c:v>-3.985230371277159E-2</c:v>
                </c:pt>
                <c:pt idx="119">
                  <c:v>-0.36695572164421242</c:v>
                </c:pt>
                <c:pt idx="120">
                  <c:v>-0.6978047570057484</c:v>
                </c:pt>
                <c:pt idx="121">
                  <c:v>0.72791258613709187</c:v>
                </c:pt>
                <c:pt idx="122">
                  <c:v>-2.8919685913354302E-2</c:v>
                </c:pt>
                <c:pt idx="123">
                  <c:v>0.59237904238343497</c:v>
                </c:pt>
                <c:pt idx="124">
                  <c:v>-0.41990378433439701</c:v>
                </c:pt>
                <c:pt idx="125">
                  <c:v>7.8679671095538126E-2</c:v>
                </c:pt>
                <c:pt idx="126">
                  <c:v>-0.36935149095757219</c:v>
                </c:pt>
                <c:pt idx="127">
                  <c:v>0.29216199883669386</c:v>
                </c:pt>
                <c:pt idx="128">
                  <c:v>-1.6335807983206794</c:v>
                </c:pt>
                <c:pt idx="129">
                  <c:v>0.35793452439924001</c:v>
                </c:pt>
                <c:pt idx="130">
                  <c:v>0.6546927974426513</c:v>
                </c:pt>
                <c:pt idx="131">
                  <c:v>1.0157029437196679</c:v>
                </c:pt>
                <c:pt idx="132">
                  <c:v>-0.16584787870597945</c:v>
                </c:pt>
                <c:pt idx="133">
                  <c:v>-0.39214842495342705</c:v>
                </c:pt>
                <c:pt idx="134">
                  <c:v>0.52744408009133603</c:v>
                </c:pt>
                <c:pt idx="135">
                  <c:v>-0.4018743256020782</c:v>
                </c:pt>
                <c:pt idx="136">
                  <c:v>0.49197227997729909</c:v>
                </c:pt>
                <c:pt idx="137">
                  <c:v>-0.23316838820850794</c:v>
                </c:pt>
                <c:pt idx="138">
                  <c:v>-0.42649969984756964</c:v>
                </c:pt>
                <c:pt idx="139">
                  <c:v>8.5367659932997664E-2</c:v>
                </c:pt>
                <c:pt idx="140">
                  <c:v>-0.58463438620165742</c:v>
                </c:pt>
                <c:pt idx="141">
                  <c:v>-0.92511713676999674</c:v>
                </c:pt>
                <c:pt idx="142">
                  <c:v>-0.48107663506534354</c:v>
                </c:pt>
                <c:pt idx="143">
                  <c:v>-0.48355280840293274</c:v>
                </c:pt>
                <c:pt idx="144">
                  <c:v>-0.48474583977425673</c:v>
                </c:pt>
                <c:pt idx="145">
                  <c:v>-0.82230569151153621</c:v>
                </c:pt>
                <c:pt idx="146">
                  <c:v>-0.2461546388016892</c:v>
                </c:pt>
                <c:pt idx="147">
                  <c:v>0.70410750332139505</c:v>
                </c:pt>
                <c:pt idx="148">
                  <c:v>-0.17338423972545108</c:v>
                </c:pt>
                <c:pt idx="149">
                  <c:v>0.63415969346545509</c:v>
                </c:pt>
                <c:pt idx="150">
                  <c:v>0.19805396694402141</c:v>
                </c:pt>
                <c:pt idx="151">
                  <c:v>0.11916992598066616</c:v>
                </c:pt>
                <c:pt idx="152">
                  <c:v>-0.61873396600124719</c:v>
                </c:pt>
                <c:pt idx="153">
                  <c:v>-0.64859894681878605</c:v>
                </c:pt>
                <c:pt idx="154">
                  <c:v>0.55235819817138454</c:v>
                </c:pt>
                <c:pt idx="155">
                  <c:v>0.50040498657527999</c:v>
                </c:pt>
                <c:pt idx="156">
                  <c:v>-0.40307558715884184</c:v>
                </c:pt>
                <c:pt idx="157">
                  <c:v>0.13796219571052129</c:v>
                </c:pt>
                <c:pt idx="158">
                  <c:v>-5.259741931242172E-2</c:v>
                </c:pt>
                <c:pt idx="159">
                  <c:v>-0.67031589020224314</c:v>
                </c:pt>
                <c:pt idx="160">
                  <c:v>0.58074824944482639</c:v>
                </c:pt>
                <c:pt idx="161">
                  <c:v>1.2549794666860741</c:v>
                </c:pt>
                <c:pt idx="162">
                  <c:v>0.66805805450016253</c:v>
                </c:pt>
                <c:pt idx="163">
                  <c:v>-6.789140262053496E-2</c:v>
                </c:pt>
                <c:pt idx="164">
                  <c:v>-0.28268669541123692</c:v>
                </c:pt>
                <c:pt idx="165">
                  <c:v>-0.69105908436801955</c:v>
                </c:pt>
                <c:pt idx="166">
                  <c:v>0.27942088004337018</c:v>
                </c:pt>
                <c:pt idx="167">
                  <c:v>0.31810519966672801</c:v>
                </c:pt>
                <c:pt idx="168">
                  <c:v>0.27335425076879222</c:v>
                </c:pt>
                <c:pt idx="169">
                  <c:v>4.8645702214071725E-2</c:v>
                </c:pt>
                <c:pt idx="170">
                  <c:v>-1.1799322792574898</c:v>
                </c:pt>
                <c:pt idx="171">
                  <c:v>-0.89556418333154963</c:v>
                </c:pt>
                <c:pt idx="172">
                  <c:v>-0.2958226159968943</c:v>
                </c:pt>
                <c:pt idx="173">
                  <c:v>-5.0298479750698136E-3</c:v>
                </c:pt>
                <c:pt idx="174">
                  <c:v>-0.74270814637123361</c:v>
                </c:pt>
                <c:pt idx="175">
                  <c:v>0.65855603212733482</c:v>
                </c:pt>
                <c:pt idx="176">
                  <c:v>-1.2802789849217411</c:v>
                </c:pt>
                <c:pt idx="177">
                  <c:v>0.51580342182016936</c:v>
                </c:pt>
                <c:pt idx="178">
                  <c:v>-0.68967834825627594</c:v>
                </c:pt>
                <c:pt idx="179">
                  <c:v>-1.3409889121818828</c:v>
                </c:pt>
                <c:pt idx="180">
                  <c:v>-0.68605706672609579</c:v>
                </c:pt>
                <c:pt idx="181">
                  <c:v>-0.37611484710567733</c:v>
                </c:pt>
                <c:pt idx="182">
                  <c:v>-1.5146425827350185</c:v>
                </c:pt>
                <c:pt idx="183">
                  <c:v>-0.82462714257436598</c:v>
                </c:pt>
                <c:pt idx="184">
                  <c:v>-0.2731495688566053</c:v>
                </c:pt>
                <c:pt idx="185">
                  <c:v>-1.0069947582518286</c:v>
                </c:pt>
                <c:pt idx="186">
                  <c:v>-0.62308048521598813</c:v>
                </c:pt>
                <c:pt idx="187">
                  <c:v>-0.48058433751205359</c:v>
                </c:pt>
                <c:pt idx="188">
                  <c:v>0.10108150201802127</c:v>
                </c:pt>
                <c:pt idx="189">
                  <c:v>0.20439538097493476</c:v>
                </c:pt>
                <c:pt idx="190">
                  <c:v>0.11637624195642657</c:v>
                </c:pt>
                <c:pt idx="191">
                  <c:v>-0.65739060071820465</c:v>
                </c:pt>
                <c:pt idx="192">
                  <c:v>-0.7789568359349589</c:v>
                </c:pt>
                <c:pt idx="193">
                  <c:v>-0.92819468850119047</c:v>
                </c:pt>
                <c:pt idx="194">
                  <c:v>-1.0878153150990904</c:v>
                </c:pt>
                <c:pt idx="195">
                  <c:v>-1.0884181040933589</c:v>
                </c:pt>
                <c:pt idx="196">
                  <c:v>-5.8751170129613681E-3</c:v>
                </c:pt>
                <c:pt idx="197">
                  <c:v>-0.42681745888679307</c:v>
                </c:pt>
                <c:pt idx="198">
                  <c:v>0.21127314202844191</c:v>
                </c:pt>
                <c:pt idx="199">
                  <c:v>-0.58905591151894632</c:v>
                </c:pt>
                <c:pt idx="200">
                  <c:v>4.0688499700584954E-2</c:v>
                </c:pt>
                <c:pt idx="201">
                  <c:v>0.7965816966408451</c:v>
                </c:pt>
                <c:pt idx="202">
                  <c:v>-1.0464285463895713</c:v>
                </c:pt>
                <c:pt idx="203">
                  <c:v>-1.1631932988652587</c:v>
                </c:pt>
                <c:pt idx="204">
                  <c:v>-1.1431125777209736</c:v>
                </c:pt>
                <c:pt idx="205">
                  <c:v>-2.2289706547699648</c:v>
                </c:pt>
                <c:pt idx="206">
                  <c:v>-0.7902480492745203</c:v>
                </c:pt>
                <c:pt idx="207">
                  <c:v>-2.9260650964591224</c:v>
                </c:pt>
                <c:pt idx="208">
                  <c:v>-2.9260410289468681</c:v>
                </c:pt>
                <c:pt idx="209">
                  <c:v>-1.2433495105494758</c:v>
                </c:pt>
                <c:pt idx="210">
                  <c:v>-0.8941074395394818</c:v>
                </c:pt>
                <c:pt idx="211">
                  <c:v>-1.5331173873487849</c:v>
                </c:pt>
                <c:pt idx="212">
                  <c:v>-1.2246395579118701</c:v>
                </c:pt>
                <c:pt idx="213">
                  <c:v>-1.2980147097885728</c:v>
                </c:pt>
                <c:pt idx="214">
                  <c:v>-1.3751794824372141</c:v>
                </c:pt>
                <c:pt idx="215">
                  <c:v>-0.45494313614330595</c:v>
                </c:pt>
                <c:pt idx="216">
                  <c:v>-1.3517393198767074</c:v>
                </c:pt>
                <c:pt idx="217">
                  <c:v>-1.3516603784365229</c:v>
                </c:pt>
                <c:pt idx="218">
                  <c:v>-2.0809510046357356</c:v>
                </c:pt>
                <c:pt idx="219">
                  <c:v>-2.7161954652391849</c:v>
                </c:pt>
                <c:pt idx="220">
                  <c:v>-0.85349545434476137</c:v>
                </c:pt>
                <c:pt idx="221">
                  <c:v>-0.20110252206981122</c:v>
                </c:pt>
                <c:pt idx="222">
                  <c:v>-0.89522189868663549</c:v>
                </c:pt>
                <c:pt idx="223">
                  <c:v>2.8004721951426959</c:v>
                </c:pt>
                <c:pt idx="224">
                  <c:v>-0.44398039101725223</c:v>
                </c:pt>
                <c:pt idx="225">
                  <c:v>-1.7893392606751981</c:v>
                </c:pt>
                <c:pt idx="226">
                  <c:v>-1.3661171466805941</c:v>
                </c:pt>
                <c:pt idx="227">
                  <c:v>-1.6071121955742302</c:v>
                </c:pt>
                <c:pt idx="228">
                  <c:v>-1.658483225783888</c:v>
                </c:pt>
                <c:pt idx="229">
                  <c:v>-1.6584288702331396</c:v>
                </c:pt>
                <c:pt idx="230">
                  <c:v>0.16548145835987316</c:v>
                </c:pt>
                <c:pt idx="231">
                  <c:v>-1.3192738718915811</c:v>
                </c:pt>
                <c:pt idx="232">
                  <c:v>-1.3191612359342439</c:v>
                </c:pt>
                <c:pt idx="233">
                  <c:v>-0.49408422373400396</c:v>
                </c:pt>
                <c:pt idx="234">
                  <c:v>-2.6103650617759011</c:v>
                </c:pt>
                <c:pt idx="235">
                  <c:v>-1.1297052392012754</c:v>
                </c:pt>
                <c:pt idx="236">
                  <c:v>-2.9015183872972057</c:v>
                </c:pt>
                <c:pt idx="237">
                  <c:v>-5.6660990148797294</c:v>
                </c:pt>
                <c:pt idx="238">
                  <c:v>-2.6521425379354167</c:v>
                </c:pt>
                <c:pt idx="239">
                  <c:v>-0.61707021280406371</c:v>
                </c:pt>
                <c:pt idx="240">
                  <c:v>-2.6520724829612936</c:v>
                </c:pt>
                <c:pt idx="241">
                  <c:v>-2.6240463793172665E-2</c:v>
                </c:pt>
                <c:pt idx="242">
                  <c:v>0.58516483054954516</c:v>
                </c:pt>
                <c:pt idx="243">
                  <c:v>-1.6194067722019545</c:v>
                </c:pt>
                <c:pt idx="244">
                  <c:v>-1.6193787798338586</c:v>
                </c:pt>
                <c:pt idx="245">
                  <c:v>-0.43283627105793815</c:v>
                </c:pt>
                <c:pt idx="246">
                  <c:v>-0.67403173101351455</c:v>
                </c:pt>
                <c:pt idx="247">
                  <c:v>-1.1957784337011552</c:v>
                </c:pt>
                <c:pt idx="248">
                  <c:v>-0.30659593603504304</c:v>
                </c:pt>
                <c:pt idx="249">
                  <c:v>-0.41462268499879507</c:v>
                </c:pt>
                <c:pt idx="250">
                  <c:v>-0.41456566350822971</c:v>
                </c:pt>
                <c:pt idx="251">
                  <c:v>-1.8187965463311473</c:v>
                </c:pt>
                <c:pt idx="252">
                  <c:v>-1.0192010596251676E-2</c:v>
                </c:pt>
                <c:pt idx="253">
                  <c:v>-1.0191788434599886E-2</c:v>
                </c:pt>
                <c:pt idx="254">
                  <c:v>-1.2267430357322333</c:v>
                </c:pt>
                <c:pt idx="255">
                  <c:v>-4.6558664879286793</c:v>
                </c:pt>
                <c:pt idx="256">
                  <c:v>-0.86928912988472795</c:v>
                </c:pt>
                <c:pt idx="257">
                  <c:v>-3.2244259949694394</c:v>
                </c:pt>
                <c:pt idx="258">
                  <c:v>-1.291714824235106</c:v>
                </c:pt>
                <c:pt idx="259">
                  <c:v>-0.41197229133865054</c:v>
                </c:pt>
                <c:pt idx="260">
                  <c:v>-3.002921042129965</c:v>
                </c:pt>
                <c:pt idx="261">
                  <c:v>1.1895301565831367</c:v>
                </c:pt>
                <c:pt idx="262">
                  <c:v>1.1896090980233214</c:v>
                </c:pt>
                <c:pt idx="263">
                  <c:v>-1.3456967438735266</c:v>
                </c:pt>
                <c:pt idx="264">
                  <c:v>-1.2488380233771919</c:v>
                </c:pt>
                <c:pt idx="265">
                  <c:v>-1.84533006456487</c:v>
                </c:pt>
                <c:pt idx="266">
                  <c:v>-5.0016128094656391</c:v>
                </c:pt>
                <c:pt idx="267">
                  <c:v>-4.9989483673083974</c:v>
                </c:pt>
                <c:pt idx="268">
                  <c:v>0.15741894096842382</c:v>
                </c:pt>
                <c:pt idx="269">
                  <c:v>0.15747470354296358</c:v>
                </c:pt>
                <c:pt idx="270">
                  <c:v>-1.4783114897491343</c:v>
                </c:pt>
                <c:pt idx="271">
                  <c:v>-1.8911650608889072</c:v>
                </c:pt>
                <c:pt idx="272">
                  <c:v>8.7273525351144396E-2</c:v>
                </c:pt>
                <c:pt idx="273">
                  <c:v>1.0353172833047952</c:v>
                </c:pt>
                <c:pt idx="274">
                  <c:v>-1.2344828529216996</c:v>
                </c:pt>
                <c:pt idx="275">
                  <c:v>0.15315369271560467</c:v>
                </c:pt>
                <c:pt idx="276">
                  <c:v>0.15319582937551574</c:v>
                </c:pt>
                <c:pt idx="277">
                  <c:v>-5.0524922534960801</c:v>
                </c:pt>
                <c:pt idx="278">
                  <c:v>-5.6333754055057721</c:v>
                </c:pt>
                <c:pt idx="279">
                  <c:v>0.68220576359570262</c:v>
                </c:pt>
                <c:pt idx="280">
                  <c:v>3.0030663095737729</c:v>
                </c:pt>
                <c:pt idx="281">
                  <c:v>-3.2701043302396298</c:v>
                </c:pt>
                <c:pt idx="282">
                  <c:v>-1.3559008726608521</c:v>
                </c:pt>
                <c:pt idx="283">
                  <c:v>1.2991374855093643</c:v>
                </c:pt>
                <c:pt idx="284">
                  <c:v>0.21000376443161634</c:v>
                </c:pt>
                <c:pt idx="285">
                  <c:v>-1.4359241733250445</c:v>
                </c:pt>
                <c:pt idx="286">
                  <c:v>1.6794901470460888</c:v>
                </c:pt>
                <c:pt idx="287">
                  <c:v>1.6795007367514811</c:v>
                </c:pt>
                <c:pt idx="288">
                  <c:v>-2.2144491908147113</c:v>
                </c:pt>
                <c:pt idx="289">
                  <c:v>-2.2144266784340196</c:v>
                </c:pt>
                <c:pt idx="290">
                  <c:v>-1.8141409038169412</c:v>
                </c:pt>
                <c:pt idx="291">
                  <c:v>0.20433950616157015</c:v>
                </c:pt>
                <c:pt idx="292">
                  <c:v>0.78786797500037464</c:v>
                </c:pt>
                <c:pt idx="293">
                  <c:v>-3.1652740993022466</c:v>
                </c:pt>
                <c:pt idx="294">
                  <c:v>-3.1650644527570648</c:v>
                </c:pt>
                <c:pt idx="295">
                  <c:v>-1.975919144832841</c:v>
                </c:pt>
                <c:pt idx="296">
                  <c:v>0.48292196838297596</c:v>
                </c:pt>
                <c:pt idx="297">
                  <c:v>1.6153531284758804</c:v>
                </c:pt>
                <c:pt idx="298">
                  <c:v>1.1072667524184733E-2</c:v>
                </c:pt>
                <c:pt idx="299">
                  <c:v>1.1369771706194683E-2</c:v>
                </c:pt>
                <c:pt idx="300">
                  <c:v>-0.51074743567626013</c:v>
                </c:pt>
                <c:pt idx="301">
                  <c:v>1.0755954910916863</c:v>
                </c:pt>
                <c:pt idx="302">
                  <c:v>-2.6054177282487627</c:v>
                </c:pt>
                <c:pt idx="303">
                  <c:v>-4.8766817341948219</c:v>
                </c:pt>
                <c:pt idx="304">
                  <c:v>-4.8766099019274876</c:v>
                </c:pt>
                <c:pt idx="305">
                  <c:v>-3.3525071184806503</c:v>
                </c:pt>
                <c:pt idx="306">
                  <c:v>-3.3524010733189757</c:v>
                </c:pt>
                <c:pt idx="307">
                  <c:v>-0.11078549582929929</c:v>
                </c:pt>
                <c:pt idx="308">
                  <c:v>0.89315225612437898</c:v>
                </c:pt>
                <c:pt idx="309">
                  <c:v>0.89321572030283924</c:v>
                </c:pt>
                <c:pt idx="310">
                  <c:v>0.56014391061917146</c:v>
                </c:pt>
                <c:pt idx="311">
                  <c:v>1.2405513813793787</c:v>
                </c:pt>
                <c:pt idx="312">
                  <c:v>1.2406796427062101</c:v>
                </c:pt>
                <c:pt idx="313">
                  <c:v>-2.4009456530834941</c:v>
                </c:pt>
                <c:pt idx="314">
                  <c:v>-2.0533257714446895</c:v>
                </c:pt>
                <c:pt idx="315">
                  <c:v>-2.0531124962591978</c:v>
                </c:pt>
                <c:pt idx="316">
                  <c:v>2.949041020180744</c:v>
                </c:pt>
                <c:pt idx="317">
                  <c:v>1.4512828248474787</c:v>
                </c:pt>
                <c:pt idx="318">
                  <c:v>0.10434101870505745</c:v>
                </c:pt>
                <c:pt idx="319">
                  <c:v>1.6539431175637058</c:v>
                </c:pt>
                <c:pt idx="320">
                  <c:v>-0.56619153279661716</c:v>
                </c:pt>
                <c:pt idx="321">
                  <c:v>0.96711213687747377</c:v>
                </c:pt>
                <c:pt idx="322">
                  <c:v>1.4908970753080368</c:v>
                </c:pt>
                <c:pt idx="323">
                  <c:v>1.4909681670365331</c:v>
                </c:pt>
                <c:pt idx="324">
                  <c:v>8.3790908314868684E-2</c:v>
                </c:pt>
                <c:pt idx="325">
                  <c:v>1.29114558761388</c:v>
                </c:pt>
                <c:pt idx="326">
                  <c:v>0.71410332325905934</c:v>
                </c:pt>
                <c:pt idx="327">
                  <c:v>2.1864650984881759</c:v>
                </c:pt>
                <c:pt idx="328">
                  <c:v>1.3271768221647735</c:v>
                </c:pt>
                <c:pt idx="329">
                  <c:v>0.80732023802056152</c:v>
                </c:pt>
                <c:pt idx="330">
                  <c:v>-0.67201640995674738</c:v>
                </c:pt>
                <c:pt idx="331">
                  <c:v>-0.67178358454591935</c:v>
                </c:pt>
                <c:pt idx="332">
                  <c:v>1.5274880097154879</c:v>
                </c:pt>
                <c:pt idx="333">
                  <c:v>-4.5438323528119953E-2</c:v>
                </c:pt>
                <c:pt idx="334">
                  <c:v>0.823081239326382</c:v>
                </c:pt>
                <c:pt idx="335">
                  <c:v>-1.2127601311715941</c:v>
                </c:pt>
                <c:pt idx="336">
                  <c:v>0.7035024320460187</c:v>
                </c:pt>
                <c:pt idx="337">
                  <c:v>1.1895370185489365</c:v>
                </c:pt>
                <c:pt idx="338">
                  <c:v>1.1896919392739531</c:v>
                </c:pt>
                <c:pt idx="339">
                  <c:v>-1.1057861255918442</c:v>
                </c:pt>
                <c:pt idx="340">
                  <c:v>-3.5555012819848195</c:v>
                </c:pt>
                <c:pt idx="341">
                  <c:v>-3.555311555934396</c:v>
                </c:pt>
                <c:pt idx="342">
                  <c:v>1.4941451710491553</c:v>
                </c:pt>
                <c:pt idx="343">
                  <c:v>-2.9426606845801295</c:v>
                </c:pt>
                <c:pt idx="344">
                  <c:v>1.4694969815709349</c:v>
                </c:pt>
                <c:pt idx="345">
                  <c:v>-2.4418415147744863</c:v>
                </c:pt>
                <c:pt idx="346">
                  <c:v>-0.72735854970508729</c:v>
                </c:pt>
                <c:pt idx="347">
                  <c:v>0.14789061616260757</c:v>
                </c:pt>
                <c:pt idx="348">
                  <c:v>2.7199901861734901</c:v>
                </c:pt>
                <c:pt idx="349">
                  <c:v>2.7200646103267618</c:v>
                </c:pt>
                <c:pt idx="350">
                  <c:v>-4.4541938782226591</c:v>
                </c:pt>
                <c:pt idx="351">
                  <c:v>0.57988010538324852</c:v>
                </c:pt>
                <c:pt idx="352">
                  <c:v>-1.3275926209154287</c:v>
                </c:pt>
                <c:pt idx="353">
                  <c:v>-0.98131737969624477</c:v>
                </c:pt>
                <c:pt idx="354">
                  <c:v>1.4969878022221117</c:v>
                </c:pt>
                <c:pt idx="355">
                  <c:v>0.8085269665892677</c:v>
                </c:pt>
                <c:pt idx="356">
                  <c:v>1.3949860144491943</c:v>
                </c:pt>
                <c:pt idx="357">
                  <c:v>1.3950206716668339</c:v>
                </c:pt>
                <c:pt idx="358">
                  <c:v>-2.4773321485132442E-2</c:v>
                </c:pt>
                <c:pt idx="359">
                  <c:v>2.1439979674826346</c:v>
                </c:pt>
                <c:pt idx="360">
                  <c:v>2.0651520700231401</c:v>
                </c:pt>
                <c:pt idx="361">
                  <c:v>-2.9036019996981617</c:v>
                </c:pt>
                <c:pt idx="362">
                  <c:v>-1.3952869740737559</c:v>
                </c:pt>
                <c:pt idx="363">
                  <c:v>-2.433724893106779</c:v>
                </c:pt>
                <c:pt idx="364">
                  <c:v>-0.23181544373932705</c:v>
                </c:pt>
                <c:pt idx="365">
                  <c:v>4.3357206438945006</c:v>
                </c:pt>
                <c:pt idx="366">
                  <c:v>-2.6888375848912425</c:v>
                </c:pt>
                <c:pt idx="367">
                  <c:v>-2.688756199672889</c:v>
                </c:pt>
                <c:pt idx="368">
                  <c:v>2.3504299823989947</c:v>
                </c:pt>
                <c:pt idx="369">
                  <c:v>-2.1927784506073213</c:v>
                </c:pt>
                <c:pt idx="370">
                  <c:v>0.97721969490744143</c:v>
                </c:pt>
                <c:pt idx="371">
                  <c:v>1.8458486403205689</c:v>
                </c:pt>
                <c:pt idx="372">
                  <c:v>2.3792252422437516</c:v>
                </c:pt>
                <c:pt idx="373">
                  <c:v>-1.4343482534080936</c:v>
                </c:pt>
                <c:pt idx="374">
                  <c:v>-1.7791896855900509</c:v>
                </c:pt>
                <c:pt idx="375">
                  <c:v>2.0550360495433155</c:v>
                </c:pt>
                <c:pt idx="376">
                  <c:v>1.6849792607704355</c:v>
                </c:pt>
                <c:pt idx="377">
                  <c:v>2.4073455992976092</c:v>
                </c:pt>
                <c:pt idx="378">
                  <c:v>1.7051685289022851</c:v>
                </c:pt>
                <c:pt idx="379">
                  <c:v>-1.1666775663905759E-2</c:v>
                </c:pt>
                <c:pt idx="380">
                  <c:v>3.0798422640732608</c:v>
                </c:pt>
                <c:pt idx="381">
                  <c:v>2.3679935480417629</c:v>
                </c:pt>
                <c:pt idx="382">
                  <c:v>0.20075625481400791</c:v>
                </c:pt>
                <c:pt idx="383">
                  <c:v>0.20085948592809613</c:v>
                </c:pt>
                <c:pt idx="384">
                  <c:v>0.41588651474066546</c:v>
                </c:pt>
                <c:pt idx="385">
                  <c:v>-0.75849705577213899</c:v>
                </c:pt>
                <c:pt idx="386">
                  <c:v>4.2263292331437983</c:v>
                </c:pt>
                <c:pt idx="387">
                  <c:v>2.3345491736906103</c:v>
                </c:pt>
                <c:pt idx="388">
                  <c:v>2.3347207565394932</c:v>
                </c:pt>
                <c:pt idx="389">
                  <c:v>2.5630610036567902</c:v>
                </c:pt>
                <c:pt idx="390">
                  <c:v>2.1616371045737286</c:v>
                </c:pt>
                <c:pt idx="391">
                  <c:v>-1.7879294542496504</c:v>
                </c:pt>
                <c:pt idx="392">
                  <c:v>3.4138122248409526</c:v>
                </c:pt>
                <c:pt idx="393">
                  <c:v>4.8307324935881963</c:v>
                </c:pt>
                <c:pt idx="394">
                  <c:v>-2.4590524972877001</c:v>
                </c:pt>
                <c:pt idx="395">
                  <c:v>-2.4589272721701079</c:v>
                </c:pt>
                <c:pt idx="396">
                  <c:v>3.0419137683952489</c:v>
                </c:pt>
                <c:pt idx="397">
                  <c:v>4.3305060549361363</c:v>
                </c:pt>
                <c:pt idx="398">
                  <c:v>3.0419790839208036</c:v>
                </c:pt>
                <c:pt idx="399">
                  <c:v>1.2372553937796207</c:v>
                </c:pt>
                <c:pt idx="400">
                  <c:v>-0.31888315683994262</c:v>
                </c:pt>
                <c:pt idx="401">
                  <c:v>-1.0529767528867653</c:v>
                </c:pt>
                <c:pt idx="402">
                  <c:v>-1.0528710039406268</c:v>
                </c:pt>
                <c:pt idx="403">
                  <c:v>3.8111887233592059</c:v>
                </c:pt>
                <c:pt idx="404">
                  <c:v>1.9662667477603479</c:v>
                </c:pt>
                <c:pt idx="405">
                  <c:v>3.8108931480758228</c:v>
                </c:pt>
                <c:pt idx="406">
                  <c:v>1.5192829350558059</c:v>
                </c:pt>
                <c:pt idx="407">
                  <c:v>2.0914701373111146</c:v>
                </c:pt>
                <c:pt idx="408">
                  <c:v>2.0916073591578885</c:v>
                </c:pt>
                <c:pt idx="409">
                  <c:v>1.708820326713792</c:v>
                </c:pt>
                <c:pt idx="410">
                  <c:v>1.7090478942988649</c:v>
                </c:pt>
                <c:pt idx="411">
                  <c:v>0.33221057989261193</c:v>
                </c:pt>
                <c:pt idx="412">
                  <c:v>1.1762787315855756</c:v>
                </c:pt>
                <c:pt idx="413">
                  <c:v>1.2525435393119144</c:v>
                </c:pt>
                <c:pt idx="414">
                  <c:v>2.1365161333579215</c:v>
                </c:pt>
                <c:pt idx="415">
                  <c:v>-0.36578849491326493</c:v>
                </c:pt>
                <c:pt idx="416">
                  <c:v>-0.3657556890427186</c:v>
                </c:pt>
                <c:pt idx="417">
                  <c:v>-2.3612369311089489</c:v>
                </c:pt>
                <c:pt idx="418">
                  <c:v>-1.1125764267455132</c:v>
                </c:pt>
                <c:pt idx="419">
                  <c:v>8.1117587291189938E-2</c:v>
                </c:pt>
                <c:pt idx="420">
                  <c:v>0.42574999366893057</c:v>
                </c:pt>
                <c:pt idx="421">
                  <c:v>0.4257997578788783</c:v>
                </c:pt>
                <c:pt idx="422">
                  <c:v>-0.66066660945132272</c:v>
                </c:pt>
                <c:pt idx="423">
                  <c:v>2.024258948039793</c:v>
                </c:pt>
                <c:pt idx="424">
                  <c:v>0.29229667921482938</c:v>
                </c:pt>
                <c:pt idx="425">
                  <c:v>-2.3011986403631624</c:v>
                </c:pt>
                <c:pt idx="426">
                  <c:v>-2.3011480615604931</c:v>
                </c:pt>
                <c:pt idx="427">
                  <c:v>0.69325943034519155</c:v>
                </c:pt>
                <c:pt idx="428">
                  <c:v>-3.2923188720372276</c:v>
                </c:pt>
                <c:pt idx="429">
                  <c:v>2.1456762421301083</c:v>
                </c:pt>
                <c:pt idx="430">
                  <c:v>1.9498189422920107</c:v>
                </c:pt>
                <c:pt idx="431">
                  <c:v>-1.3621895741617109</c:v>
                </c:pt>
                <c:pt idx="432">
                  <c:v>1.1033909272123534</c:v>
                </c:pt>
                <c:pt idx="433">
                  <c:v>2.3256410404746424</c:v>
                </c:pt>
                <c:pt idx="434">
                  <c:v>3.8845468393427036</c:v>
                </c:pt>
                <c:pt idx="435">
                  <c:v>3.6063940413378059</c:v>
                </c:pt>
                <c:pt idx="436">
                  <c:v>4.0941678548299372</c:v>
                </c:pt>
                <c:pt idx="437">
                  <c:v>2.615658439415582</c:v>
                </c:pt>
                <c:pt idx="438">
                  <c:v>3.473281840735519</c:v>
                </c:pt>
                <c:pt idx="439">
                  <c:v>0.5565338485040805</c:v>
                </c:pt>
                <c:pt idx="440">
                  <c:v>-0.37157967846775602</c:v>
                </c:pt>
                <c:pt idx="441">
                  <c:v>3.2687843375975811</c:v>
                </c:pt>
                <c:pt idx="442">
                  <c:v>3.2574027464504947</c:v>
                </c:pt>
                <c:pt idx="443">
                  <c:v>3.2574278507171224</c:v>
                </c:pt>
                <c:pt idx="444">
                  <c:v>0.25061381905994701</c:v>
                </c:pt>
                <c:pt idx="445">
                  <c:v>3.8921753595976365</c:v>
                </c:pt>
                <c:pt idx="446">
                  <c:v>3.2711393567213176</c:v>
                </c:pt>
                <c:pt idx="447">
                  <c:v>0.17299237306861631</c:v>
                </c:pt>
                <c:pt idx="448">
                  <c:v>0.63596040548250365</c:v>
                </c:pt>
                <c:pt idx="449">
                  <c:v>3.6263592589686895</c:v>
                </c:pt>
                <c:pt idx="450">
                  <c:v>4.2353875767137783</c:v>
                </c:pt>
                <c:pt idx="451">
                  <c:v>-3.661075158482352</c:v>
                </c:pt>
                <c:pt idx="452">
                  <c:v>-3.2866049495496007E-2</c:v>
                </c:pt>
                <c:pt idx="453">
                  <c:v>2.6560895986711168</c:v>
                </c:pt>
                <c:pt idx="454">
                  <c:v>-9.1668106369693886E-2</c:v>
                </c:pt>
                <c:pt idx="455">
                  <c:v>4.787764675020199</c:v>
                </c:pt>
                <c:pt idx="456">
                  <c:v>4.7881675705433668</c:v>
                </c:pt>
                <c:pt idx="457">
                  <c:v>2.64417644040146</c:v>
                </c:pt>
                <c:pt idx="458">
                  <c:v>3.0135617110606763</c:v>
                </c:pt>
                <c:pt idx="459">
                  <c:v>-0.62860074987176673</c:v>
                </c:pt>
                <c:pt idx="460">
                  <c:v>1.0641573044587498</c:v>
                </c:pt>
                <c:pt idx="461">
                  <c:v>1.9700376637258408</c:v>
                </c:pt>
                <c:pt idx="462">
                  <c:v>2.1334606675194894</c:v>
                </c:pt>
                <c:pt idx="463">
                  <c:v>4.3950802182328337</c:v>
                </c:pt>
                <c:pt idx="464">
                  <c:v>1.8663587541923612</c:v>
                </c:pt>
                <c:pt idx="465">
                  <c:v>0.17571719525044313</c:v>
                </c:pt>
                <c:pt idx="466">
                  <c:v>1.602291031846889</c:v>
                </c:pt>
                <c:pt idx="467">
                  <c:v>1.4027273461290464</c:v>
                </c:pt>
                <c:pt idx="468">
                  <c:v>3.6874595631371339</c:v>
                </c:pt>
                <c:pt idx="469">
                  <c:v>4.8442137758217347</c:v>
                </c:pt>
                <c:pt idx="470">
                  <c:v>5.6581306847032433</c:v>
                </c:pt>
                <c:pt idx="471">
                  <c:v>3.7004530074151383</c:v>
                </c:pt>
                <c:pt idx="472">
                  <c:v>5.6749203486920585</c:v>
                </c:pt>
                <c:pt idx="473">
                  <c:v>2.2273967283573626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FD-418C-A214-593B7C54D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51936"/>
        <c:axId val="320545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 pc'!$O$2:$O$103</c15:sqref>
                        </c15:formulaRef>
                      </c:ext>
                    </c:extLst>
                    <c:numCache>
                      <c:formatCode>#0.000</c:formatCode>
                      <c:ptCount val="102"/>
                      <c:pt idx="0">
                        <c:v>2.1630147961697572</c:v>
                      </c:pt>
                      <c:pt idx="1">
                        <c:v>2.1629491630088982</c:v>
                      </c:pt>
                      <c:pt idx="2">
                        <c:v>2.40799142607933</c:v>
                      </c:pt>
                      <c:pt idx="3">
                        <c:v>2.1197622412705712</c:v>
                      </c:pt>
                      <c:pt idx="4">
                        <c:v>2.1754942940344182</c:v>
                      </c:pt>
                      <c:pt idx="5">
                        <c:v>2.4647735827827049</c:v>
                      </c:pt>
                      <c:pt idx="6">
                        <c:v>2.3910007955127082</c:v>
                      </c:pt>
                      <c:pt idx="7">
                        <c:v>2.2038580490172053</c:v>
                      </c:pt>
                      <c:pt idx="8">
                        <c:v>2.3815623613012065</c:v>
                      </c:pt>
                      <c:pt idx="9">
                        <c:v>2.2769156827393608</c:v>
                      </c:pt>
                      <c:pt idx="10">
                        <c:v>2.5404438566197016</c:v>
                      </c:pt>
                      <c:pt idx="11">
                        <c:v>2.3588611714367991</c:v>
                      </c:pt>
                      <c:pt idx="12">
                        <c:v>2.2036050555273095</c:v>
                      </c:pt>
                      <c:pt idx="13">
                        <c:v>2.6683305968793021</c:v>
                      </c:pt>
                      <c:pt idx="14">
                        <c:v>2.1261955266859109</c:v>
                      </c:pt>
                      <c:pt idx="15">
                        <c:v>2.0051698550465407</c:v>
                      </c:pt>
                      <c:pt idx="16">
                        <c:v>2.3332563017116192</c:v>
                      </c:pt>
                      <c:pt idx="17">
                        <c:v>2.7948532211070818</c:v>
                      </c:pt>
                      <c:pt idx="18">
                        <c:v>2.4751515640258184</c:v>
                      </c:pt>
                      <c:pt idx="19">
                        <c:v>2.3647163778553844</c:v>
                      </c:pt>
                      <c:pt idx="20">
                        <c:v>2.2798967762838962</c:v>
                      </c:pt>
                      <c:pt idx="21">
                        <c:v>2.5617072571391519</c:v>
                      </c:pt>
                      <c:pt idx="22">
                        <c:v>2.2688883672056397</c:v>
                      </c:pt>
                      <c:pt idx="23">
                        <c:v>2.5877794490788468</c:v>
                      </c:pt>
                      <c:pt idx="24">
                        <c:v>2.3258819494204017</c:v>
                      </c:pt>
                      <c:pt idx="25">
                        <c:v>2.2194442398780012</c:v>
                      </c:pt>
                      <c:pt idx="26">
                        <c:v>2.2815816802412714</c:v>
                      </c:pt>
                      <c:pt idx="27">
                        <c:v>2.2032138171220796</c:v>
                      </c:pt>
                      <c:pt idx="28">
                        <c:v>2.2866507345160723</c:v>
                      </c:pt>
                      <c:pt idx="29">
                        <c:v>2.2915942037883914</c:v>
                      </c:pt>
                      <c:pt idx="30">
                        <c:v>2.1136739664493005</c:v>
                      </c:pt>
                      <c:pt idx="31">
                        <c:v>2.1401230080834477</c:v>
                      </c:pt>
                      <c:pt idx="32">
                        <c:v>2.5968655320135676</c:v>
                      </c:pt>
                      <c:pt idx="33">
                        <c:v>2.1048290851614464</c:v>
                      </c:pt>
                      <c:pt idx="34">
                        <c:v>2.6195785363533024</c:v>
                      </c:pt>
                      <c:pt idx="35">
                        <c:v>2.7589272945324352</c:v>
                      </c:pt>
                      <c:pt idx="36">
                        <c:v>2.5726607146769114</c:v>
                      </c:pt>
                      <c:pt idx="37">
                        <c:v>2.601115235345167</c:v>
                      </c:pt>
                      <c:pt idx="38">
                        <c:v>2.4522280139287012</c:v>
                      </c:pt>
                      <c:pt idx="39">
                        <c:v>2.4203967620226825</c:v>
                      </c:pt>
                      <c:pt idx="40">
                        <c:v>2.2933588079738962</c:v>
                      </c:pt>
                      <c:pt idx="41">
                        <c:v>2.2933095417725475</c:v>
                      </c:pt>
                      <c:pt idx="42">
                        <c:v>2.3092204891801731</c:v>
                      </c:pt>
                      <c:pt idx="43">
                        <c:v>2.6021790496031589</c:v>
                      </c:pt>
                      <c:pt idx="44">
                        <c:v>2.4659676790274045</c:v>
                      </c:pt>
                      <c:pt idx="45">
                        <c:v>2.1632030962775097</c:v>
                      </c:pt>
                      <c:pt idx="46">
                        <c:v>2.3762369018579386</c:v>
                      </c:pt>
                      <c:pt idx="47">
                        <c:v>2.2695921181219449</c:v>
                      </c:pt>
                      <c:pt idx="48">
                        <c:v>2.2169403602043247</c:v>
                      </c:pt>
                      <c:pt idx="49">
                        <c:v>2.6954267011666158</c:v>
                      </c:pt>
                      <c:pt idx="50">
                        <c:v>2.3653091879236467</c:v>
                      </c:pt>
                      <c:pt idx="51">
                        <c:v>2.0921880762713423</c:v>
                      </c:pt>
                      <c:pt idx="52">
                        <c:v>2.4853296581453819</c:v>
                      </c:pt>
                      <c:pt idx="53">
                        <c:v>2.3561677545823416</c:v>
                      </c:pt>
                      <c:pt idx="54">
                        <c:v>2.3434342052231609</c:v>
                      </c:pt>
                      <c:pt idx="55">
                        <c:v>2.9739891488282901</c:v>
                      </c:pt>
                      <c:pt idx="56">
                        <c:v>2.5078264440180091</c:v>
                      </c:pt>
                      <c:pt idx="57">
                        <c:v>2.4520778333239628</c:v>
                      </c:pt>
                      <c:pt idx="58">
                        <c:v>2.4799791813174852</c:v>
                      </c:pt>
                      <c:pt idx="59">
                        <c:v>2.4799610212412002</c:v>
                      </c:pt>
                      <c:pt idx="60">
                        <c:v>2.4820467980571381</c:v>
                      </c:pt>
                      <c:pt idx="61">
                        <c:v>2.4624571100378403</c:v>
                      </c:pt>
                      <c:pt idx="62">
                        <c:v>2.5358431041956262</c:v>
                      </c:pt>
                      <c:pt idx="63">
                        <c:v>2.9781725065790101</c:v>
                      </c:pt>
                      <c:pt idx="64">
                        <c:v>2.638369917179304</c:v>
                      </c:pt>
                      <c:pt idx="65">
                        <c:v>2.4231959917341483</c:v>
                      </c:pt>
                      <c:pt idx="66">
                        <c:v>2.4272047027572867</c:v>
                      </c:pt>
                      <c:pt idx="67">
                        <c:v>2.3224824060832714</c:v>
                      </c:pt>
                      <c:pt idx="68">
                        <c:v>2.6887481626382481</c:v>
                      </c:pt>
                      <c:pt idx="69">
                        <c:v>2.1474180502460527</c:v>
                      </c:pt>
                      <c:pt idx="70">
                        <c:v>2.089841090413485</c:v>
                      </c:pt>
                      <c:pt idx="71">
                        <c:v>2.6951915732202631</c:v>
                      </c:pt>
                      <c:pt idx="72">
                        <c:v>2.8567750034698114</c:v>
                      </c:pt>
                      <c:pt idx="73">
                        <c:v>2.6339482051371808</c:v>
                      </c:pt>
                      <c:pt idx="74">
                        <c:v>2.7124186957461247</c:v>
                      </c:pt>
                      <c:pt idx="75">
                        <c:v>2.6853354667699305</c:v>
                      </c:pt>
                      <c:pt idx="76">
                        <c:v>2.4889501480455922</c:v>
                      </c:pt>
                      <c:pt idx="77">
                        <c:v>2.7513482914334424</c:v>
                      </c:pt>
                      <c:pt idx="78">
                        <c:v>2.5701045217612251</c:v>
                      </c:pt>
                      <c:pt idx="79">
                        <c:v>3.0852717508477112</c:v>
                      </c:pt>
                      <c:pt idx="80">
                        <c:v>2.3980197631992746</c:v>
                      </c:pt>
                      <c:pt idx="81">
                        <c:v>2.5163722852844796</c:v>
                      </c:pt>
                      <c:pt idx="82">
                        <c:v>2.7544103213449374</c:v>
                      </c:pt>
                      <c:pt idx="83">
                        <c:v>2.6610364467929633</c:v>
                      </c:pt>
                      <c:pt idx="84">
                        <c:v>3.1098701790526637</c:v>
                      </c:pt>
                      <c:pt idx="85">
                        <c:v>2.306730892062955</c:v>
                      </c:pt>
                      <c:pt idx="86">
                        <c:v>2.883856162641139</c:v>
                      </c:pt>
                      <c:pt idx="87">
                        <c:v>2.6723635385181903</c:v>
                      </c:pt>
                      <c:pt idx="88">
                        <c:v>3.0679323176435664</c:v>
                      </c:pt>
                      <c:pt idx="89">
                        <c:v>2.7547145733009573</c:v>
                      </c:pt>
                      <c:pt idx="90">
                        <c:v>2.8448995048026355</c:v>
                      </c:pt>
                      <c:pt idx="91">
                        <c:v>2.5917483250041222</c:v>
                      </c:pt>
                      <c:pt idx="92">
                        <c:v>2.7390747016768002</c:v>
                      </c:pt>
                      <c:pt idx="93">
                        <c:v>2.9807402096702518</c:v>
                      </c:pt>
                      <c:pt idx="94">
                        <c:v>2.8610426301371494</c:v>
                      </c:pt>
                      <c:pt idx="95">
                        <c:v>3.2362767214894257</c:v>
                      </c:pt>
                      <c:pt idx="96">
                        <c:v>2.8618345445428215</c:v>
                      </c:pt>
                      <c:pt idx="97">
                        <c:v>2.9671712801760215</c:v>
                      </c:pt>
                      <c:pt idx="98">
                        <c:v>3.0445421714523073</c:v>
                      </c:pt>
                      <c:pt idx="99">
                        <c:v>2.8130105847932017</c:v>
                      </c:pt>
                      <c:pt idx="100">
                        <c:v>3.1614516365082106</c:v>
                      </c:pt>
                      <c:pt idx="101">
                        <c:v>2.7643371058624875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 pc'!$P$2:$P$103</c15:sqref>
                        </c15:formulaRef>
                      </c:ext>
                    </c:extLst>
                    <c:numCache>
                      <c:formatCode>#0.000</c:formatCode>
                      <c:ptCount val="102"/>
                      <c:pt idx="0">
                        <c:v>-0.61369314275426368</c:v>
                      </c:pt>
                      <c:pt idx="1">
                        <c:v>-0.61365492354480822</c:v>
                      </c:pt>
                      <c:pt idx="2">
                        <c:v>-0.58682915403248903</c:v>
                      </c:pt>
                      <c:pt idx="3">
                        <c:v>-0.58463438620165742</c:v>
                      </c:pt>
                      <c:pt idx="4">
                        <c:v>-0.55051894305358373</c:v>
                      </c:pt>
                      <c:pt idx="5">
                        <c:v>-0.54882830971976293</c:v>
                      </c:pt>
                      <c:pt idx="6">
                        <c:v>-0.543515885302846</c:v>
                      </c:pt>
                      <c:pt idx="7">
                        <c:v>-0.53222112923618303</c:v>
                      </c:pt>
                      <c:pt idx="8">
                        <c:v>-0.51540146898437411</c:v>
                      </c:pt>
                      <c:pt idx="9">
                        <c:v>-0.50818958168529682</c:v>
                      </c:pt>
                      <c:pt idx="10">
                        <c:v>-0.50053306497752681</c:v>
                      </c:pt>
                      <c:pt idx="11">
                        <c:v>-0.49618287623231955</c:v>
                      </c:pt>
                      <c:pt idx="12">
                        <c:v>-0.48474583977425673</c:v>
                      </c:pt>
                      <c:pt idx="13">
                        <c:v>-0.48401801777704034</c:v>
                      </c:pt>
                      <c:pt idx="14">
                        <c:v>-0.48355280840293274</c:v>
                      </c:pt>
                      <c:pt idx="15">
                        <c:v>-0.48225292735446212</c:v>
                      </c:pt>
                      <c:pt idx="16">
                        <c:v>-0.47709108334815636</c:v>
                      </c:pt>
                      <c:pt idx="17">
                        <c:v>-0.46759060705650829</c:v>
                      </c:pt>
                      <c:pt idx="18">
                        <c:v>-0.45579974805979923</c:v>
                      </c:pt>
                      <c:pt idx="19">
                        <c:v>-0.449229862149638</c:v>
                      </c:pt>
                      <c:pt idx="20">
                        <c:v>-0.44739252621101139</c:v>
                      </c:pt>
                      <c:pt idx="21">
                        <c:v>-0.44290918264571782</c:v>
                      </c:pt>
                      <c:pt idx="22">
                        <c:v>-0.43651925308435013</c:v>
                      </c:pt>
                      <c:pt idx="23">
                        <c:v>-0.42722914867626671</c:v>
                      </c:pt>
                      <c:pt idx="24">
                        <c:v>-0.42649969984756964</c:v>
                      </c:pt>
                      <c:pt idx="25">
                        <c:v>-0.42391793151961432</c:v>
                      </c:pt>
                      <c:pt idx="26">
                        <c:v>-0.41990378433439701</c:v>
                      </c:pt>
                      <c:pt idx="27">
                        <c:v>-0.40899281052803055</c:v>
                      </c:pt>
                      <c:pt idx="28">
                        <c:v>-0.40687430484357295</c:v>
                      </c:pt>
                      <c:pt idx="29">
                        <c:v>-0.40536028854461503</c:v>
                      </c:pt>
                      <c:pt idx="30">
                        <c:v>-0.4018743256020782</c:v>
                      </c:pt>
                      <c:pt idx="31">
                        <c:v>-0.40155631459317953</c:v>
                      </c:pt>
                      <c:pt idx="32">
                        <c:v>-0.39216378504994837</c:v>
                      </c:pt>
                      <c:pt idx="33">
                        <c:v>-0.39214842495342705</c:v>
                      </c:pt>
                      <c:pt idx="34">
                        <c:v>-0.39011552040903563</c:v>
                      </c:pt>
                      <c:pt idx="35">
                        <c:v>-0.38374829955667022</c:v>
                      </c:pt>
                      <c:pt idx="36">
                        <c:v>-0.36935149095757219</c:v>
                      </c:pt>
                      <c:pt idx="37">
                        <c:v>-0.36695572164421242</c:v>
                      </c:pt>
                      <c:pt idx="38">
                        <c:v>-0.34527147801880631</c:v>
                      </c:pt>
                      <c:pt idx="39">
                        <c:v>-0.34054108055450949</c:v>
                      </c:pt>
                      <c:pt idx="40">
                        <c:v>-0.33777946619139448</c:v>
                      </c:pt>
                      <c:pt idx="41">
                        <c:v>-0.3377507777167903</c:v>
                      </c:pt>
                      <c:pt idx="42">
                        <c:v>-0.33368336180664088</c:v>
                      </c:pt>
                      <c:pt idx="43">
                        <c:v>-0.33194848226247059</c:v>
                      </c:pt>
                      <c:pt idx="44">
                        <c:v>-0.32456755308667434</c:v>
                      </c:pt>
                      <c:pt idx="45">
                        <c:v>-0.322006689850106</c:v>
                      </c:pt>
                      <c:pt idx="46">
                        <c:v>-0.32130306735547559</c:v>
                      </c:pt>
                      <c:pt idx="47">
                        <c:v>-0.31968820591751435</c:v>
                      </c:pt>
                      <c:pt idx="48">
                        <c:v>-0.31189223011326761</c:v>
                      </c:pt>
                      <c:pt idx="49">
                        <c:v>-0.30465829181768767</c:v>
                      </c:pt>
                      <c:pt idx="50">
                        <c:v>-0.30213224392654842</c:v>
                      </c:pt>
                      <c:pt idx="51">
                        <c:v>-0.29961222243984115</c:v>
                      </c:pt>
                      <c:pt idx="52">
                        <c:v>-0.29813953863885428</c:v>
                      </c:pt>
                      <c:pt idx="53">
                        <c:v>-0.29589317450525482</c:v>
                      </c:pt>
                      <c:pt idx="54">
                        <c:v>-0.28656459642063503</c:v>
                      </c:pt>
                      <c:pt idx="55">
                        <c:v>-0.28110182461999361</c:v>
                      </c:pt>
                      <c:pt idx="56">
                        <c:v>-0.27711605302171782</c:v>
                      </c:pt>
                      <c:pt idx="57">
                        <c:v>-0.26995148668186125</c:v>
                      </c:pt>
                      <c:pt idx="58">
                        <c:v>-0.26580418461423044</c:v>
                      </c:pt>
                      <c:pt idx="59">
                        <c:v>-0.26579360971961685</c:v>
                      </c:pt>
                      <c:pt idx="60">
                        <c:v>-0.26245326487571663</c:v>
                      </c:pt>
                      <c:pt idx="61">
                        <c:v>-0.25638525942696572</c:v>
                      </c:pt>
                      <c:pt idx="62">
                        <c:v>-0.25234372180782344</c:v>
                      </c:pt>
                      <c:pt idx="63">
                        <c:v>-0.24476600230614015</c:v>
                      </c:pt>
                      <c:pt idx="64">
                        <c:v>-0.24005298365591637</c:v>
                      </c:pt>
                      <c:pt idx="65">
                        <c:v>-0.23316838820850794</c:v>
                      </c:pt>
                      <c:pt idx="66">
                        <c:v>-0.23016927330371267</c:v>
                      </c:pt>
                      <c:pt idx="67">
                        <c:v>-0.22473323976204082</c:v>
                      </c:pt>
                      <c:pt idx="68">
                        <c:v>-0.22397559012051199</c:v>
                      </c:pt>
                      <c:pt idx="69">
                        <c:v>-0.22025708551375422</c:v>
                      </c:pt>
                      <c:pt idx="70">
                        <c:v>-0.21975287587036685</c:v>
                      </c:pt>
                      <c:pt idx="71">
                        <c:v>-0.21867204836572643</c:v>
                      </c:pt>
                      <c:pt idx="72">
                        <c:v>-0.21326224465977367</c:v>
                      </c:pt>
                      <c:pt idx="73">
                        <c:v>-0.19428994544810682</c:v>
                      </c:pt>
                      <c:pt idx="74">
                        <c:v>-0.19293443376184732</c:v>
                      </c:pt>
                      <c:pt idx="75">
                        <c:v>-0.18180458448725464</c:v>
                      </c:pt>
                      <c:pt idx="76">
                        <c:v>-0.1798059466270632</c:v>
                      </c:pt>
                      <c:pt idx="77">
                        <c:v>-0.17141916392637349</c:v>
                      </c:pt>
                      <c:pt idx="78">
                        <c:v>-0.16584787870597945</c:v>
                      </c:pt>
                      <c:pt idx="79">
                        <c:v>-0.15872726911608998</c:v>
                      </c:pt>
                      <c:pt idx="80">
                        <c:v>-0.15548624522949289</c:v>
                      </c:pt>
                      <c:pt idx="81">
                        <c:v>-0.13641904962855592</c:v>
                      </c:pt>
                      <c:pt idx="82">
                        <c:v>-0.12593767537940204</c:v>
                      </c:pt>
                      <c:pt idx="83">
                        <c:v>-0.12509572496935817</c:v>
                      </c:pt>
                      <c:pt idx="84">
                        <c:v>-0.11757591982592901</c:v>
                      </c:pt>
                      <c:pt idx="85">
                        <c:v>-0.11685495710593737</c:v>
                      </c:pt>
                      <c:pt idx="86">
                        <c:v>-0.10937421919475099</c:v>
                      </c:pt>
                      <c:pt idx="87">
                        <c:v>-8.8825125915228745E-2</c:v>
                      </c:pt>
                      <c:pt idx="88">
                        <c:v>-6.9173360102067927E-2</c:v>
                      </c:pt>
                      <c:pt idx="89">
                        <c:v>-5.9527961586132307E-2</c:v>
                      </c:pt>
                      <c:pt idx="90">
                        <c:v>-5.247725449275701E-2</c:v>
                      </c:pt>
                      <c:pt idx="91">
                        <c:v>-3.985230371277159E-2</c:v>
                      </c:pt>
                      <c:pt idx="92">
                        <c:v>-3.2355509753253055E-2</c:v>
                      </c:pt>
                      <c:pt idx="93">
                        <c:v>-2.8919685913354302E-2</c:v>
                      </c:pt>
                      <c:pt idx="94">
                        <c:v>-4.1006311293613415E-3</c:v>
                      </c:pt>
                      <c:pt idx="95">
                        <c:v>-1.1877991031938519E-4</c:v>
                      </c:pt>
                      <c:pt idx="96">
                        <c:v>2.4101626728006573E-2</c:v>
                      </c:pt>
                      <c:pt idx="97">
                        <c:v>3.7493077048404315E-2</c:v>
                      </c:pt>
                      <c:pt idx="98">
                        <c:v>4.441549311027107E-2</c:v>
                      </c:pt>
                      <c:pt idx="99">
                        <c:v>4.5637759746505004E-2</c:v>
                      </c:pt>
                      <c:pt idx="100">
                        <c:v>4.8645702214071725E-2</c:v>
                      </c:pt>
                      <c:pt idx="101">
                        <c:v>4.9207450756514379E-2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F75-46F2-8661-D2D5A7028EC4}"/>
                  </c:ext>
                </c:extLst>
              </c15:ser>
            </c15:filteredScatterSeries>
          </c:ext>
        </c:extLst>
      </c:scatterChart>
      <c:valAx>
        <c:axId val="320551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PC1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0545696"/>
        <c:crosses val="autoZero"/>
        <c:crossBetween val="midCat"/>
      </c:valAx>
      <c:valAx>
        <c:axId val="3205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PC2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055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'3 pc'!$P$1</c:f>
              <c:strCache>
                <c:ptCount val="1"/>
                <c:pt idx="0">
                  <c:v>PC(2)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'3 pc'!$O$2:$O$475</c:f>
              <c:numCache>
                <c:formatCode>#0.000</c:formatCode>
                <c:ptCount val="474"/>
                <c:pt idx="0">
                  <c:v>0.62097452166511746</c:v>
                </c:pt>
                <c:pt idx="1">
                  <c:v>7.0133943877003171</c:v>
                </c:pt>
                <c:pt idx="2">
                  <c:v>5.3488902215347451</c:v>
                </c:pt>
                <c:pt idx="3">
                  <c:v>5.6023262935042988</c:v>
                </c:pt>
                <c:pt idx="4">
                  <c:v>4.6458071396278369</c:v>
                </c:pt>
                <c:pt idx="5">
                  <c:v>4.9600852899846304</c:v>
                </c:pt>
                <c:pt idx="6">
                  <c:v>4.1532790754936402</c:v>
                </c:pt>
                <c:pt idx="7">
                  <c:v>2.1630147961697572</c:v>
                </c:pt>
                <c:pt idx="8">
                  <c:v>2.1629491630088982</c:v>
                </c:pt>
                <c:pt idx="9">
                  <c:v>3.9363919214864835</c:v>
                </c:pt>
                <c:pt idx="10">
                  <c:v>2.3653091879236467</c:v>
                </c:pt>
                <c:pt idx="11">
                  <c:v>2.2866507345160723</c:v>
                </c:pt>
                <c:pt idx="12">
                  <c:v>2.2933588079738962</c:v>
                </c:pt>
                <c:pt idx="13">
                  <c:v>2.2933095417725475</c:v>
                </c:pt>
                <c:pt idx="14">
                  <c:v>2.4624571100378403</c:v>
                </c:pt>
                <c:pt idx="15">
                  <c:v>5.2261848410375711</c:v>
                </c:pt>
                <c:pt idx="16">
                  <c:v>2.9739891488282901</c:v>
                </c:pt>
                <c:pt idx="17">
                  <c:v>5.0795057006694675</c:v>
                </c:pt>
                <c:pt idx="18">
                  <c:v>2.6853354667699305</c:v>
                </c:pt>
                <c:pt idx="19">
                  <c:v>2.2194442398780012</c:v>
                </c:pt>
                <c:pt idx="20">
                  <c:v>3.0852717508477112</c:v>
                </c:pt>
                <c:pt idx="21">
                  <c:v>2.089841090413485</c:v>
                </c:pt>
                <c:pt idx="22">
                  <c:v>2.40799142607933</c:v>
                </c:pt>
                <c:pt idx="23">
                  <c:v>2.6887481626382481</c:v>
                </c:pt>
                <c:pt idx="24">
                  <c:v>2.5968655320135676</c:v>
                </c:pt>
                <c:pt idx="25">
                  <c:v>4.5339957524030545</c:v>
                </c:pt>
                <c:pt idx="26">
                  <c:v>2.3092204891801731</c:v>
                </c:pt>
                <c:pt idx="27">
                  <c:v>2.8130105847932017</c:v>
                </c:pt>
                <c:pt idx="28">
                  <c:v>2.2688883672056397</c:v>
                </c:pt>
                <c:pt idx="29">
                  <c:v>2.5358431041956262</c:v>
                </c:pt>
                <c:pt idx="30">
                  <c:v>2.638369917179304</c:v>
                </c:pt>
                <c:pt idx="31">
                  <c:v>2.6954267011666158</c:v>
                </c:pt>
                <c:pt idx="32">
                  <c:v>1.9268297679387596</c:v>
                </c:pt>
                <c:pt idx="33">
                  <c:v>2.1754942940344182</c:v>
                </c:pt>
                <c:pt idx="34">
                  <c:v>2.5617072571391519</c:v>
                </c:pt>
                <c:pt idx="35">
                  <c:v>2.1099812080079761</c:v>
                </c:pt>
                <c:pt idx="36">
                  <c:v>2.4820467980571381</c:v>
                </c:pt>
                <c:pt idx="37">
                  <c:v>2.9781725065790101</c:v>
                </c:pt>
                <c:pt idx="38">
                  <c:v>5.298215176963752</c:v>
                </c:pt>
                <c:pt idx="39">
                  <c:v>2.3830127288995797</c:v>
                </c:pt>
                <c:pt idx="40">
                  <c:v>3.0865969668127406</c:v>
                </c:pt>
                <c:pt idx="41">
                  <c:v>2.4272047027572867</c:v>
                </c:pt>
                <c:pt idx="42">
                  <c:v>3.2362767214894257</c:v>
                </c:pt>
                <c:pt idx="43">
                  <c:v>2.4799791813174852</c:v>
                </c:pt>
                <c:pt idx="44">
                  <c:v>2.4799610212412002</c:v>
                </c:pt>
                <c:pt idx="45">
                  <c:v>2.5877794490788468</c:v>
                </c:pt>
                <c:pt idx="46">
                  <c:v>2.3910007955127082</c:v>
                </c:pt>
                <c:pt idx="47">
                  <c:v>2.883856162641139</c:v>
                </c:pt>
                <c:pt idx="48">
                  <c:v>2.4853296581453819</c:v>
                </c:pt>
                <c:pt idx="49">
                  <c:v>2.8610426301371494</c:v>
                </c:pt>
                <c:pt idx="50">
                  <c:v>2.1401230080834477</c:v>
                </c:pt>
                <c:pt idx="51">
                  <c:v>2.7513482914334424</c:v>
                </c:pt>
                <c:pt idx="52">
                  <c:v>2.4751515640258184</c:v>
                </c:pt>
                <c:pt idx="53">
                  <c:v>2.3561677545823416</c:v>
                </c:pt>
                <c:pt idx="54">
                  <c:v>2.4672212310556993</c:v>
                </c:pt>
                <c:pt idx="55">
                  <c:v>2.0921880762713423</c:v>
                </c:pt>
                <c:pt idx="56">
                  <c:v>2.8618345445428215</c:v>
                </c:pt>
                <c:pt idx="57">
                  <c:v>2.6610364467929633</c:v>
                </c:pt>
                <c:pt idx="58">
                  <c:v>2.4520778333239628</c:v>
                </c:pt>
                <c:pt idx="59">
                  <c:v>2.5078264440180091</c:v>
                </c:pt>
                <c:pt idx="60">
                  <c:v>2.2695921181219449</c:v>
                </c:pt>
                <c:pt idx="61">
                  <c:v>2.2032138171220796</c:v>
                </c:pt>
                <c:pt idx="62">
                  <c:v>3.1098701790526637</c:v>
                </c:pt>
                <c:pt idx="63">
                  <c:v>2.2798967762838962</c:v>
                </c:pt>
                <c:pt idx="64">
                  <c:v>2.2169403602043247</c:v>
                </c:pt>
                <c:pt idx="65">
                  <c:v>3.0679323176435664</c:v>
                </c:pt>
                <c:pt idx="66">
                  <c:v>2.0577948035194198</c:v>
                </c:pt>
                <c:pt idx="67">
                  <c:v>2.4647735827827049</c:v>
                </c:pt>
                <c:pt idx="68">
                  <c:v>2.4889501480455922</c:v>
                </c:pt>
                <c:pt idx="69">
                  <c:v>2.2038580490172053</c:v>
                </c:pt>
                <c:pt idx="70">
                  <c:v>2.8846991432976536</c:v>
                </c:pt>
                <c:pt idx="71">
                  <c:v>2.7589272945324352</c:v>
                </c:pt>
                <c:pt idx="72">
                  <c:v>2.5404438566197016</c:v>
                </c:pt>
                <c:pt idx="73">
                  <c:v>2.9671712801760215</c:v>
                </c:pt>
                <c:pt idx="74">
                  <c:v>2.1474180502460527</c:v>
                </c:pt>
                <c:pt idx="75">
                  <c:v>2.2769156827393608</c:v>
                </c:pt>
                <c:pt idx="76">
                  <c:v>2.306730892062955</c:v>
                </c:pt>
                <c:pt idx="77">
                  <c:v>2.0051698550465407</c:v>
                </c:pt>
                <c:pt idx="78">
                  <c:v>2.6021790496031589</c:v>
                </c:pt>
                <c:pt idx="79">
                  <c:v>2.4522280139287012</c:v>
                </c:pt>
                <c:pt idx="80">
                  <c:v>2.4659676790274045</c:v>
                </c:pt>
                <c:pt idx="81">
                  <c:v>2.7124186957461247</c:v>
                </c:pt>
                <c:pt idx="82">
                  <c:v>2.3588611714367991</c:v>
                </c:pt>
                <c:pt idx="83">
                  <c:v>4.4711824621717806</c:v>
                </c:pt>
                <c:pt idx="84">
                  <c:v>2.6723635385181903</c:v>
                </c:pt>
                <c:pt idx="85">
                  <c:v>2.5163722852844796</c:v>
                </c:pt>
                <c:pt idx="86">
                  <c:v>2.4203967620226825</c:v>
                </c:pt>
                <c:pt idx="87">
                  <c:v>2.6339482051371808</c:v>
                </c:pt>
                <c:pt idx="88">
                  <c:v>2.3434342052231609</c:v>
                </c:pt>
                <c:pt idx="89">
                  <c:v>2.7544103213449374</c:v>
                </c:pt>
                <c:pt idx="90">
                  <c:v>4.8004232446318698</c:v>
                </c:pt>
                <c:pt idx="91">
                  <c:v>2.7948532211070818</c:v>
                </c:pt>
                <c:pt idx="92">
                  <c:v>3.8317643723093746</c:v>
                </c:pt>
                <c:pt idx="93">
                  <c:v>2.7643371058624875</c:v>
                </c:pt>
                <c:pt idx="94">
                  <c:v>2.8567750034698114</c:v>
                </c:pt>
                <c:pt idx="95">
                  <c:v>2.5010017841444916</c:v>
                </c:pt>
                <c:pt idx="96">
                  <c:v>2.3224824060832714</c:v>
                </c:pt>
                <c:pt idx="97">
                  <c:v>2.7547145733009573</c:v>
                </c:pt>
                <c:pt idx="98">
                  <c:v>3.7248535378976135</c:v>
                </c:pt>
                <c:pt idx="99">
                  <c:v>3.0445421714523073</c:v>
                </c:pt>
                <c:pt idx="100">
                  <c:v>2.3647163778553844</c:v>
                </c:pt>
                <c:pt idx="101">
                  <c:v>2.6951915732202631</c:v>
                </c:pt>
                <c:pt idx="102">
                  <c:v>2.3980197631992746</c:v>
                </c:pt>
                <c:pt idx="103">
                  <c:v>3.5327036983122579</c:v>
                </c:pt>
                <c:pt idx="104">
                  <c:v>2.1632030962775097</c:v>
                </c:pt>
                <c:pt idx="105">
                  <c:v>2.6683305968793021</c:v>
                </c:pt>
                <c:pt idx="106">
                  <c:v>2.3815623613012065</c:v>
                </c:pt>
                <c:pt idx="107">
                  <c:v>2.7390747016768002</c:v>
                </c:pt>
                <c:pt idx="108">
                  <c:v>2.2915942037883914</c:v>
                </c:pt>
                <c:pt idx="109">
                  <c:v>3.9535489303522051</c:v>
                </c:pt>
                <c:pt idx="110">
                  <c:v>2.8448995048026355</c:v>
                </c:pt>
                <c:pt idx="111">
                  <c:v>1.7661051736013245</c:v>
                </c:pt>
                <c:pt idx="112">
                  <c:v>2.3332563017116192</c:v>
                </c:pt>
                <c:pt idx="113">
                  <c:v>1.9713738977659465</c:v>
                </c:pt>
                <c:pt idx="114">
                  <c:v>2.3762369018579386</c:v>
                </c:pt>
                <c:pt idx="115">
                  <c:v>2.6195785363533024</c:v>
                </c:pt>
                <c:pt idx="116">
                  <c:v>1.4203352331028218</c:v>
                </c:pt>
                <c:pt idx="117">
                  <c:v>4.5686190592973617</c:v>
                </c:pt>
                <c:pt idx="118">
                  <c:v>2.5917483250041222</c:v>
                </c:pt>
                <c:pt idx="119">
                  <c:v>2.601115235345167</c:v>
                </c:pt>
                <c:pt idx="120">
                  <c:v>1.7361694072864642</c:v>
                </c:pt>
                <c:pt idx="121">
                  <c:v>4.9406600623709744</c:v>
                </c:pt>
                <c:pt idx="122">
                  <c:v>2.9807402096702518</c:v>
                </c:pt>
                <c:pt idx="123">
                  <c:v>3.7363045165213538</c:v>
                </c:pt>
                <c:pt idx="124">
                  <c:v>2.2815816802412714</c:v>
                </c:pt>
                <c:pt idx="125">
                  <c:v>2.4755735384918407</c:v>
                </c:pt>
                <c:pt idx="126">
                  <c:v>2.5726607146769114</c:v>
                </c:pt>
                <c:pt idx="127">
                  <c:v>3.072114134321049</c:v>
                </c:pt>
                <c:pt idx="128">
                  <c:v>0.56918040287169747</c:v>
                </c:pt>
                <c:pt idx="129">
                  <c:v>3.6960448755172899</c:v>
                </c:pt>
                <c:pt idx="130">
                  <c:v>4.0772491232535506</c:v>
                </c:pt>
                <c:pt idx="131">
                  <c:v>4.9363408872668115</c:v>
                </c:pt>
                <c:pt idx="132">
                  <c:v>2.5701045217612251</c:v>
                </c:pt>
                <c:pt idx="133">
                  <c:v>2.1048290851614464</c:v>
                </c:pt>
                <c:pt idx="134">
                  <c:v>3.8226133826170923</c:v>
                </c:pt>
                <c:pt idx="135">
                  <c:v>2.1136739664493005</c:v>
                </c:pt>
                <c:pt idx="136">
                  <c:v>4.3643532640053468</c:v>
                </c:pt>
                <c:pt idx="137">
                  <c:v>2.4231959917341483</c:v>
                </c:pt>
                <c:pt idx="138">
                  <c:v>2.3258819494204017</c:v>
                </c:pt>
                <c:pt idx="139">
                  <c:v>2.9807046376966944</c:v>
                </c:pt>
                <c:pt idx="140">
                  <c:v>2.1197622412705712</c:v>
                </c:pt>
                <c:pt idx="141">
                  <c:v>1.8395171285734639</c:v>
                </c:pt>
                <c:pt idx="142">
                  <c:v>1.8013205022960723</c:v>
                </c:pt>
                <c:pt idx="143">
                  <c:v>2.1261955266859109</c:v>
                </c:pt>
                <c:pt idx="144">
                  <c:v>2.2036050555273095</c:v>
                </c:pt>
                <c:pt idx="145">
                  <c:v>2.0600147689283781</c:v>
                </c:pt>
                <c:pt idx="146">
                  <c:v>1.8936894727418445</c:v>
                </c:pt>
                <c:pt idx="147">
                  <c:v>3.9193033425919812</c:v>
                </c:pt>
                <c:pt idx="148">
                  <c:v>1.7825736123174192</c:v>
                </c:pt>
                <c:pt idx="149">
                  <c:v>4.3602252572585778</c:v>
                </c:pt>
                <c:pt idx="150">
                  <c:v>2.7909926185003147</c:v>
                </c:pt>
                <c:pt idx="151">
                  <c:v>1.8948381864668127</c:v>
                </c:pt>
                <c:pt idx="152">
                  <c:v>1.7088945194193204</c:v>
                </c:pt>
                <c:pt idx="153">
                  <c:v>1.9631758750438353</c:v>
                </c:pt>
                <c:pt idx="154">
                  <c:v>2.5258442620149282</c:v>
                </c:pt>
                <c:pt idx="155">
                  <c:v>3.2895358544168452</c:v>
                </c:pt>
                <c:pt idx="156">
                  <c:v>1.8137529064898401</c:v>
                </c:pt>
                <c:pt idx="157">
                  <c:v>2.6087592887346691</c:v>
                </c:pt>
                <c:pt idx="158">
                  <c:v>2.1525888801458062</c:v>
                </c:pt>
                <c:pt idx="159">
                  <c:v>8.3819845344979331</c:v>
                </c:pt>
                <c:pt idx="160">
                  <c:v>2.7432769151601084</c:v>
                </c:pt>
                <c:pt idx="161">
                  <c:v>6.6567510387327502</c:v>
                </c:pt>
                <c:pt idx="162">
                  <c:v>3.4939731453341509</c:v>
                </c:pt>
                <c:pt idx="163">
                  <c:v>1.9999758704462454</c:v>
                </c:pt>
                <c:pt idx="164">
                  <c:v>1.6708537292545627</c:v>
                </c:pt>
                <c:pt idx="165">
                  <c:v>1.3759474313504634</c:v>
                </c:pt>
                <c:pt idx="166">
                  <c:v>2.197088965073918</c:v>
                </c:pt>
                <c:pt idx="167">
                  <c:v>2.7955561065223899</c:v>
                </c:pt>
                <c:pt idx="168">
                  <c:v>2.1494029572295035</c:v>
                </c:pt>
                <c:pt idx="169">
                  <c:v>3.1614516365082106</c:v>
                </c:pt>
                <c:pt idx="170">
                  <c:v>1.003929205431549</c:v>
                </c:pt>
                <c:pt idx="171">
                  <c:v>0.98946898441091824</c:v>
                </c:pt>
                <c:pt idx="172">
                  <c:v>1.3313440473239675</c:v>
                </c:pt>
                <c:pt idx="173">
                  <c:v>1.8332530416442629</c:v>
                </c:pt>
                <c:pt idx="174">
                  <c:v>1.515563491280209</c:v>
                </c:pt>
                <c:pt idx="175">
                  <c:v>3.623112506820132</c:v>
                </c:pt>
                <c:pt idx="176">
                  <c:v>1.1124213611151259</c:v>
                </c:pt>
                <c:pt idx="177">
                  <c:v>2.3155671266377968</c:v>
                </c:pt>
                <c:pt idx="178">
                  <c:v>0.85607904355340148</c:v>
                </c:pt>
                <c:pt idx="179">
                  <c:v>0.40033327502981564</c:v>
                </c:pt>
                <c:pt idx="180">
                  <c:v>1.3945637219228757</c:v>
                </c:pt>
                <c:pt idx="181">
                  <c:v>1.4505177102839415</c:v>
                </c:pt>
                <c:pt idx="182">
                  <c:v>0.79575886008708907</c:v>
                </c:pt>
                <c:pt idx="183">
                  <c:v>0.82982829903528332</c:v>
                </c:pt>
                <c:pt idx="184">
                  <c:v>1.3664053200518327</c:v>
                </c:pt>
                <c:pt idx="185">
                  <c:v>1.0388026608444119</c:v>
                </c:pt>
                <c:pt idx="186">
                  <c:v>0.85767177786734294</c:v>
                </c:pt>
                <c:pt idx="187">
                  <c:v>1.0063551616656419</c:v>
                </c:pt>
                <c:pt idx="188">
                  <c:v>1.1964623411920094</c:v>
                </c:pt>
                <c:pt idx="189">
                  <c:v>1.1813877959089876</c:v>
                </c:pt>
                <c:pt idx="190">
                  <c:v>1.644665092454235</c:v>
                </c:pt>
                <c:pt idx="191">
                  <c:v>0.97978986962518022</c:v>
                </c:pt>
                <c:pt idx="192">
                  <c:v>0.83994096421541697</c:v>
                </c:pt>
                <c:pt idx="193">
                  <c:v>0.70415390550009582</c:v>
                </c:pt>
                <c:pt idx="194">
                  <c:v>0.98475390576991273</c:v>
                </c:pt>
                <c:pt idx="195">
                  <c:v>0.93661813064228217</c:v>
                </c:pt>
                <c:pt idx="196">
                  <c:v>1.3509085095671738</c:v>
                </c:pt>
                <c:pt idx="197">
                  <c:v>0.20766980019560369</c:v>
                </c:pt>
                <c:pt idx="198">
                  <c:v>1.6824970074567651</c:v>
                </c:pt>
                <c:pt idx="199">
                  <c:v>1.1600128428944751</c:v>
                </c:pt>
                <c:pt idx="200">
                  <c:v>1.5211569733981365</c:v>
                </c:pt>
                <c:pt idx="201">
                  <c:v>2.7265385510693125</c:v>
                </c:pt>
                <c:pt idx="202">
                  <c:v>1.0513552552252654</c:v>
                </c:pt>
                <c:pt idx="203">
                  <c:v>0.8711522763833508</c:v>
                </c:pt>
                <c:pt idx="204">
                  <c:v>0.98193127315582796</c:v>
                </c:pt>
                <c:pt idx="205">
                  <c:v>0.53127545793081155</c:v>
                </c:pt>
                <c:pt idx="206">
                  <c:v>1.3745371693356871</c:v>
                </c:pt>
                <c:pt idx="207">
                  <c:v>-0.35830930016389656</c:v>
                </c:pt>
                <c:pt idx="208">
                  <c:v>-0.35835063086972657</c:v>
                </c:pt>
                <c:pt idx="209">
                  <c:v>0.45839450581299895</c:v>
                </c:pt>
                <c:pt idx="210">
                  <c:v>0.41111087237493454</c:v>
                </c:pt>
                <c:pt idx="211">
                  <c:v>0.1598406146405239</c:v>
                </c:pt>
                <c:pt idx="212">
                  <c:v>-8.2907065883252598E-2</c:v>
                </c:pt>
                <c:pt idx="213">
                  <c:v>0.27443285106041809</c:v>
                </c:pt>
                <c:pt idx="214">
                  <c:v>0.14561288190319624</c:v>
                </c:pt>
                <c:pt idx="215">
                  <c:v>0.95802775437781051</c:v>
                </c:pt>
                <c:pt idx="216">
                  <c:v>-0.32449224403681926</c:v>
                </c:pt>
                <c:pt idx="217">
                  <c:v>-0.32462780875194247</c:v>
                </c:pt>
                <c:pt idx="218">
                  <c:v>-0.30237468628434711</c:v>
                </c:pt>
                <c:pt idx="219">
                  <c:v>-0.84931027961399641</c:v>
                </c:pt>
                <c:pt idx="220">
                  <c:v>-0.35570577626561484</c:v>
                </c:pt>
                <c:pt idx="221">
                  <c:v>0.42969500231252428</c:v>
                </c:pt>
                <c:pt idx="222">
                  <c:v>-0.22171105523682608</c:v>
                </c:pt>
                <c:pt idx="223">
                  <c:v>4.6638194783135072</c:v>
                </c:pt>
                <c:pt idx="224">
                  <c:v>7.4346302346978643E-2</c:v>
                </c:pt>
                <c:pt idx="225">
                  <c:v>-0.73325635038902803</c:v>
                </c:pt>
                <c:pt idx="226">
                  <c:v>-2.5079588578674583</c:v>
                </c:pt>
                <c:pt idx="227">
                  <c:v>-0.21066264134130805</c:v>
                </c:pt>
                <c:pt idx="228">
                  <c:v>-1.4540464947858291</c:v>
                </c:pt>
                <c:pt idx="229">
                  <c:v>-1.4541398385953033</c:v>
                </c:pt>
                <c:pt idx="230">
                  <c:v>0.81753578785046976</c:v>
                </c:pt>
                <c:pt idx="231">
                  <c:v>-0.34745039237466852</c:v>
                </c:pt>
                <c:pt idx="232">
                  <c:v>-0.34764382007795397</c:v>
                </c:pt>
                <c:pt idx="233">
                  <c:v>-0.66996976556398047</c:v>
                </c:pt>
                <c:pt idx="234">
                  <c:v>-1.1072114733955889</c:v>
                </c:pt>
                <c:pt idx="235">
                  <c:v>-0.37635057144477069</c:v>
                </c:pt>
                <c:pt idx="236">
                  <c:v>-1.2969606971417265</c:v>
                </c:pt>
                <c:pt idx="237">
                  <c:v>-2.9754883123405924</c:v>
                </c:pt>
                <c:pt idx="238">
                  <c:v>-1.3564526834679087</c:v>
                </c:pt>
                <c:pt idx="239">
                  <c:v>-0.11165805334798801</c:v>
                </c:pt>
                <c:pt idx="240">
                  <c:v>-1.3565729876147263</c:v>
                </c:pt>
                <c:pt idx="241">
                  <c:v>0.36707912963010869</c:v>
                </c:pt>
                <c:pt idx="242">
                  <c:v>0.3492124306036456</c:v>
                </c:pt>
                <c:pt idx="243">
                  <c:v>-0.90978655806213615</c:v>
                </c:pt>
                <c:pt idx="244">
                  <c:v>-0.90983462885230193</c:v>
                </c:pt>
                <c:pt idx="245">
                  <c:v>-0.78688843134537945</c:v>
                </c:pt>
                <c:pt idx="246">
                  <c:v>-0.5823630701332414</c:v>
                </c:pt>
                <c:pt idx="247">
                  <c:v>-0.99524846464533745</c:v>
                </c:pt>
                <c:pt idx="248">
                  <c:v>-0.32931591447536945</c:v>
                </c:pt>
                <c:pt idx="249">
                  <c:v>-0.39825707883159989</c:v>
                </c:pt>
                <c:pt idx="250">
                  <c:v>-0.39835500081156661</c:v>
                </c:pt>
                <c:pt idx="251">
                  <c:v>-1.6923277233663985</c:v>
                </c:pt>
                <c:pt idx="252">
                  <c:v>-6.5984840417249488E-2</c:v>
                </c:pt>
                <c:pt idx="253">
                  <c:v>-6.5985221931457325E-2</c:v>
                </c:pt>
                <c:pt idx="254">
                  <c:v>-1.177679339654409</c:v>
                </c:pt>
                <c:pt idx="255">
                  <c:v>-2.3672165090629935</c:v>
                </c:pt>
                <c:pt idx="256">
                  <c:v>-0.86611400008282513</c:v>
                </c:pt>
                <c:pt idx="257">
                  <c:v>-1.2400465558872598</c:v>
                </c:pt>
                <c:pt idx="258">
                  <c:v>-1.075220819479676</c:v>
                </c:pt>
                <c:pt idx="259">
                  <c:v>9.8907327905864942E-2</c:v>
                </c:pt>
                <c:pt idx="260">
                  <c:v>-2.1039610901529855</c:v>
                </c:pt>
                <c:pt idx="261">
                  <c:v>-0.20097808754136126</c:v>
                </c:pt>
                <c:pt idx="262">
                  <c:v>-0.20111365225648392</c:v>
                </c:pt>
                <c:pt idx="263">
                  <c:v>-1.2049108193280633</c:v>
                </c:pt>
                <c:pt idx="264">
                  <c:v>-0.74892599781031433</c:v>
                </c:pt>
                <c:pt idx="265">
                  <c:v>-1.3814004657993453</c:v>
                </c:pt>
                <c:pt idx="266">
                  <c:v>-2.6821271333487084</c:v>
                </c:pt>
                <c:pt idx="267">
                  <c:v>-2.9837468214586202</c:v>
                </c:pt>
                <c:pt idx="268">
                  <c:v>-0.57103081898996355</c:v>
                </c:pt>
                <c:pt idx="269">
                  <c:v>-0.57112657905608721</c:v>
                </c:pt>
                <c:pt idx="270">
                  <c:v>-1.5793404209983462</c:v>
                </c:pt>
                <c:pt idx="271">
                  <c:v>-1.6900502643873907</c:v>
                </c:pt>
                <c:pt idx="272">
                  <c:v>-0.94596298653050659</c:v>
                </c:pt>
                <c:pt idx="273">
                  <c:v>1.2664880449788101</c:v>
                </c:pt>
                <c:pt idx="274">
                  <c:v>-1.4383881611405502</c:v>
                </c:pt>
                <c:pt idx="275">
                  <c:v>-0.77956828975787151</c:v>
                </c:pt>
                <c:pt idx="276">
                  <c:v>-0.77964065028592466</c:v>
                </c:pt>
                <c:pt idx="277">
                  <c:v>-3.6802466319726581</c:v>
                </c:pt>
                <c:pt idx="278">
                  <c:v>-3.3425238633554843</c:v>
                </c:pt>
                <c:pt idx="279">
                  <c:v>0.66804270957573275</c:v>
                </c:pt>
                <c:pt idx="280">
                  <c:v>-0.88866965612298054</c:v>
                </c:pt>
                <c:pt idx="281">
                  <c:v>-2.9890259082050008</c:v>
                </c:pt>
                <c:pt idx="282">
                  <c:v>-0.10546935205723978</c:v>
                </c:pt>
                <c:pt idx="283">
                  <c:v>-0.80343283096620999</c:v>
                </c:pt>
                <c:pt idx="284">
                  <c:v>-0.28350734550707801</c:v>
                </c:pt>
                <c:pt idx="285">
                  <c:v>-1.7985763796354579</c:v>
                </c:pt>
                <c:pt idx="286">
                  <c:v>-0.60600215004495128</c:v>
                </c:pt>
                <c:pt idx="287">
                  <c:v>-0.60602033555551627</c:v>
                </c:pt>
                <c:pt idx="288">
                  <c:v>-2.5227344139381658</c:v>
                </c:pt>
                <c:pt idx="289">
                  <c:v>-2.5227730740445433</c:v>
                </c:pt>
                <c:pt idx="290">
                  <c:v>-2.5071551391015015</c:v>
                </c:pt>
                <c:pt idx="291">
                  <c:v>-1.6216511940312488</c:v>
                </c:pt>
                <c:pt idx="292">
                  <c:v>-1.0972102383121722</c:v>
                </c:pt>
                <c:pt idx="293">
                  <c:v>-3.402121853331872</c:v>
                </c:pt>
                <c:pt idx="294">
                  <c:v>-3.4024818755725024</c:v>
                </c:pt>
                <c:pt idx="295">
                  <c:v>-1.5916097017707502</c:v>
                </c:pt>
                <c:pt idx="296">
                  <c:v>-1.198416438218425</c:v>
                </c:pt>
                <c:pt idx="297">
                  <c:v>-0.56315408412807211</c:v>
                </c:pt>
                <c:pt idx="298">
                  <c:v>-1.944920726870107</c:v>
                </c:pt>
                <c:pt idx="299">
                  <c:v>-1.9454309385371555</c:v>
                </c:pt>
                <c:pt idx="300">
                  <c:v>-1.9930296575652431</c:v>
                </c:pt>
                <c:pt idx="301">
                  <c:v>-1.1437120848230997</c:v>
                </c:pt>
                <c:pt idx="302">
                  <c:v>-2.1099024879174695</c:v>
                </c:pt>
                <c:pt idx="303">
                  <c:v>-4.1476752691185323</c:v>
                </c:pt>
                <c:pt idx="304">
                  <c:v>-4.1477986253790169</c:v>
                </c:pt>
                <c:pt idx="305">
                  <c:v>-3.3823134437576297</c:v>
                </c:pt>
                <c:pt idx="306">
                  <c:v>-3.3824955532060881</c:v>
                </c:pt>
                <c:pt idx="307">
                  <c:v>-1.3372914844307426</c:v>
                </c:pt>
                <c:pt idx="308">
                  <c:v>-1.5125557887453449</c:v>
                </c:pt>
                <c:pt idx="309">
                  <c:v>-1.5126647746373345</c:v>
                </c:pt>
                <c:pt idx="310">
                  <c:v>-2.8125349687209549</c:v>
                </c:pt>
                <c:pt idx="311">
                  <c:v>-0.83531376756518494</c:v>
                </c:pt>
                <c:pt idx="312">
                  <c:v>-0.8355340284344086</c:v>
                </c:pt>
                <c:pt idx="313">
                  <c:v>-3.0082203081931698</c:v>
                </c:pt>
                <c:pt idx="314">
                  <c:v>-3.7330650141548238</c:v>
                </c:pt>
                <c:pt idx="315">
                  <c:v>-3.7334312677941806</c:v>
                </c:pt>
                <c:pt idx="316">
                  <c:v>-0.13127252558089267</c:v>
                </c:pt>
                <c:pt idx="317">
                  <c:v>-0.81632510397969682</c:v>
                </c:pt>
                <c:pt idx="318">
                  <c:v>-1.3308726397761246</c:v>
                </c:pt>
                <c:pt idx="319">
                  <c:v>0.29571620778323315</c:v>
                </c:pt>
                <c:pt idx="320">
                  <c:v>-1.7669953247700902</c:v>
                </c:pt>
                <c:pt idx="321">
                  <c:v>1.1567947394095943</c:v>
                </c:pt>
                <c:pt idx="322">
                  <c:v>-1.1696313001963359</c:v>
                </c:pt>
                <c:pt idx="323">
                  <c:v>-1.1697533847427879</c:v>
                </c:pt>
                <c:pt idx="324">
                  <c:v>-1.1170602874543538</c:v>
                </c:pt>
                <c:pt idx="325">
                  <c:v>-0.69720588828424579</c:v>
                </c:pt>
                <c:pt idx="326">
                  <c:v>0.59384119615790565</c:v>
                </c:pt>
                <c:pt idx="327">
                  <c:v>-2.683788724014895</c:v>
                </c:pt>
                <c:pt idx="328">
                  <c:v>-1.887539615027221</c:v>
                </c:pt>
                <c:pt idx="329">
                  <c:v>-1.2666043847449222</c:v>
                </c:pt>
                <c:pt idx="330">
                  <c:v>-2.4077398561702985</c:v>
                </c:pt>
                <c:pt idx="331">
                  <c:v>-2.4081396830599298</c:v>
                </c:pt>
                <c:pt idx="332">
                  <c:v>-0.9937093378838705</c:v>
                </c:pt>
                <c:pt idx="333">
                  <c:v>-3.0063880202629067</c:v>
                </c:pt>
                <c:pt idx="334">
                  <c:v>-1.1157077991107094</c:v>
                </c:pt>
                <c:pt idx="335">
                  <c:v>-3.3275948835221199</c:v>
                </c:pt>
                <c:pt idx="336">
                  <c:v>-2.3211183060847698</c:v>
                </c:pt>
                <c:pt idx="337">
                  <c:v>-1.7826247263324131</c:v>
                </c:pt>
                <c:pt idx="338">
                  <c:v>-1.7828907689065572</c:v>
                </c:pt>
                <c:pt idx="339">
                  <c:v>-2.6304488235280816</c:v>
                </c:pt>
                <c:pt idx="340">
                  <c:v>-3.5989141717758977</c:v>
                </c:pt>
                <c:pt idx="341">
                  <c:v>-3.5992399849092429</c:v>
                </c:pt>
                <c:pt idx="342">
                  <c:v>-0.9700581516635115</c:v>
                </c:pt>
                <c:pt idx="343">
                  <c:v>-2.9899246315496084</c:v>
                </c:pt>
                <c:pt idx="344">
                  <c:v>-0.66888261510796065</c:v>
                </c:pt>
                <c:pt idx="345">
                  <c:v>-3.2120247359553242</c:v>
                </c:pt>
                <c:pt idx="346">
                  <c:v>-1.9914893767234505</c:v>
                </c:pt>
                <c:pt idx="347">
                  <c:v>-2.3957685513428992</c:v>
                </c:pt>
                <c:pt idx="348">
                  <c:v>0.17087952599963027</c:v>
                </c:pt>
                <c:pt idx="349">
                  <c:v>0.17075171874006345</c:v>
                </c:pt>
                <c:pt idx="350">
                  <c:v>-3.6674890703917682</c:v>
                </c:pt>
                <c:pt idx="351">
                  <c:v>-2.4735901350198346</c:v>
                </c:pt>
                <c:pt idx="352">
                  <c:v>-2.401638971165402</c:v>
                </c:pt>
                <c:pt idx="353">
                  <c:v>-1.6342466031186977</c:v>
                </c:pt>
                <c:pt idx="354">
                  <c:v>-1.1502178375440457</c:v>
                </c:pt>
                <c:pt idx="355">
                  <c:v>-1.5706437568823284</c:v>
                </c:pt>
                <c:pt idx="356">
                  <c:v>-0.1359419774839111</c:v>
                </c:pt>
                <c:pt idx="357">
                  <c:v>-0.13600149370030629</c:v>
                </c:pt>
                <c:pt idx="358">
                  <c:v>-4.6397722615864136</c:v>
                </c:pt>
                <c:pt idx="359">
                  <c:v>-0.54164049472632803</c:v>
                </c:pt>
                <c:pt idx="360">
                  <c:v>1.3174840339162248</c:v>
                </c:pt>
                <c:pt idx="361">
                  <c:v>-3.7685012824240069</c:v>
                </c:pt>
                <c:pt idx="362">
                  <c:v>-3.5316188114456195</c:v>
                </c:pt>
                <c:pt idx="363">
                  <c:v>-3.988398833158675</c:v>
                </c:pt>
                <c:pt idx="364">
                  <c:v>-3.0471444370390146</c:v>
                </c:pt>
                <c:pt idx="365">
                  <c:v>-1.9842873195705126</c:v>
                </c:pt>
                <c:pt idx="366">
                  <c:v>-2.5130688317709042</c:v>
                </c:pt>
                <c:pt idx="367">
                  <c:v>-2.5132085931423158</c:v>
                </c:pt>
                <c:pt idx="368">
                  <c:v>-2.2169059307030694</c:v>
                </c:pt>
                <c:pt idx="369">
                  <c:v>-4.637585249424693</c:v>
                </c:pt>
                <c:pt idx="370">
                  <c:v>-1.0493922940974234</c:v>
                </c:pt>
                <c:pt idx="371">
                  <c:v>-2.4418088223462995</c:v>
                </c:pt>
                <c:pt idx="372">
                  <c:v>-2.561152510307108</c:v>
                </c:pt>
                <c:pt idx="373">
                  <c:v>-4.8762358829033179</c:v>
                </c:pt>
                <c:pt idx="374">
                  <c:v>-3.8595883543197607</c:v>
                </c:pt>
                <c:pt idx="375">
                  <c:v>-1.599579312574358</c:v>
                </c:pt>
                <c:pt idx="376">
                  <c:v>-2.0517422932243816</c:v>
                </c:pt>
                <c:pt idx="377">
                  <c:v>-1.5640260641025061</c:v>
                </c:pt>
                <c:pt idx="378">
                  <c:v>-0.74986735709135921</c:v>
                </c:pt>
                <c:pt idx="379">
                  <c:v>-2.7300004828611031</c:v>
                </c:pt>
                <c:pt idx="380">
                  <c:v>0.40158354195586271</c:v>
                </c:pt>
                <c:pt idx="381">
                  <c:v>0.47409651190328428</c:v>
                </c:pt>
                <c:pt idx="382">
                  <c:v>-2.8781521545515059</c:v>
                </c:pt>
                <c:pt idx="383">
                  <c:v>-2.8783294314866668</c:v>
                </c:pt>
                <c:pt idx="384">
                  <c:v>-1.3297027206918661</c:v>
                </c:pt>
                <c:pt idx="385">
                  <c:v>-3.4400965817388061</c:v>
                </c:pt>
                <c:pt idx="386">
                  <c:v>-3.6211823488583272</c:v>
                </c:pt>
                <c:pt idx="387">
                  <c:v>-2.9143208859803225</c:v>
                </c:pt>
                <c:pt idx="388">
                  <c:v>-2.9146155421200395</c:v>
                </c:pt>
                <c:pt idx="389">
                  <c:v>-1.4602025422279463</c:v>
                </c:pt>
                <c:pt idx="390">
                  <c:v>-2.3584630369529127</c:v>
                </c:pt>
                <c:pt idx="391">
                  <c:v>-4.586305458079341</c:v>
                </c:pt>
                <c:pt idx="392">
                  <c:v>-0.48981513885593886</c:v>
                </c:pt>
                <c:pt idx="393">
                  <c:v>-4.3852637129918497</c:v>
                </c:pt>
                <c:pt idx="394">
                  <c:v>-3.9712241914192283</c:v>
                </c:pt>
                <c:pt idx="395">
                  <c:v>-3.9714392382609445</c:v>
                </c:pt>
                <c:pt idx="396">
                  <c:v>-2.7286201608755944</c:v>
                </c:pt>
                <c:pt idx="397">
                  <c:v>-1.4167083909286862</c:v>
                </c:pt>
                <c:pt idx="398">
                  <c:v>-2.7287323260526479</c:v>
                </c:pt>
                <c:pt idx="399">
                  <c:v>-2.3887884106223005</c:v>
                </c:pt>
                <c:pt idx="400">
                  <c:v>-3.1571762176957932</c:v>
                </c:pt>
                <c:pt idx="401">
                  <c:v>-3.5288888551135198</c:v>
                </c:pt>
                <c:pt idx="402">
                  <c:v>-3.5290704558763681</c:v>
                </c:pt>
                <c:pt idx="403">
                  <c:v>-1.6160974012977001</c:v>
                </c:pt>
                <c:pt idx="404">
                  <c:v>-1.6084363540053035</c:v>
                </c:pt>
                <c:pt idx="405">
                  <c:v>-1.9116936953536798</c:v>
                </c:pt>
                <c:pt idx="406">
                  <c:v>-2.1415469283494213</c:v>
                </c:pt>
                <c:pt idx="407">
                  <c:v>-1.9096111759978198</c:v>
                </c:pt>
                <c:pt idx="408">
                  <c:v>-1.9098468246067535</c:v>
                </c:pt>
                <c:pt idx="409">
                  <c:v>-1.4126458520110565</c:v>
                </c:pt>
                <c:pt idx="410">
                  <c:v>-1.4130366497311053</c:v>
                </c:pt>
                <c:pt idx="411">
                  <c:v>-4.1103560333917581</c:v>
                </c:pt>
                <c:pt idx="412">
                  <c:v>-6.1628546945615472</c:v>
                </c:pt>
                <c:pt idx="413">
                  <c:v>-0.46699916163929783</c:v>
                </c:pt>
                <c:pt idx="414">
                  <c:v>-2.8766068760223829</c:v>
                </c:pt>
                <c:pt idx="415">
                  <c:v>-2.24899755537955</c:v>
                </c:pt>
                <c:pt idx="416">
                  <c:v>-2.2490538923108829</c:v>
                </c:pt>
                <c:pt idx="417">
                  <c:v>-2.7381135150507134</c:v>
                </c:pt>
                <c:pt idx="418">
                  <c:v>-6.180951754588639</c:v>
                </c:pt>
                <c:pt idx="419">
                  <c:v>-3.7008604765698019</c:v>
                </c:pt>
                <c:pt idx="420">
                  <c:v>-0.42884631500343617</c:v>
                </c:pt>
                <c:pt idx="421">
                  <c:v>-0.42893177418595296</c:v>
                </c:pt>
                <c:pt idx="422">
                  <c:v>-2.0476672905714115</c:v>
                </c:pt>
                <c:pt idx="423">
                  <c:v>-2.7699622613617056</c:v>
                </c:pt>
                <c:pt idx="424">
                  <c:v>-4.4577426438565206</c:v>
                </c:pt>
                <c:pt idx="425">
                  <c:v>-4.6956596775948229</c:v>
                </c:pt>
                <c:pt idx="426">
                  <c:v>-4.6957465356627681</c:v>
                </c:pt>
                <c:pt idx="427">
                  <c:v>-4.2346779989886389</c:v>
                </c:pt>
                <c:pt idx="428">
                  <c:v>-3.9669727736087821</c:v>
                </c:pt>
                <c:pt idx="429">
                  <c:v>0.3246536293080437</c:v>
                </c:pt>
                <c:pt idx="430">
                  <c:v>-0.6237131330227339</c:v>
                </c:pt>
                <c:pt idx="431">
                  <c:v>-3.8093101352815317</c:v>
                </c:pt>
                <c:pt idx="432">
                  <c:v>-0.25816094546517704</c:v>
                </c:pt>
                <c:pt idx="433">
                  <c:v>-4.4367664219759781</c:v>
                </c:pt>
                <c:pt idx="434">
                  <c:v>0.43319560703896437</c:v>
                </c:pt>
                <c:pt idx="435">
                  <c:v>-2.9611062475906151</c:v>
                </c:pt>
                <c:pt idx="436">
                  <c:v>-2.7961829005877084</c:v>
                </c:pt>
                <c:pt idx="437">
                  <c:v>-3.2246911964585285</c:v>
                </c:pt>
                <c:pt idx="438">
                  <c:v>-1.8173380415072145</c:v>
                </c:pt>
                <c:pt idx="439">
                  <c:v>-0.19415737470590788</c:v>
                </c:pt>
                <c:pt idx="440">
                  <c:v>-5.4930666485963844</c:v>
                </c:pt>
                <c:pt idx="441">
                  <c:v>-3.9615953494655622</c:v>
                </c:pt>
                <c:pt idx="442">
                  <c:v>-3.9013871558791089</c:v>
                </c:pt>
                <c:pt idx="443">
                  <c:v>-3.9014302669845744</c:v>
                </c:pt>
                <c:pt idx="444">
                  <c:v>-4.67609717600254</c:v>
                </c:pt>
                <c:pt idx="445">
                  <c:v>-3.486384160098662</c:v>
                </c:pt>
                <c:pt idx="446">
                  <c:v>-3.437663402924537</c:v>
                </c:pt>
                <c:pt idx="447">
                  <c:v>-3.9581784742465564</c:v>
                </c:pt>
                <c:pt idx="448">
                  <c:v>-4.1621477991401106</c:v>
                </c:pt>
                <c:pt idx="449">
                  <c:v>-4.3144826411134858</c:v>
                </c:pt>
                <c:pt idx="450">
                  <c:v>-5.3954135949457678</c:v>
                </c:pt>
                <c:pt idx="451">
                  <c:v>-1.7312639404023997</c:v>
                </c:pt>
                <c:pt idx="452">
                  <c:v>-4.2367637857668239</c:v>
                </c:pt>
                <c:pt idx="453">
                  <c:v>-4.2607428409805648</c:v>
                </c:pt>
                <c:pt idx="454">
                  <c:v>-6.3491686376352758</c:v>
                </c:pt>
                <c:pt idx="455">
                  <c:v>-3.5598946380540215</c:v>
                </c:pt>
                <c:pt idx="456">
                  <c:v>-3.5605895498894995</c:v>
                </c:pt>
                <c:pt idx="457">
                  <c:v>-3.1897672604221592</c:v>
                </c:pt>
                <c:pt idx="458">
                  <c:v>-4.9462508352838741</c:v>
                </c:pt>
                <c:pt idx="459">
                  <c:v>-3.3890666269372525</c:v>
                </c:pt>
                <c:pt idx="460">
                  <c:v>-2.1541003356721862</c:v>
                </c:pt>
                <c:pt idx="461">
                  <c:v>-4.0756039086057543</c:v>
                </c:pt>
                <c:pt idx="462">
                  <c:v>-6.7413578934729657</c:v>
                </c:pt>
                <c:pt idx="463">
                  <c:v>-3.8717848104501922</c:v>
                </c:pt>
                <c:pt idx="464">
                  <c:v>-4.4297838345116807</c:v>
                </c:pt>
                <c:pt idx="465">
                  <c:v>-6.1462346420473555</c:v>
                </c:pt>
                <c:pt idx="466">
                  <c:v>-3.344862496290653</c:v>
                </c:pt>
                <c:pt idx="467">
                  <c:v>-2.4224706798198654</c:v>
                </c:pt>
                <c:pt idx="468">
                  <c:v>-2.6506378858908919</c:v>
                </c:pt>
                <c:pt idx="469">
                  <c:v>-2.5335678409618567</c:v>
                </c:pt>
                <c:pt idx="470">
                  <c:v>-0.45416819679863113</c:v>
                </c:pt>
                <c:pt idx="471">
                  <c:v>-1.8526896522881817</c:v>
                </c:pt>
                <c:pt idx="472">
                  <c:v>-3.8200135548588841</c:v>
                </c:pt>
                <c:pt idx="473">
                  <c:v>-3.3535067490254029</c:v>
                </c:pt>
              </c:numCache>
            </c:numRef>
          </c:xVal>
          <c:yVal>
            <c:numRef>
              <c:f>'3 pc'!$P$2:$P$475</c:f>
              <c:numCache>
                <c:formatCode>#0.000</c:formatCode>
                <c:ptCount val="474"/>
                <c:pt idx="0">
                  <c:v>-0.76512384463834826</c:v>
                </c:pt>
                <c:pt idx="1">
                  <c:v>1.2791033455853358</c:v>
                </c:pt>
                <c:pt idx="2">
                  <c:v>0.84979636301627615</c:v>
                </c:pt>
                <c:pt idx="3">
                  <c:v>0.85312963584262835</c:v>
                </c:pt>
                <c:pt idx="4">
                  <c:v>0.59964520071413385</c:v>
                </c:pt>
                <c:pt idx="5">
                  <c:v>0.81208754181632614</c:v>
                </c:pt>
                <c:pt idx="6">
                  <c:v>0.13832046035869805</c:v>
                </c:pt>
                <c:pt idx="7">
                  <c:v>-0.61369314275426368</c:v>
                </c:pt>
                <c:pt idx="8">
                  <c:v>-0.61365492354480822</c:v>
                </c:pt>
                <c:pt idx="9">
                  <c:v>0.53252150274517707</c:v>
                </c:pt>
                <c:pt idx="10">
                  <c:v>-0.30213224392654842</c:v>
                </c:pt>
                <c:pt idx="11">
                  <c:v>-0.40687430484357295</c:v>
                </c:pt>
                <c:pt idx="12">
                  <c:v>-0.33777946619139448</c:v>
                </c:pt>
                <c:pt idx="13">
                  <c:v>-0.3377507777167903</c:v>
                </c:pt>
                <c:pt idx="14">
                  <c:v>-0.25638525942696572</c:v>
                </c:pt>
                <c:pt idx="15">
                  <c:v>1.1059147724808447</c:v>
                </c:pt>
                <c:pt idx="16">
                  <c:v>-0.28110182461999361</c:v>
                </c:pt>
                <c:pt idx="17">
                  <c:v>1.0332071991035909</c:v>
                </c:pt>
                <c:pt idx="18">
                  <c:v>-0.18180458448725464</c:v>
                </c:pt>
                <c:pt idx="19">
                  <c:v>-0.42391793151961432</c:v>
                </c:pt>
                <c:pt idx="20">
                  <c:v>-0.15872726911608998</c:v>
                </c:pt>
                <c:pt idx="21">
                  <c:v>-0.21975287587036685</c:v>
                </c:pt>
                <c:pt idx="22">
                  <c:v>-0.58682915403248903</c:v>
                </c:pt>
                <c:pt idx="23">
                  <c:v>-0.22397559012051199</c:v>
                </c:pt>
                <c:pt idx="24">
                  <c:v>-0.39216378504994837</c:v>
                </c:pt>
                <c:pt idx="25">
                  <c:v>1.1184447125393744</c:v>
                </c:pt>
                <c:pt idx="26">
                  <c:v>-0.33368336180664088</c:v>
                </c:pt>
                <c:pt idx="27">
                  <c:v>4.5637759746505004E-2</c:v>
                </c:pt>
                <c:pt idx="28">
                  <c:v>-0.43651925308435013</c:v>
                </c:pt>
                <c:pt idx="29">
                  <c:v>-0.25234372180782344</c:v>
                </c:pt>
                <c:pt idx="30">
                  <c:v>-0.24005298365591637</c:v>
                </c:pt>
                <c:pt idx="31">
                  <c:v>-0.30465829181768767</c:v>
                </c:pt>
                <c:pt idx="32">
                  <c:v>-0.8890798221209355</c:v>
                </c:pt>
                <c:pt idx="33">
                  <c:v>-0.55051894305358373</c:v>
                </c:pt>
                <c:pt idx="34">
                  <c:v>-0.44290918264571782</c:v>
                </c:pt>
                <c:pt idx="35">
                  <c:v>8.6418246119975388E-3</c:v>
                </c:pt>
                <c:pt idx="36">
                  <c:v>-0.26245326487571663</c:v>
                </c:pt>
                <c:pt idx="37">
                  <c:v>-0.24476600230614015</c:v>
                </c:pt>
                <c:pt idx="38">
                  <c:v>0.95680978053941701</c:v>
                </c:pt>
                <c:pt idx="39">
                  <c:v>-0.7088206402863666</c:v>
                </c:pt>
                <c:pt idx="40">
                  <c:v>0.32074535920620567</c:v>
                </c:pt>
                <c:pt idx="41">
                  <c:v>-0.23016927330371267</c:v>
                </c:pt>
                <c:pt idx="42">
                  <c:v>-1.1877991031938519E-4</c:v>
                </c:pt>
                <c:pt idx="43">
                  <c:v>-0.26580418461423044</c:v>
                </c:pt>
                <c:pt idx="44">
                  <c:v>-0.26579360971961685</c:v>
                </c:pt>
                <c:pt idx="45">
                  <c:v>-0.42722914867626671</c:v>
                </c:pt>
                <c:pt idx="46">
                  <c:v>-0.543515885302846</c:v>
                </c:pt>
                <c:pt idx="47">
                  <c:v>-0.10937421919475099</c:v>
                </c:pt>
                <c:pt idx="48">
                  <c:v>-0.29813953863885428</c:v>
                </c:pt>
                <c:pt idx="49">
                  <c:v>-4.1006311293613415E-3</c:v>
                </c:pt>
                <c:pt idx="50">
                  <c:v>-0.40155631459317953</c:v>
                </c:pt>
                <c:pt idx="51">
                  <c:v>-0.17141916392637349</c:v>
                </c:pt>
                <c:pt idx="52">
                  <c:v>-0.45579974805979923</c:v>
                </c:pt>
                <c:pt idx="53">
                  <c:v>-0.29589317450525482</c:v>
                </c:pt>
                <c:pt idx="54">
                  <c:v>-0.75557517236359339</c:v>
                </c:pt>
                <c:pt idx="55">
                  <c:v>-0.29961222243984115</c:v>
                </c:pt>
                <c:pt idx="56">
                  <c:v>2.4101626728006573E-2</c:v>
                </c:pt>
                <c:pt idx="57">
                  <c:v>-0.12509572496935817</c:v>
                </c:pt>
                <c:pt idx="58">
                  <c:v>-0.26995148668186125</c:v>
                </c:pt>
                <c:pt idx="59">
                  <c:v>-0.27711605302171782</c:v>
                </c:pt>
                <c:pt idx="60">
                  <c:v>-0.31968820591751435</c:v>
                </c:pt>
                <c:pt idx="61">
                  <c:v>-0.40899281052803055</c:v>
                </c:pt>
                <c:pt idx="62">
                  <c:v>-0.11757591982592901</c:v>
                </c:pt>
                <c:pt idx="63">
                  <c:v>-0.44739252621101139</c:v>
                </c:pt>
                <c:pt idx="64">
                  <c:v>-0.31189223011326761</c:v>
                </c:pt>
                <c:pt idx="65">
                  <c:v>-6.9173360102067927E-2</c:v>
                </c:pt>
                <c:pt idx="66">
                  <c:v>-0.84530036916352758</c:v>
                </c:pt>
                <c:pt idx="67">
                  <c:v>-0.54882830971976293</c:v>
                </c:pt>
                <c:pt idx="68">
                  <c:v>-0.1798059466270632</c:v>
                </c:pt>
                <c:pt idx="69">
                  <c:v>-0.53222112923618303</c:v>
                </c:pt>
                <c:pt idx="70">
                  <c:v>0.37755778455865768</c:v>
                </c:pt>
                <c:pt idx="71">
                  <c:v>-0.38374829955667022</c:v>
                </c:pt>
                <c:pt idx="72">
                  <c:v>-0.50053306497752681</c:v>
                </c:pt>
                <c:pt idx="73">
                  <c:v>3.7493077048404315E-2</c:v>
                </c:pt>
                <c:pt idx="74">
                  <c:v>-0.22025708551375422</c:v>
                </c:pt>
                <c:pt idx="75">
                  <c:v>-0.50818958168529682</c:v>
                </c:pt>
                <c:pt idx="76">
                  <c:v>-0.11685495710593737</c:v>
                </c:pt>
                <c:pt idx="77">
                  <c:v>-0.48225292735446212</c:v>
                </c:pt>
                <c:pt idx="78">
                  <c:v>-0.33194848226247059</c:v>
                </c:pt>
                <c:pt idx="79">
                  <c:v>-0.34527147801880631</c:v>
                </c:pt>
                <c:pt idx="80">
                  <c:v>-0.32456755308667434</c:v>
                </c:pt>
                <c:pt idx="81">
                  <c:v>-0.19293443376184732</c:v>
                </c:pt>
                <c:pt idx="82">
                  <c:v>-0.49618287623231955</c:v>
                </c:pt>
                <c:pt idx="83">
                  <c:v>1.6151893849236041</c:v>
                </c:pt>
                <c:pt idx="84">
                  <c:v>-8.8825125915228745E-2</c:v>
                </c:pt>
                <c:pt idx="85">
                  <c:v>-0.13641904962855592</c:v>
                </c:pt>
                <c:pt idx="86">
                  <c:v>-0.34054108055450949</c:v>
                </c:pt>
                <c:pt idx="87">
                  <c:v>-0.19428994544810682</c:v>
                </c:pt>
                <c:pt idx="88">
                  <c:v>-0.28656459642063503</c:v>
                </c:pt>
                <c:pt idx="89">
                  <c:v>-0.12593767537940204</c:v>
                </c:pt>
                <c:pt idx="90">
                  <c:v>0.89649895871328844</c:v>
                </c:pt>
                <c:pt idx="91">
                  <c:v>-0.46759060705650829</c:v>
                </c:pt>
                <c:pt idx="92">
                  <c:v>0.6314194646861665</c:v>
                </c:pt>
                <c:pt idx="93">
                  <c:v>4.9207450756514379E-2</c:v>
                </c:pt>
                <c:pt idx="94">
                  <c:v>-0.21326224465977367</c:v>
                </c:pt>
                <c:pt idx="95">
                  <c:v>0.25279408129478936</c:v>
                </c:pt>
                <c:pt idx="96">
                  <c:v>-0.22473323976204082</c:v>
                </c:pt>
                <c:pt idx="97">
                  <c:v>-5.9527961586132307E-2</c:v>
                </c:pt>
                <c:pt idx="98">
                  <c:v>0.53795839410107327</c:v>
                </c:pt>
                <c:pt idx="99">
                  <c:v>4.441549311027107E-2</c:v>
                </c:pt>
                <c:pt idx="100">
                  <c:v>-0.449229862149638</c:v>
                </c:pt>
                <c:pt idx="101">
                  <c:v>-0.21867204836572643</c:v>
                </c:pt>
                <c:pt idx="102">
                  <c:v>-0.15548624522949289</c:v>
                </c:pt>
                <c:pt idx="103">
                  <c:v>0.42081893966857264</c:v>
                </c:pt>
                <c:pt idx="104">
                  <c:v>-0.322006689850106</c:v>
                </c:pt>
                <c:pt idx="105">
                  <c:v>-0.48401801777704034</c:v>
                </c:pt>
                <c:pt idx="106">
                  <c:v>-0.51540146898437411</c:v>
                </c:pt>
                <c:pt idx="107">
                  <c:v>-3.2355509753253055E-2</c:v>
                </c:pt>
                <c:pt idx="108">
                  <c:v>-0.40536028854461503</c:v>
                </c:pt>
                <c:pt idx="109">
                  <c:v>0.17944758788200041</c:v>
                </c:pt>
                <c:pt idx="110">
                  <c:v>-5.247725449275701E-2</c:v>
                </c:pt>
                <c:pt idx="111">
                  <c:v>-0.46956077573921856</c:v>
                </c:pt>
                <c:pt idx="112">
                  <c:v>-0.47709108334815636</c:v>
                </c:pt>
                <c:pt idx="113">
                  <c:v>-0.54558260893084343</c:v>
                </c:pt>
                <c:pt idx="114">
                  <c:v>-0.32130306735547559</c:v>
                </c:pt>
                <c:pt idx="115">
                  <c:v>-0.39011552040903563</c:v>
                </c:pt>
                <c:pt idx="116">
                  <c:v>-0.29620326212700127</c:v>
                </c:pt>
                <c:pt idx="117">
                  <c:v>0.6169898047876442</c:v>
                </c:pt>
                <c:pt idx="118">
                  <c:v>-3.985230371277159E-2</c:v>
                </c:pt>
                <c:pt idx="119">
                  <c:v>-0.36695572164421242</c:v>
                </c:pt>
                <c:pt idx="120">
                  <c:v>-0.6978047570057484</c:v>
                </c:pt>
                <c:pt idx="121">
                  <c:v>0.72791258613709187</c:v>
                </c:pt>
                <c:pt idx="122">
                  <c:v>-2.8919685913354302E-2</c:v>
                </c:pt>
                <c:pt idx="123">
                  <c:v>0.59237904238343497</c:v>
                </c:pt>
                <c:pt idx="124">
                  <c:v>-0.41990378433439701</c:v>
                </c:pt>
                <c:pt idx="125">
                  <c:v>7.8679671095538126E-2</c:v>
                </c:pt>
                <c:pt idx="126">
                  <c:v>-0.36935149095757219</c:v>
                </c:pt>
                <c:pt idx="127">
                  <c:v>0.29216199883669386</c:v>
                </c:pt>
                <c:pt idx="128">
                  <c:v>-1.6335807983206794</c:v>
                </c:pt>
                <c:pt idx="129">
                  <c:v>0.35793452439924001</c:v>
                </c:pt>
                <c:pt idx="130">
                  <c:v>0.6546927974426513</c:v>
                </c:pt>
                <c:pt idx="131">
                  <c:v>1.0157029437196679</c:v>
                </c:pt>
                <c:pt idx="132">
                  <c:v>-0.16584787870597945</c:v>
                </c:pt>
                <c:pt idx="133">
                  <c:v>-0.39214842495342705</c:v>
                </c:pt>
                <c:pt idx="134">
                  <c:v>0.52744408009133603</c:v>
                </c:pt>
                <c:pt idx="135">
                  <c:v>-0.4018743256020782</c:v>
                </c:pt>
                <c:pt idx="136">
                  <c:v>0.49197227997729909</c:v>
                </c:pt>
                <c:pt idx="137">
                  <c:v>-0.23316838820850794</c:v>
                </c:pt>
                <c:pt idx="138">
                  <c:v>-0.42649969984756964</c:v>
                </c:pt>
                <c:pt idx="139">
                  <c:v>8.5367659932997664E-2</c:v>
                </c:pt>
                <c:pt idx="140">
                  <c:v>-0.58463438620165742</c:v>
                </c:pt>
                <c:pt idx="141">
                  <c:v>-0.92511713676999674</c:v>
                </c:pt>
                <c:pt idx="142">
                  <c:v>-0.48107663506534354</c:v>
                </c:pt>
                <c:pt idx="143">
                  <c:v>-0.48355280840293274</c:v>
                </c:pt>
                <c:pt idx="144">
                  <c:v>-0.48474583977425673</c:v>
                </c:pt>
                <c:pt idx="145">
                  <c:v>-0.82230569151153621</c:v>
                </c:pt>
                <c:pt idx="146">
                  <c:v>-0.2461546388016892</c:v>
                </c:pt>
                <c:pt idx="147">
                  <c:v>0.70410750332139505</c:v>
                </c:pt>
                <c:pt idx="148">
                  <c:v>-0.17338423972545108</c:v>
                </c:pt>
                <c:pt idx="149">
                  <c:v>0.63415969346545509</c:v>
                </c:pt>
                <c:pt idx="150">
                  <c:v>0.19805396694402141</c:v>
                </c:pt>
                <c:pt idx="151">
                  <c:v>0.11916992598066616</c:v>
                </c:pt>
                <c:pt idx="152">
                  <c:v>-0.61873396600124719</c:v>
                </c:pt>
                <c:pt idx="153">
                  <c:v>-0.64859894681878605</c:v>
                </c:pt>
                <c:pt idx="154">
                  <c:v>0.55235819817138454</c:v>
                </c:pt>
                <c:pt idx="155">
                  <c:v>0.50040498657527999</c:v>
                </c:pt>
                <c:pt idx="156">
                  <c:v>-0.40307558715884184</c:v>
                </c:pt>
                <c:pt idx="157">
                  <c:v>0.13796219571052129</c:v>
                </c:pt>
                <c:pt idx="158">
                  <c:v>-5.259741931242172E-2</c:v>
                </c:pt>
                <c:pt idx="159">
                  <c:v>-0.67031589020224314</c:v>
                </c:pt>
                <c:pt idx="160">
                  <c:v>0.58074824944482639</c:v>
                </c:pt>
                <c:pt idx="161">
                  <c:v>1.2549794666860741</c:v>
                </c:pt>
                <c:pt idx="162">
                  <c:v>0.66805805450016253</c:v>
                </c:pt>
                <c:pt idx="163">
                  <c:v>-6.789140262053496E-2</c:v>
                </c:pt>
                <c:pt idx="164">
                  <c:v>-0.28268669541123692</c:v>
                </c:pt>
                <c:pt idx="165">
                  <c:v>-0.69105908436801955</c:v>
                </c:pt>
                <c:pt idx="166">
                  <c:v>0.27942088004337018</c:v>
                </c:pt>
                <c:pt idx="167">
                  <c:v>0.31810519966672801</c:v>
                </c:pt>
                <c:pt idx="168">
                  <c:v>0.27335425076879222</c:v>
                </c:pt>
                <c:pt idx="169">
                  <c:v>4.8645702214071725E-2</c:v>
                </c:pt>
                <c:pt idx="170">
                  <c:v>-1.1799322792574898</c:v>
                </c:pt>
                <c:pt idx="171">
                  <c:v>-0.89556418333154963</c:v>
                </c:pt>
                <c:pt idx="172">
                  <c:v>-0.2958226159968943</c:v>
                </c:pt>
                <c:pt idx="173">
                  <c:v>-5.0298479750698136E-3</c:v>
                </c:pt>
                <c:pt idx="174">
                  <c:v>-0.74270814637123361</c:v>
                </c:pt>
                <c:pt idx="175">
                  <c:v>0.65855603212733482</c:v>
                </c:pt>
                <c:pt idx="176">
                  <c:v>-1.2802789849217411</c:v>
                </c:pt>
                <c:pt idx="177">
                  <c:v>0.51580342182016936</c:v>
                </c:pt>
                <c:pt idx="178">
                  <c:v>-0.68967834825627594</c:v>
                </c:pt>
                <c:pt idx="179">
                  <c:v>-1.3409889121818828</c:v>
                </c:pt>
                <c:pt idx="180">
                  <c:v>-0.68605706672609579</c:v>
                </c:pt>
                <c:pt idx="181">
                  <c:v>-0.37611484710567733</c:v>
                </c:pt>
                <c:pt idx="182">
                  <c:v>-1.5146425827350185</c:v>
                </c:pt>
                <c:pt idx="183">
                  <c:v>-0.82462714257436598</c:v>
                </c:pt>
                <c:pt idx="184">
                  <c:v>-0.2731495688566053</c:v>
                </c:pt>
                <c:pt idx="185">
                  <c:v>-1.0069947582518286</c:v>
                </c:pt>
                <c:pt idx="186">
                  <c:v>-0.62308048521598813</c:v>
                </c:pt>
                <c:pt idx="187">
                  <c:v>-0.48058433751205359</c:v>
                </c:pt>
                <c:pt idx="188">
                  <c:v>0.10108150201802127</c:v>
                </c:pt>
                <c:pt idx="189">
                  <c:v>0.20439538097493476</c:v>
                </c:pt>
                <c:pt idx="190">
                  <c:v>0.11637624195642657</c:v>
                </c:pt>
                <c:pt idx="191">
                  <c:v>-0.65739060071820465</c:v>
                </c:pt>
                <c:pt idx="192">
                  <c:v>-0.7789568359349589</c:v>
                </c:pt>
                <c:pt idx="193">
                  <c:v>-0.92819468850119047</c:v>
                </c:pt>
                <c:pt idx="194">
                  <c:v>-1.0878153150990904</c:v>
                </c:pt>
                <c:pt idx="195">
                  <c:v>-1.0884181040933589</c:v>
                </c:pt>
                <c:pt idx="196">
                  <c:v>-5.8751170129613681E-3</c:v>
                </c:pt>
                <c:pt idx="197">
                  <c:v>-0.42681745888679307</c:v>
                </c:pt>
                <c:pt idx="198">
                  <c:v>0.21127314202844191</c:v>
                </c:pt>
                <c:pt idx="199">
                  <c:v>-0.58905591151894632</c:v>
                </c:pt>
                <c:pt idx="200">
                  <c:v>4.0688499700584954E-2</c:v>
                </c:pt>
                <c:pt idx="201">
                  <c:v>0.7965816966408451</c:v>
                </c:pt>
                <c:pt idx="202">
                  <c:v>-1.0464285463895713</c:v>
                </c:pt>
                <c:pt idx="203">
                  <c:v>-1.1631932988652587</c:v>
                </c:pt>
                <c:pt idx="204">
                  <c:v>-1.1431125777209736</c:v>
                </c:pt>
                <c:pt idx="205">
                  <c:v>-2.2289706547699648</c:v>
                </c:pt>
                <c:pt idx="206">
                  <c:v>-0.7902480492745203</c:v>
                </c:pt>
                <c:pt idx="207">
                  <c:v>-2.9260650964591224</c:v>
                </c:pt>
                <c:pt idx="208">
                  <c:v>-2.9260410289468681</c:v>
                </c:pt>
                <c:pt idx="209">
                  <c:v>-1.2433495105494758</c:v>
                </c:pt>
                <c:pt idx="210">
                  <c:v>-0.8941074395394818</c:v>
                </c:pt>
                <c:pt idx="211">
                  <c:v>-1.5331173873487849</c:v>
                </c:pt>
                <c:pt idx="212">
                  <c:v>-1.2246395579118701</c:v>
                </c:pt>
                <c:pt idx="213">
                  <c:v>-1.2980147097885728</c:v>
                </c:pt>
                <c:pt idx="214">
                  <c:v>-1.3751794824372141</c:v>
                </c:pt>
                <c:pt idx="215">
                  <c:v>-0.45494313614330595</c:v>
                </c:pt>
                <c:pt idx="216">
                  <c:v>-1.3517393198767074</c:v>
                </c:pt>
                <c:pt idx="217">
                  <c:v>-1.3516603784365229</c:v>
                </c:pt>
                <c:pt idx="218">
                  <c:v>-2.0809510046357356</c:v>
                </c:pt>
                <c:pt idx="219">
                  <c:v>-2.7161954652391849</c:v>
                </c:pt>
                <c:pt idx="220">
                  <c:v>-0.85349545434476137</c:v>
                </c:pt>
                <c:pt idx="221">
                  <c:v>-0.20110252206981122</c:v>
                </c:pt>
                <c:pt idx="222">
                  <c:v>-0.89522189868663549</c:v>
                </c:pt>
                <c:pt idx="223">
                  <c:v>2.8004721951426959</c:v>
                </c:pt>
                <c:pt idx="224">
                  <c:v>-0.44398039101725223</c:v>
                </c:pt>
                <c:pt idx="225">
                  <c:v>-1.7893392606751981</c:v>
                </c:pt>
                <c:pt idx="226">
                  <c:v>-1.3661171466805941</c:v>
                </c:pt>
                <c:pt idx="227">
                  <c:v>-1.6071121955742302</c:v>
                </c:pt>
                <c:pt idx="228">
                  <c:v>-1.658483225783888</c:v>
                </c:pt>
                <c:pt idx="229">
                  <c:v>-1.6584288702331396</c:v>
                </c:pt>
                <c:pt idx="230">
                  <c:v>0.16548145835987316</c:v>
                </c:pt>
                <c:pt idx="231">
                  <c:v>-1.3192738718915811</c:v>
                </c:pt>
                <c:pt idx="232">
                  <c:v>-1.3191612359342439</c:v>
                </c:pt>
                <c:pt idx="233">
                  <c:v>-0.49408422373400396</c:v>
                </c:pt>
                <c:pt idx="234">
                  <c:v>-2.6103650617759011</c:v>
                </c:pt>
                <c:pt idx="235">
                  <c:v>-1.1297052392012754</c:v>
                </c:pt>
                <c:pt idx="236">
                  <c:v>-2.9015183872972057</c:v>
                </c:pt>
                <c:pt idx="237">
                  <c:v>-5.6660990148797294</c:v>
                </c:pt>
                <c:pt idx="238">
                  <c:v>-2.6521425379354167</c:v>
                </c:pt>
                <c:pt idx="239">
                  <c:v>-0.61707021280406371</c:v>
                </c:pt>
                <c:pt idx="240">
                  <c:v>-2.6520724829612936</c:v>
                </c:pt>
                <c:pt idx="241">
                  <c:v>-2.6240463793172665E-2</c:v>
                </c:pt>
                <c:pt idx="242">
                  <c:v>0.58516483054954516</c:v>
                </c:pt>
                <c:pt idx="243">
                  <c:v>-1.6194067722019545</c:v>
                </c:pt>
                <c:pt idx="244">
                  <c:v>-1.6193787798338586</c:v>
                </c:pt>
                <c:pt idx="245">
                  <c:v>-0.43283627105793815</c:v>
                </c:pt>
                <c:pt idx="246">
                  <c:v>-0.67403173101351455</c:v>
                </c:pt>
                <c:pt idx="247">
                  <c:v>-1.1957784337011552</c:v>
                </c:pt>
                <c:pt idx="248">
                  <c:v>-0.30659593603504304</c:v>
                </c:pt>
                <c:pt idx="249">
                  <c:v>-0.41462268499879507</c:v>
                </c:pt>
                <c:pt idx="250">
                  <c:v>-0.41456566350822971</c:v>
                </c:pt>
                <c:pt idx="251">
                  <c:v>-1.8187965463311473</c:v>
                </c:pt>
                <c:pt idx="252">
                  <c:v>-1.0192010596251676E-2</c:v>
                </c:pt>
                <c:pt idx="253">
                  <c:v>-1.0191788434599886E-2</c:v>
                </c:pt>
                <c:pt idx="254">
                  <c:v>-1.2267430357322333</c:v>
                </c:pt>
                <c:pt idx="255">
                  <c:v>-4.6558664879286793</c:v>
                </c:pt>
                <c:pt idx="256">
                  <c:v>-0.86928912988472795</c:v>
                </c:pt>
                <c:pt idx="257">
                  <c:v>-3.2244259949694394</c:v>
                </c:pt>
                <c:pt idx="258">
                  <c:v>-1.291714824235106</c:v>
                </c:pt>
                <c:pt idx="259">
                  <c:v>-0.41197229133865054</c:v>
                </c:pt>
                <c:pt idx="260">
                  <c:v>-3.002921042129965</c:v>
                </c:pt>
                <c:pt idx="261">
                  <c:v>1.1895301565831367</c:v>
                </c:pt>
                <c:pt idx="262">
                  <c:v>1.1896090980233214</c:v>
                </c:pt>
                <c:pt idx="263">
                  <c:v>-1.3456967438735266</c:v>
                </c:pt>
                <c:pt idx="264">
                  <c:v>-1.2488380233771919</c:v>
                </c:pt>
                <c:pt idx="265">
                  <c:v>-1.84533006456487</c:v>
                </c:pt>
                <c:pt idx="266">
                  <c:v>-5.0016128094656391</c:v>
                </c:pt>
                <c:pt idx="267">
                  <c:v>-4.9989483673083974</c:v>
                </c:pt>
                <c:pt idx="268">
                  <c:v>0.15741894096842382</c:v>
                </c:pt>
                <c:pt idx="269">
                  <c:v>0.15747470354296358</c:v>
                </c:pt>
                <c:pt idx="270">
                  <c:v>-1.4783114897491343</c:v>
                </c:pt>
                <c:pt idx="271">
                  <c:v>-1.8911650608889072</c:v>
                </c:pt>
                <c:pt idx="272">
                  <c:v>8.7273525351144396E-2</c:v>
                </c:pt>
                <c:pt idx="273">
                  <c:v>1.0353172833047952</c:v>
                </c:pt>
                <c:pt idx="274">
                  <c:v>-1.2344828529216996</c:v>
                </c:pt>
                <c:pt idx="275">
                  <c:v>0.15315369271560467</c:v>
                </c:pt>
                <c:pt idx="276">
                  <c:v>0.15319582937551574</c:v>
                </c:pt>
                <c:pt idx="277">
                  <c:v>-5.0524922534960801</c:v>
                </c:pt>
                <c:pt idx="278">
                  <c:v>-5.6333754055057721</c:v>
                </c:pt>
                <c:pt idx="279">
                  <c:v>0.68220576359570262</c:v>
                </c:pt>
                <c:pt idx="280">
                  <c:v>3.0030663095737729</c:v>
                </c:pt>
                <c:pt idx="281">
                  <c:v>-3.2701043302396298</c:v>
                </c:pt>
                <c:pt idx="282">
                  <c:v>-1.3559008726608521</c:v>
                </c:pt>
                <c:pt idx="283">
                  <c:v>1.2991374855093643</c:v>
                </c:pt>
                <c:pt idx="284">
                  <c:v>0.21000376443161634</c:v>
                </c:pt>
                <c:pt idx="285">
                  <c:v>-1.4359241733250445</c:v>
                </c:pt>
                <c:pt idx="286">
                  <c:v>1.6794901470460888</c:v>
                </c:pt>
                <c:pt idx="287">
                  <c:v>1.6795007367514811</c:v>
                </c:pt>
                <c:pt idx="288">
                  <c:v>-2.2144491908147113</c:v>
                </c:pt>
                <c:pt idx="289">
                  <c:v>-2.2144266784340196</c:v>
                </c:pt>
                <c:pt idx="290">
                  <c:v>-1.8141409038169412</c:v>
                </c:pt>
                <c:pt idx="291">
                  <c:v>0.20433950616157015</c:v>
                </c:pt>
                <c:pt idx="292">
                  <c:v>0.78786797500037464</c:v>
                </c:pt>
                <c:pt idx="293">
                  <c:v>-3.1652740993022466</c:v>
                </c:pt>
                <c:pt idx="294">
                  <c:v>-3.1650644527570648</c:v>
                </c:pt>
                <c:pt idx="295">
                  <c:v>-1.975919144832841</c:v>
                </c:pt>
                <c:pt idx="296">
                  <c:v>0.48292196838297596</c:v>
                </c:pt>
                <c:pt idx="297">
                  <c:v>1.6153531284758804</c:v>
                </c:pt>
                <c:pt idx="298">
                  <c:v>1.1072667524184733E-2</c:v>
                </c:pt>
                <c:pt idx="299">
                  <c:v>1.1369771706194683E-2</c:v>
                </c:pt>
                <c:pt idx="300">
                  <c:v>-0.51074743567626013</c:v>
                </c:pt>
                <c:pt idx="301">
                  <c:v>1.0755954910916863</c:v>
                </c:pt>
                <c:pt idx="302">
                  <c:v>-2.6054177282487627</c:v>
                </c:pt>
                <c:pt idx="303">
                  <c:v>-4.8766817341948219</c:v>
                </c:pt>
                <c:pt idx="304">
                  <c:v>-4.8766099019274876</c:v>
                </c:pt>
                <c:pt idx="305">
                  <c:v>-3.3525071184806503</c:v>
                </c:pt>
                <c:pt idx="306">
                  <c:v>-3.3524010733189757</c:v>
                </c:pt>
                <c:pt idx="307">
                  <c:v>-0.11078549582929929</c:v>
                </c:pt>
                <c:pt idx="308">
                  <c:v>0.89315225612437898</c:v>
                </c:pt>
                <c:pt idx="309">
                  <c:v>0.89321572030283924</c:v>
                </c:pt>
                <c:pt idx="310">
                  <c:v>0.56014391061917146</c:v>
                </c:pt>
                <c:pt idx="311">
                  <c:v>1.2405513813793787</c:v>
                </c:pt>
                <c:pt idx="312">
                  <c:v>1.2406796427062101</c:v>
                </c:pt>
                <c:pt idx="313">
                  <c:v>-2.4009456530834941</c:v>
                </c:pt>
                <c:pt idx="314">
                  <c:v>-2.0533257714446895</c:v>
                </c:pt>
                <c:pt idx="315">
                  <c:v>-2.0531124962591978</c:v>
                </c:pt>
                <c:pt idx="316">
                  <c:v>2.949041020180744</c:v>
                </c:pt>
                <c:pt idx="317">
                  <c:v>1.4512828248474787</c:v>
                </c:pt>
                <c:pt idx="318">
                  <c:v>0.10434101870505745</c:v>
                </c:pt>
                <c:pt idx="319">
                  <c:v>1.6539431175637058</c:v>
                </c:pt>
                <c:pt idx="320">
                  <c:v>-0.56619153279661716</c:v>
                </c:pt>
                <c:pt idx="321">
                  <c:v>0.96711213687747377</c:v>
                </c:pt>
                <c:pt idx="322">
                  <c:v>1.4908970753080368</c:v>
                </c:pt>
                <c:pt idx="323">
                  <c:v>1.4909681670365331</c:v>
                </c:pt>
                <c:pt idx="324">
                  <c:v>8.3790908314868684E-2</c:v>
                </c:pt>
                <c:pt idx="325">
                  <c:v>1.29114558761388</c:v>
                </c:pt>
                <c:pt idx="326">
                  <c:v>0.71410332325905934</c:v>
                </c:pt>
                <c:pt idx="327">
                  <c:v>2.1864650984881759</c:v>
                </c:pt>
                <c:pt idx="328">
                  <c:v>1.3271768221647735</c:v>
                </c:pt>
                <c:pt idx="329">
                  <c:v>0.80732023802056152</c:v>
                </c:pt>
                <c:pt idx="330">
                  <c:v>-0.67201640995674738</c:v>
                </c:pt>
                <c:pt idx="331">
                  <c:v>-0.67178358454591935</c:v>
                </c:pt>
                <c:pt idx="332">
                  <c:v>1.5274880097154879</c:v>
                </c:pt>
                <c:pt idx="333">
                  <c:v>-4.5438323528119953E-2</c:v>
                </c:pt>
                <c:pt idx="334">
                  <c:v>0.823081239326382</c:v>
                </c:pt>
                <c:pt idx="335">
                  <c:v>-1.2127601311715941</c:v>
                </c:pt>
                <c:pt idx="336">
                  <c:v>0.7035024320460187</c:v>
                </c:pt>
                <c:pt idx="337">
                  <c:v>1.1895370185489365</c:v>
                </c:pt>
                <c:pt idx="338">
                  <c:v>1.1896919392739531</c:v>
                </c:pt>
                <c:pt idx="339">
                  <c:v>-1.1057861255918442</c:v>
                </c:pt>
                <c:pt idx="340">
                  <c:v>-3.5555012819848195</c:v>
                </c:pt>
                <c:pt idx="341">
                  <c:v>-3.555311555934396</c:v>
                </c:pt>
                <c:pt idx="342">
                  <c:v>1.4941451710491553</c:v>
                </c:pt>
                <c:pt idx="343">
                  <c:v>-2.9426606845801295</c:v>
                </c:pt>
                <c:pt idx="344">
                  <c:v>1.4694969815709349</c:v>
                </c:pt>
                <c:pt idx="345">
                  <c:v>-2.4418415147744863</c:v>
                </c:pt>
                <c:pt idx="346">
                  <c:v>-0.72735854970508729</c:v>
                </c:pt>
                <c:pt idx="347">
                  <c:v>0.14789061616260757</c:v>
                </c:pt>
                <c:pt idx="348">
                  <c:v>2.7199901861734901</c:v>
                </c:pt>
                <c:pt idx="349">
                  <c:v>2.7200646103267618</c:v>
                </c:pt>
                <c:pt idx="350">
                  <c:v>-4.4541938782226591</c:v>
                </c:pt>
                <c:pt idx="351">
                  <c:v>0.57988010538324852</c:v>
                </c:pt>
                <c:pt idx="352">
                  <c:v>-1.3275926209154287</c:v>
                </c:pt>
                <c:pt idx="353">
                  <c:v>-0.98131737969624477</c:v>
                </c:pt>
                <c:pt idx="354">
                  <c:v>1.4969878022221117</c:v>
                </c:pt>
                <c:pt idx="355">
                  <c:v>0.8085269665892677</c:v>
                </c:pt>
                <c:pt idx="356">
                  <c:v>1.3949860144491943</c:v>
                </c:pt>
                <c:pt idx="357">
                  <c:v>1.3950206716668339</c:v>
                </c:pt>
                <c:pt idx="358">
                  <c:v>-2.4773321485132442E-2</c:v>
                </c:pt>
                <c:pt idx="359">
                  <c:v>2.1439979674826346</c:v>
                </c:pt>
                <c:pt idx="360">
                  <c:v>2.0651520700231401</c:v>
                </c:pt>
                <c:pt idx="361">
                  <c:v>-2.9036019996981617</c:v>
                </c:pt>
                <c:pt idx="362">
                  <c:v>-1.3952869740737559</c:v>
                </c:pt>
                <c:pt idx="363">
                  <c:v>-2.433724893106779</c:v>
                </c:pt>
                <c:pt idx="364">
                  <c:v>-0.23181544373932705</c:v>
                </c:pt>
                <c:pt idx="365">
                  <c:v>4.3357206438945006</c:v>
                </c:pt>
                <c:pt idx="366">
                  <c:v>-2.6888375848912425</c:v>
                </c:pt>
                <c:pt idx="367">
                  <c:v>-2.688756199672889</c:v>
                </c:pt>
                <c:pt idx="368">
                  <c:v>2.3504299823989947</c:v>
                </c:pt>
                <c:pt idx="369">
                  <c:v>-2.1927784506073213</c:v>
                </c:pt>
                <c:pt idx="370">
                  <c:v>0.97721969490744143</c:v>
                </c:pt>
                <c:pt idx="371">
                  <c:v>1.8458486403205689</c:v>
                </c:pt>
                <c:pt idx="372">
                  <c:v>2.3792252422437516</c:v>
                </c:pt>
                <c:pt idx="373">
                  <c:v>-1.4343482534080936</c:v>
                </c:pt>
                <c:pt idx="374">
                  <c:v>-1.7791896855900509</c:v>
                </c:pt>
                <c:pt idx="375">
                  <c:v>2.0550360495433155</c:v>
                </c:pt>
                <c:pt idx="376">
                  <c:v>1.6849792607704355</c:v>
                </c:pt>
                <c:pt idx="377">
                  <c:v>2.4073455992976092</c:v>
                </c:pt>
                <c:pt idx="378">
                  <c:v>1.7051685289022851</c:v>
                </c:pt>
                <c:pt idx="379">
                  <c:v>-1.1666775663905759E-2</c:v>
                </c:pt>
                <c:pt idx="380">
                  <c:v>3.0798422640732608</c:v>
                </c:pt>
                <c:pt idx="381">
                  <c:v>2.3679935480417629</c:v>
                </c:pt>
                <c:pt idx="382">
                  <c:v>0.20075625481400791</c:v>
                </c:pt>
                <c:pt idx="383">
                  <c:v>0.20085948592809613</c:v>
                </c:pt>
                <c:pt idx="384">
                  <c:v>0.41588651474066546</c:v>
                </c:pt>
                <c:pt idx="385">
                  <c:v>-0.75849705577213899</c:v>
                </c:pt>
                <c:pt idx="386">
                  <c:v>4.2263292331437983</c:v>
                </c:pt>
                <c:pt idx="387">
                  <c:v>2.3345491736906103</c:v>
                </c:pt>
                <c:pt idx="388">
                  <c:v>2.3347207565394932</c:v>
                </c:pt>
                <c:pt idx="389">
                  <c:v>2.5630610036567902</c:v>
                </c:pt>
                <c:pt idx="390">
                  <c:v>2.1616371045737286</c:v>
                </c:pt>
                <c:pt idx="391">
                  <c:v>-1.7879294542496504</c:v>
                </c:pt>
                <c:pt idx="392">
                  <c:v>3.4138122248409526</c:v>
                </c:pt>
                <c:pt idx="393">
                  <c:v>4.8307324935881963</c:v>
                </c:pt>
                <c:pt idx="394">
                  <c:v>-2.4590524972877001</c:v>
                </c:pt>
                <c:pt idx="395">
                  <c:v>-2.4589272721701079</c:v>
                </c:pt>
                <c:pt idx="396">
                  <c:v>3.0419137683952489</c:v>
                </c:pt>
                <c:pt idx="397">
                  <c:v>4.3305060549361363</c:v>
                </c:pt>
                <c:pt idx="398">
                  <c:v>3.0419790839208036</c:v>
                </c:pt>
                <c:pt idx="399">
                  <c:v>1.2372553937796207</c:v>
                </c:pt>
                <c:pt idx="400">
                  <c:v>-0.31888315683994262</c:v>
                </c:pt>
                <c:pt idx="401">
                  <c:v>-1.0529767528867653</c:v>
                </c:pt>
                <c:pt idx="402">
                  <c:v>-1.0528710039406268</c:v>
                </c:pt>
                <c:pt idx="403">
                  <c:v>3.8111887233592059</c:v>
                </c:pt>
                <c:pt idx="404">
                  <c:v>1.9662667477603479</c:v>
                </c:pt>
                <c:pt idx="405">
                  <c:v>3.8108931480758228</c:v>
                </c:pt>
                <c:pt idx="406">
                  <c:v>1.5192829350558059</c:v>
                </c:pt>
                <c:pt idx="407">
                  <c:v>2.0914701373111146</c:v>
                </c:pt>
                <c:pt idx="408">
                  <c:v>2.0916073591578885</c:v>
                </c:pt>
                <c:pt idx="409">
                  <c:v>1.708820326713792</c:v>
                </c:pt>
                <c:pt idx="410">
                  <c:v>1.7090478942988649</c:v>
                </c:pt>
                <c:pt idx="411">
                  <c:v>0.33221057989261193</c:v>
                </c:pt>
                <c:pt idx="412">
                  <c:v>1.1762787315855756</c:v>
                </c:pt>
                <c:pt idx="413">
                  <c:v>1.2525435393119144</c:v>
                </c:pt>
                <c:pt idx="414">
                  <c:v>2.1365161333579215</c:v>
                </c:pt>
                <c:pt idx="415">
                  <c:v>-0.36578849491326493</c:v>
                </c:pt>
                <c:pt idx="416">
                  <c:v>-0.3657556890427186</c:v>
                </c:pt>
                <c:pt idx="417">
                  <c:v>-2.3612369311089489</c:v>
                </c:pt>
                <c:pt idx="418">
                  <c:v>-1.1125764267455132</c:v>
                </c:pt>
                <c:pt idx="419">
                  <c:v>8.1117587291189938E-2</c:v>
                </c:pt>
                <c:pt idx="420">
                  <c:v>0.42574999366893057</c:v>
                </c:pt>
                <c:pt idx="421">
                  <c:v>0.4257997578788783</c:v>
                </c:pt>
                <c:pt idx="422">
                  <c:v>-0.66066660945132272</c:v>
                </c:pt>
                <c:pt idx="423">
                  <c:v>2.024258948039793</c:v>
                </c:pt>
                <c:pt idx="424">
                  <c:v>0.29229667921482938</c:v>
                </c:pt>
                <c:pt idx="425">
                  <c:v>-2.3011986403631624</c:v>
                </c:pt>
                <c:pt idx="426">
                  <c:v>-2.3011480615604931</c:v>
                </c:pt>
                <c:pt idx="427">
                  <c:v>0.69325943034519155</c:v>
                </c:pt>
                <c:pt idx="428">
                  <c:v>-3.2923188720372276</c:v>
                </c:pt>
                <c:pt idx="429">
                  <c:v>2.1456762421301083</c:v>
                </c:pt>
                <c:pt idx="430">
                  <c:v>1.9498189422920107</c:v>
                </c:pt>
                <c:pt idx="431">
                  <c:v>-1.3621895741617109</c:v>
                </c:pt>
                <c:pt idx="432">
                  <c:v>1.1033909272123534</c:v>
                </c:pt>
                <c:pt idx="433">
                  <c:v>2.3256410404746424</c:v>
                </c:pt>
                <c:pt idx="434">
                  <c:v>3.8845468393427036</c:v>
                </c:pt>
                <c:pt idx="435">
                  <c:v>3.6063940413378059</c:v>
                </c:pt>
                <c:pt idx="436">
                  <c:v>4.0941678548299372</c:v>
                </c:pt>
                <c:pt idx="437">
                  <c:v>2.615658439415582</c:v>
                </c:pt>
                <c:pt idx="438">
                  <c:v>3.473281840735519</c:v>
                </c:pt>
                <c:pt idx="439">
                  <c:v>0.5565338485040805</c:v>
                </c:pt>
                <c:pt idx="440">
                  <c:v>-0.37157967846775602</c:v>
                </c:pt>
                <c:pt idx="441">
                  <c:v>3.2687843375975811</c:v>
                </c:pt>
                <c:pt idx="442">
                  <c:v>3.2574027464504947</c:v>
                </c:pt>
                <c:pt idx="443">
                  <c:v>3.2574278507171224</c:v>
                </c:pt>
                <c:pt idx="444">
                  <c:v>0.25061381905994701</c:v>
                </c:pt>
                <c:pt idx="445">
                  <c:v>3.8921753595976365</c:v>
                </c:pt>
                <c:pt idx="446">
                  <c:v>3.2711393567213176</c:v>
                </c:pt>
                <c:pt idx="447">
                  <c:v>0.17299237306861631</c:v>
                </c:pt>
                <c:pt idx="448">
                  <c:v>0.63596040548250365</c:v>
                </c:pt>
                <c:pt idx="449">
                  <c:v>3.6263592589686895</c:v>
                </c:pt>
                <c:pt idx="450">
                  <c:v>4.2353875767137783</c:v>
                </c:pt>
                <c:pt idx="451">
                  <c:v>-3.661075158482352</c:v>
                </c:pt>
                <c:pt idx="452">
                  <c:v>-3.2866049495496007E-2</c:v>
                </c:pt>
                <c:pt idx="453">
                  <c:v>2.6560895986711168</c:v>
                </c:pt>
                <c:pt idx="454">
                  <c:v>-9.1668106369693886E-2</c:v>
                </c:pt>
                <c:pt idx="455">
                  <c:v>4.787764675020199</c:v>
                </c:pt>
                <c:pt idx="456">
                  <c:v>4.7881675705433668</c:v>
                </c:pt>
                <c:pt idx="457">
                  <c:v>2.64417644040146</c:v>
                </c:pt>
                <c:pt idx="458">
                  <c:v>3.0135617110606763</c:v>
                </c:pt>
                <c:pt idx="459">
                  <c:v>-0.62860074987176673</c:v>
                </c:pt>
                <c:pt idx="460">
                  <c:v>1.0641573044587498</c:v>
                </c:pt>
                <c:pt idx="461">
                  <c:v>1.9700376637258408</c:v>
                </c:pt>
                <c:pt idx="462">
                  <c:v>2.1334606675194894</c:v>
                </c:pt>
                <c:pt idx="463">
                  <c:v>4.3950802182328337</c:v>
                </c:pt>
                <c:pt idx="464">
                  <c:v>1.8663587541923612</c:v>
                </c:pt>
                <c:pt idx="465">
                  <c:v>0.17571719525044313</c:v>
                </c:pt>
                <c:pt idx="466">
                  <c:v>1.602291031846889</c:v>
                </c:pt>
                <c:pt idx="467">
                  <c:v>1.4027273461290464</c:v>
                </c:pt>
                <c:pt idx="468">
                  <c:v>3.6874595631371339</c:v>
                </c:pt>
                <c:pt idx="469">
                  <c:v>4.8442137758217347</c:v>
                </c:pt>
                <c:pt idx="470">
                  <c:v>5.6581306847032433</c:v>
                </c:pt>
                <c:pt idx="471">
                  <c:v>3.7004530074151383</c:v>
                </c:pt>
                <c:pt idx="472">
                  <c:v>5.6749203486920585</c:v>
                </c:pt>
                <c:pt idx="473">
                  <c:v>2.2273967283573626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E0-4A3D-8A65-C39378C86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551936"/>
        <c:axId val="320545696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2"/>
                    </a:solidFill>
                    <a:ln w="9525">
                      <a:noFill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'2 pc'!$O$2:$O$103</c15:sqref>
                        </c15:formulaRef>
                      </c:ext>
                    </c:extLst>
                    <c:numCache>
                      <c:formatCode>#0.000</c:formatCode>
                      <c:ptCount val="102"/>
                      <c:pt idx="0">
                        <c:v>2.1630147961697572</c:v>
                      </c:pt>
                      <c:pt idx="1">
                        <c:v>2.1629491630088982</c:v>
                      </c:pt>
                      <c:pt idx="2">
                        <c:v>2.40799142607933</c:v>
                      </c:pt>
                      <c:pt idx="3">
                        <c:v>2.1197622412705712</c:v>
                      </c:pt>
                      <c:pt idx="4">
                        <c:v>2.1754942940344182</c:v>
                      </c:pt>
                      <c:pt idx="5">
                        <c:v>2.4647735827827049</c:v>
                      </c:pt>
                      <c:pt idx="6">
                        <c:v>2.3910007955127082</c:v>
                      </c:pt>
                      <c:pt idx="7">
                        <c:v>2.2038580490172053</c:v>
                      </c:pt>
                      <c:pt idx="8">
                        <c:v>2.3815623613012065</c:v>
                      </c:pt>
                      <c:pt idx="9">
                        <c:v>2.2769156827393608</c:v>
                      </c:pt>
                      <c:pt idx="10">
                        <c:v>2.5404438566197016</c:v>
                      </c:pt>
                      <c:pt idx="11">
                        <c:v>2.3588611714367991</c:v>
                      </c:pt>
                      <c:pt idx="12">
                        <c:v>2.2036050555273095</c:v>
                      </c:pt>
                      <c:pt idx="13">
                        <c:v>2.6683305968793021</c:v>
                      </c:pt>
                      <c:pt idx="14">
                        <c:v>2.1261955266859109</c:v>
                      </c:pt>
                      <c:pt idx="15">
                        <c:v>2.0051698550465407</c:v>
                      </c:pt>
                      <c:pt idx="16">
                        <c:v>2.3332563017116192</c:v>
                      </c:pt>
                      <c:pt idx="17">
                        <c:v>2.7948532211070818</c:v>
                      </c:pt>
                      <c:pt idx="18">
                        <c:v>2.4751515640258184</c:v>
                      </c:pt>
                      <c:pt idx="19">
                        <c:v>2.3647163778553844</c:v>
                      </c:pt>
                      <c:pt idx="20">
                        <c:v>2.2798967762838962</c:v>
                      </c:pt>
                      <c:pt idx="21">
                        <c:v>2.5617072571391519</c:v>
                      </c:pt>
                      <c:pt idx="22">
                        <c:v>2.2688883672056397</c:v>
                      </c:pt>
                      <c:pt idx="23">
                        <c:v>2.5877794490788468</c:v>
                      </c:pt>
                      <c:pt idx="24">
                        <c:v>2.3258819494204017</c:v>
                      </c:pt>
                      <c:pt idx="25">
                        <c:v>2.2194442398780012</c:v>
                      </c:pt>
                      <c:pt idx="26">
                        <c:v>2.2815816802412714</c:v>
                      </c:pt>
                      <c:pt idx="27">
                        <c:v>2.2032138171220796</c:v>
                      </c:pt>
                      <c:pt idx="28">
                        <c:v>2.2866507345160723</c:v>
                      </c:pt>
                      <c:pt idx="29">
                        <c:v>2.2915942037883914</c:v>
                      </c:pt>
                      <c:pt idx="30">
                        <c:v>2.1136739664493005</c:v>
                      </c:pt>
                      <c:pt idx="31">
                        <c:v>2.1401230080834477</c:v>
                      </c:pt>
                      <c:pt idx="32">
                        <c:v>2.5968655320135676</c:v>
                      </c:pt>
                      <c:pt idx="33">
                        <c:v>2.1048290851614464</c:v>
                      </c:pt>
                      <c:pt idx="34">
                        <c:v>2.6195785363533024</c:v>
                      </c:pt>
                      <c:pt idx="35">
                        <c:v>2.7589272945324352</c:v>
                      </c:pt>
                      <c:pt idx="36">
                        <c:v>2.5726607146769114</c:v>
                      </c:pt>
                      <c:pt idx="37">
                        <c:v>2.601115235345167</c:v>
                      </c:pt>
                      <c:pt idx="38">
                        <c:v>2.4522280139287012</c:v>
                      </c:pt>
                      <c:pt idx="39">
                        <c:v>2.4203967620226825</c:v>
                      </c:pt>
                      <c:pt idx="40">
                        <c:v>2.2933588079738962</c:v>
                      </c:pt>
                      <c:pt idx="41">
                        <c:v>2.2933095417725475</c:v>
                      </c:pt>
                      <c:pt idx="42">
                        <c:v>2.3092204891801731</c:v>
                      </c:pt>
                      <c:pt idx="43">
                        <c:v>2.6021790496031589</c:v>
                      </c:pt>
                      <c:pt idx="44">
                        <c:v>2.4659676790274045</c:v>
                      </c:pt>
                      <c:pt idx="45">
                        <c:v>2.1632030962775097</c:v>
                      </c:pt>
                      <c:pt idx="46">
                        <c:v>2.3762369018579386</c:v>
                      </c:pt>
                      <c:pt idx="47">
                        <c:v>2.2695921181219449</c:v>
                      </c:pt>
                      <c:pt idx="48">
                        <c:v>2.2169403602043247</c:v>
                      </c:pt>
                      <c:pt idx="49">
                        <c:v>2.6954267011666158</c:v>
                      </c:pt>
                      <c:pt idx="50">
                        <c:v>2.3653091879236467</c:v>
                      </c:pt>
                      <c:pt idx="51">
                        <c:v>2.0921880762713423</c:v>
                      </c:pt>
                      <c:pt idx="52">
                        <c:v>2.4853296581453819</c:v>
                      </c:pt>
                      <c:pt idx="53">
                        <c:v>2.3561677545823416</c:v>
                      </c:pt>
                      <c:pt idx="54">
                        <c:v>2.3434342052231609</c:v>
                      </c:pt>
                      <c:pt idx="55">
                        <c:v>2.9739891488282901</c:v>
                      </c:pt>
                      <c:pt idx="56">
                        <c:v>2.5078264440180091</c:v>
                      </c:pt>
                      <c:pt idx="57">
                        <c:v>2.4520778333239628</c:v>
                      </c:pt>
                      <c:pt idx="58">
                        <c:v>2.4799791813174852</c:v>
                      </c:pt>
                      <c:pt idx="59">
                        <c:v>2.4799610212412002</c:v>
                      </c:pt>
                      <c:pt idx="60">
                        <c:v>2.4820467980571381</c:v>
                      </c:pt>
                      <c:pt idx="61">
                        <c:v>2.4624571100378403</c:v>
                      </c:pt>
                      <c:pt idx="62">
                        <c:v>2.5358431041956262</c:v>
                      </c:pt>
                      <c:pt idx="63">
                        <c:v>2.9781725065790101</c:v>
                      </c:pt>
                      <c:pt idx="64">
                        <c:v>2.638369917179304</c:v>
                      </c:pt>
                      <c:pt idx="65">
                        <c:v>2.4231959917341483</c:v>
                      </c:pt>
                      <c:pt idx="66">
                        <c:v>2.4272047027572867</c:v>
                      </c:pt>
                      <c:pt idx="67">
                        <c:v>2.3224824060832714</c:v>
                      </c:pt>
                      <c:pt idx="68">
                        <c:v>2.6887481626382481</c:v>
                      </c:pt>
                      <c:pt idx="69">
                        <c:v>2.1474180502460527</c:v>
                      </c:pt>
                      <c:pt idx="70">
                        <c:v>2.089841090413485</c:v>
                      </c:pt>
                      <c:pt idx="71">
                        <c:v>2.6951915732202631</c:v>
                      </c:pt>
                      <c:pt idx="72">
                        <c:v>2.8567750034698114</c:v>
                      </c:pt>
                      <c:pt idx="73">
                        <c:v>2.6339482051371808</c:v>
                      </c:pt>
                      <c:pt idx="74">
                        <c:v>2.7124186957461247</c:v>
                      </c:pt>
                      <c:pt idx="75">
                        <c:v>2.6853354667699305</c:v>
                      </c:pt>
                      <c:pt idx="76">
                        <c:v>2.4889501480455922</c:v>
                      </c:pt>
                      <c:pt idx="77">
                        <c:v>2.7513482914334424</c:v>
                      </c:pt>
                      <c:pt idx="78">
                        <c:v>2.5701045217612251</c:v>
                      </c:pt>
                      <c:pt idx="79">
                        <c:v>3.0852717508477112</c:v>
                      </c:pt>
                      <c:pt idx="80">
                        <c:v>2.3980197631992746</c:v>
                      </c:pt>
                      <c:pt idx="81">
                        <c:v>2.5163722852844796</c:v>
                      </c:pt>
                      <c:pt idx="82">
                        <c:v>2.7544103213449374</c:v>
                      </c:pt>
                      <c:pt idx="83">
                        <c:v>2.6610364467929633</c:v>
                      </c:pt>
                      <c:pt idx="84">
                        <c:v>3.1098701790526637</c:v>
                      </c:pt>
                      <c:pt idx="85">
                        <c:v>2.306730892062955</c:v>
                      </c:pt>
                      <c:pt idx="86">
                        <c:v>2.883856162641139</c:v>
                      </c:pt>
                      <c:pt idx="87">
                        <c:v>2.6723635385181903</c:v>
                      </c:pt>
                      <c:pt idx="88">
                        <c:v>3.0679323176435664</c:v>
                      </c:pt>
                      <c:pt idx="89">
                        <c:v>2.7547145733009573</c:v>
                      </c:pt>
                      <c:pt idx="90">
                        <c:v>2.8448995048026355</c:v>
                      </c:pt>
                      <c:pt idx="91">
                        <c:v>2.5917483250041222</c:v>
                      </c:pt>
                      <c:pt idx="92">
                        <c:v>2.7390747016768002</c:v>
                      </c:pt>
                      <c:pt idx="93">
                        <c:v>2.9807402096702518</c:v>
                      </c:pt>
                      <c:pt idx="94">
                        <c:v>2.8610426301371494</c:v>
                      </c:pt>
                      <c:pt idx="95">
                        <c:v>3.2362767214894257</c:v>
                      </c:pt>
                      <c:pt idx="96">
                        <c:v>2.8618345445428215</c:v>
                      </c:pt>
                      <c:pt idx="97">
                        <c:v>2.9671712801760215</c:v>
                      </c:pt>
                      <c:pt idx="98">
                        <c:v>3.0445421714523073</c:v>
                      </c:pt>
                      <c:pt idx="99">
                        <c:v>2.8130105847932017</c:v>
                      </c:pt>
                      <c:pt idx="100">
                        <c:v>3.1614516365082106</c:v>
                      </c:pt>
                      <c:pt idx="101">
                        <c:v>2.7643371058624875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'2 pc'!$P$2:$P$103</c15:sqref>
                        </c15:formulaRef>
                      </c:ext>
                    </c:extLst>
                    <c:numCache>
                      <c:formatCode>#0.000</c:formatCode>
                      <c:ptCount val="102"/>
                      <c:pt idx="0">
                        <c:v>-0.61369314275426368</c:v>
                      </c:pt>
                      <c:pt idx="1">
                        <c:v>-0.61365492354480822</c:v>
                      </c:pt>
                      <c:pt idx="2">
                        <c:v>-0.58682915403248903</c:v>
                      </c:pt>
                      <c:pt idx="3">
                        <c:v>-0.58463438620165742</c:v>
                      </c:pt>
                      <c:pt idx="4">
                        <c:v>-0.55051894305358373</c:v>
                      </c:pt>
                      <c:pt idx="5">
                        <c:v>-0.54882830971976293</c:v>
                      </c:pt>
                      <c:pt idx="6">
                        <c:v>-0.543515885302846</c:v>
                      </c:pt>
                      <c:pt idx="7">
                        <c:v>-0.53222112923618303</c:v>
                      </c:pt>
                      <c:pt idx="8">
                        <c:v>-0.51540146898437411</c:v>
                      </c:pt>
                      <c:pt idx="9">
                        <c:v>-0.50818958168529682</c:v>
                      </c:pt>
                      <c:pt idx="10">
                        <c:v>-0.50053306497752681</c:v>
                      </c:pt>
                      <c:pt idx="11">
                        <c:v>-0.49618287623231955</c:v>
                      </c:pt>
                      <c:pt idx="12">
                        <c:v>-0.48474583977425673</c:v>
                      </c:pt>
                      <c:pt idx="13">
                        <c:v>-0.48401801777704034</c:v>
                      </c:pt>
                      <c:pt idx="14">
                        <c:v>-0.48355280840293274</c:v>
                      </c:pt>
                      <c:pt idx="15">
                        <c:v>-0.48225292735446212</c:v>
                      </c:pt>
                      <c:pt idx="16">
                        <c:v>-0.47709108334815636</c:v>
                      </c:pt>
                      <c:pt idx="17">
                        <c:v>-0.46759060705650829</c:v>
                      </c:pt>
                      <c:pt idx="18">
                        <c:v>-0.45579974805979923</c:v>
                      </c:pt>
                      <c:pt idx="19">
                        <c:v>-0.449229862149638</c:v>
                      </c:pt>
                      <c:pt idx="20">
                        <c:v>-0.44739252621101139</c:v>
                      </c:pt>
                      <c:pt idx="21">
                        <c:v>-0.44290918264571782</c:v>
                      </c:pt>
                      <c:pt idx="22">
                        <c:v>-0.43651925308435013</c:v>
                      </c:pt>
                      <c:pt idx="23">
                        <c:v>-0.42722914867626671</c:v>
                      </c:pt>
                      <c:pt idx="24">
                        <c:v>-0.42649969984756964</c:v>
                      </c:pt>
                      <c:pt idx="25">
                        <c:v>-0.42391793151961432</c:v>
                      </c:pt>
                      <c:pt idx="26">
                        <c:v>-0.41990378433439701</c:v>
                      </c:pt>
                      <c:pt idx="27">
                        <c:v>-0.40899281052803055</c:v>
                      </c:pt>
                      <c:pt idx="28">
                        <c:v>-0.40687430484357295</c:v>
                      </c:pt>
                      <c:pt idx="29">
                        <c:v>-0.40536028854461503</c:v>
                      </c:pt>
                      <c:pt idx="30">
                        <c:v>-0.4018743256020782</c:v>
                      </c:pt>
                      <c:pt idx="31">
                        <c:v>-0.40155631459317953</c:v>
                      </c:pt>
                      <c:pt idx="32">
                        <c:v>-0.39216378504994837</c:v>
                      </c:pt>
                      <c:pt idx="33">
                        <c:v>-0.39214842495342705</c:v>
                      </c:pt>
                      <c:pt idx="34">
                        <c:v>-0.39011552040903563</c:v>
                      </c:pt>
                      <c:pt idx="35">
                        <c:v>-0.38374829955667022</c:v>
                      </c:pt>
                      <c:pt idx="36">
                        <c:v>-0.36935149095757219</c:v>
                      </c:pt>
                      <c:pt idx="37">
                        <c:v>-0.36695572164421242</c:v>
                      </c:pt>
                      <c:pt idx="38">
                        <c:v>-0.34527147801880631</c:v>
                      </c:pt>
                      <c:pt idx="39">
                        <c:v>-0.34054108055450949</c:v>
                      </c:pt>
                      <c:pt idx="40">
                        <c:v>-0.33777946619139448</c:v>
                      </c:pt>
                      <c:pt idx="41">
                        <c:v>-0.3377507777167903</c:v>
                      </c:pt>
                      <c:pt idx="42">
                        <c:v>-0.33368336180664088</c:v>
                      </c:pt>
                      <c:pt idx="43">
                        <c:v>-0.33194848226247059</c:v>
                      </c:pt>
                      <c:pt idx="44">
                        <c:v>-0.32456755308667434</c:v>
                      </c:pt>
                      <c:pt idx="45">
                        <c:v>-0.322006689850106</c:v>
                      </c:pt>
                      <c:pt idx="46">
                        <c:v>-0.32130306735547559</c:v>
                      </c:pt>
                      <c:pt idx="47">
                        <c:v>-0.31968820591751435</c:v>
                      </c:pt>
                      <c:pt idx="48">
                        <c:v>-0.31189223011326761</c:v>
                      </c:pt>
                      <c:pt idx="49">
                        <c:v>-0.30465829181768767</c:v>
                      </c:pt>
                      <c:pt idx="50">
                        <c:v>-0.30213224392654842</c:v>
                      </c:pt>
                      <c:pt idx="51">
                        <c:v>-0.29961222243984115</c:v>
                      </c:pt>
                      <c:pt idx="52">
                        <c:v>-0.29813953863885428</c:v>
                      </c:pt>
                      <c:pt idx="53">
                        <c:v>-0.29589317450525482</c:v>
                      </c:pt>
                      <c:pt idx="54">
                        <c:v>-0.28656459642063503</c:v>
                      </c:pt>
                      <c:pt idx="55">
                        <c:v>-0.28110182461999361</c:v>
                      </c:pt>
                      <c:pt idx="56">
                        <c:v>-0.27711605302171782</c:v>
                      </c:pt>
                      <c:pt idx="57">
                        <c:v>-0.26995148668186125</c:v>
                      </c:pt>
                      <c:pt idx="58">
                        <c:v>-0.26580418461423044</c:v>
                      </c:pt>
                      <c:pt idx="59">
                        <c:v>-0.26579360971961685</c:v>
                      </c:pt>
                      <c:pt idx="60">
                        <c:v>-0.26245326487571663</c:v>
                      </c:pt>
                      <c:pt idx="61">
                        <c:v>-0.25638525942696572</c:v>
                      </c:pt>
                      <c:pt idx="62">
                        <c:v>-0.25234372180782344</c:v>
                      </c:pt>
                      <c:pt idx="63">
                        <c:v>-0.24476600230614015</c:v>
                      </c:pt>
                      <c:pt idx="64">
                        <c:v>-0.24005298365591637</c:v>
                      </c:pt>
                      <c:pt idx="65">
                        <c:v>-0.23316838820850794</c:v>
                      </c:pt>
                      <c:pt idx="66">
                        <c:v>-0.23016927330371267</c:v>
                      </c:pt>
                      <c:pt idx="67">
                        <c:v>-0.22473323976204082</c:v>
                      </c:pt>
                      <c:pt idx="68">
                        <c:v>-0.22397559012051199</c:v>
                      </c:pt>
                      <c:pt idx="69">
                        <c:v>-0.22025708551375422</c:v>
                      </c:pt>
                      <c:pt idx="70">
                        <c:v>-0.21975287587036685</c:v>
                      </c:pt>
                      <c:pt idx="71">
                        <c:v>-0.21867204836572643</c:v>
                      </c:pt>
                      <c:pt idx="72">
                        <c:v>-0.21326224465977367</c:v>
                      </c:pt>
                      <c:pt idx="73">
                        <c:v>-0.19428994544810682</c:v>
                      </c:pt>
                      <c:pt idx="74">
                        <c:v>-0.19293443376184732</c:v>
                      </c:pt>
                      <c:pt idx="75">
                        <c:v>-0.18180458448725464</c:v>
                      </c:pt>
                      <c:pt idx="76">
                        <c:v>-0.1798059466270632</c:v>
                      </c:pt>
                      <c:pt idx="77">
                        <c:v>-0.17141916392637349</c:v>
                      </c:pt>
                      <c:pt idx="78">
                        <c:v>-0.16584787870597945</c:v>
                      </c:pt>
                      <c:pt idx="79">
                        <c:v>-0.15872726911608998</c:v>
                      </c:pt>
                      <c:pt idx="80">
                        <c:v>-0.15548624522949289</c:v>
                      </c:pt>
                      <c:pt idx="81">
                        <c:v>-0.13641904962855592</c:v>
                      </c:pt>
                      <c:pt idx="82">
                        <c:v>-0.12593767537940204</c:v>
                      </c:pt>
                      <c:pt idx="83">
                        <c:v>-0.12509572496935817</c:v>
                      </c:pt>
                      <c:pt idx="84">
                        <c:v>-0.11757591982592901</c:v>
                      </c:pt>
                      <c:pt idx="85">
                        <c:v>-0.11685495710593737</c:v>
                      </c:pt>
                      <c:pt idx="86">
                        <c:v>-0.10937421919475099</c:v>
                      </c:pt>
                      <c:pt idx="87">
                        <c:v>-8.8825125915228745E-2</c:v>
                      </c:pt>
                      <c:pt idx="88">
                        <c:v>-6.9173360102067927E-2</c:v>
                      </c:pt>
                      <c:pt idx="89">
                        <c:v>-5.9527961586132307E-2</c:v>
                      </c:pt>
                      <c:pt idx="90">
                        <c:v>-5.247725449275701E-2</c:v>
                      </c:pt>
                      <c:pt idx="91">
                        <c:v>-3.985230371277159E-2</c:v>
                      </c:pt>
                      <c:pt idx="92">
                        <c:v>-3.2355509753253055E-2</c:v>
                      </c:pt>
                      <c:pt idx="93">
                        <c:v>-2.8919685913354302E-2</c:v>
                      </c:pt>
                      <c:pt idx="94">
                        <c:v>-4.1006311293613415E-3</c:v>
                      </c:pt>
                      <c:pt idx="95">
                        <c:v>-1.1877991031938519E-4</c:v>
                      </c:pt>
                      <c:pt idx="96">
                        <c:v>2.4101626728006573E-2</c:v>
                      </c:pt>
                      <c:pt idx="97">
                        <c:v>3.7493077048404315E-2</c:v>
                      </c:pt>
                      <c:pt idx="98">
                        <c:v>4.441549311027107E-2</c:v>
                      </c:pt>
                      <c:pt idx="99">
                        <c:v>4.5637759746505004E-2</c:v>
                      </c:pt>
                      <c:pt idx="100">
                        <c:v>4.8645702214071725E-2</c:v>
                      </c:pt>
                      <c:pt idx="101">
                        <c:v>4.9207450756514379E-2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FCE0-4A3D-8A65-C39378C866AA}"/>
                  </c:ext>
                </c:extLst>
              </c15:ser>
            </c15:filteredScatterSeries>
          </c:ext>
        </c:extLst>
      </c:scatterChart>
      <c:valAx>
        <c:axId val="320551936"/>
        <c:scaling>
          <c:orientation val="minMax"/>
          <c:max val="6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PC1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0545696"/>
        <c:crosses val="autoZero"/>
        <c:crossBetween val="midCat"/>
      </c:valAx>
      <c:valAx>
        <c:axId val="3205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D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PC2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055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'3 pc plot'!$R$2:$R$103</c:f>
              <c:numCache>
                <c:formatCode>General</c:formatCode>
                <c:ptCount val="102"/>
                <c:pt idx="0">
                  <c:v>2.5682362377956762</c:v>
                </c:pt>
                <c:pt idx="1">
                  <c:v>2.5682362377956762</c:v>
                </c:pt>
                <c:pt idx="2">
                  <c:v>0.22015404537345615</c:v>
                </c:pt>
                <c:pt idx="3">
                  <c:v>0.26131339745760657</c:v>
                </c:pt>
                <c:pt idx="4">
                  <c:v>0.23558856001464887</c:v>
                </c:pt>
                <c:pt idx="5">
                  <c:v>0.23558856001464887</c:v>
                </c:pt>
                <c:pt idx="6">
                  <c:v>0.83220075131863647</c:v>
                </c:pt>
                <c:pt idx="7">
                  <c:v>0.38260971162358987</c:v>
                </c:pt>
                <c:pt idx="8">
                  <c:v>0.2908235029830723</c:v>
                </c:pt>
                <c:pt idx="9">
                  <c:v>0.28187978597371338</c:v>
                </c:pt>
                <c:pt idx="10">
                  <c:v>0.65140788870012079</c:v>
                </c:pt>
                <c:pt idx="11">
                  <c:v>1.9438117359621504E-2</c:v>
                </c:pt>
                <c:pt idx="12">
                  <c:v>0.88725364995904443</c:v>
                </c:pt>
                <c:pt idx="13">
                  <c:v>0.42541627063118193</c:v>
                </c:pt>
                <c:pt idx="14">
                  <c:v>0.16704270716479927</c:v>
                </c:pt>
                <c:pt idx="15">
                  <c:v>0.67222844758922207</c:v>
                </c:pt>
                <c:pt idx="16">
                  <c:v>1.3203669375508782</c:v>
                </c:pt>
                <c:pt idx="17">
                  <c:v>2.1721595906559967</c:v>
                </c:pt>
                <c:pt idx="18">
                  <c:v>0.39837088446574259</c:v>
                </c:pt>
                <c:pt idx="19">
                  <c:v>0.48337544186050574</c:v>
                </c:pt>
                <c:pt idx="20">
                  <c:v>1.3854294406421264</c:v>
                </c:pt>
                <c:pt idx="21">
                  <c:v>1.8882414371741467</c:v>
                </c:pt>
                <c:pt idx="22">
                  <c:v>0.65219400759343349</c:v>
                </c:pt>
                <c:pt idx="23">
                  <c:v>2.3242920291904388</c:v>
                </c:pt>
                <c:pt idx="24">
                  <c:v>1.6290051933057981</c:v>
                </c:pt>
                <c:pt idx="25">
                  <c:v>2.5876049829123318</c:v>
                </c:pt>
                <c:pt idx="26">
                  <c:v>0.96881887592606819</c:v>
                </c:pt>
                <c:pt idx="27">
                  <c:v>2.5258245697602493</c:v>
                </c:pt>
                <c:pt idx="28">
                  <c:v>1.9337421602175662</c:v>
                </c:pt>
                <c:pt idx="29">
                  <c:v>0.32364461576308784</c:v>
                </c:pt>
                <c:pt idx="30">
                  <c:v>0.32364461576308784</c:v>
                </c:pt>
                <c:pt idx="31">
                  <c:v>2.116403719994449</c:v>
                </c:pt>
                <c:pt idx="32">
                  <c:v>3.9299087756555974E-2</c:v>
                </c:pt>
                <c:pt idx="33">
                  <c:v>2.764288980255472</c:v>
                </c:pt>
                <c:pt idx="34">
                  <c:v>2.4988050869590781</c:v>
                </c:pt>
                <c:pt idx="35">
                  <c:v>2.7181387219509543</c:v>
                </c:pt>
                <c:pt idx="36">
                  <c:v>0.99012406777551543</c:v>
                </c:pt>
                <c:pt idx="37">
                  <c:v>0.55580856305996929</c:v>
                </c:pt>
                <c:pt idx="38">
                  <c:v>2.4529736856273168</c:v>
                </c:pt>
                <c:pt idx="39">
                  <c:v>0.10926823880486437</c:v>
                </c:pt>
                <c:pt idx="40">
                  <c:v>0.57619427113181465</c:v>
                </c:pt>
                <c:pt idx="41">
                  <c:v>0.40062530347012143</c:v>
                </c:pt>
                <c:pt idx="42">
                  <c:v>0.50227270891968478</c:v>
                </c:pt>
                <c:pt idx="43">
                  <c:v>1.0837548696002517</c:v>
                </c:pt>
                <c:pt idx="44">
                  <c:v>0.12501757254691803</c:v>
                </c:pt>
                <c:pt idx="45">
                  <c:v>0.82800640368256817</c:v>
                </c:pt>
                <c:pt idx="46">
                  <c:v>0.65486079174816869</c:v>
                </c:pt>
                <c:pt idx="47">
                  <c:v>1.2312122679418309</c:v>
                </c:pt>
                <c:pt idx="48">
                  <c:v>2.2287939765540172</c:v>
                </c:pt>
                <c:pt idx="49">
                  <c:v>1.5604547415987065</c:v>
                </c:pt>
                <c:pt idx="50">
                  <c:v>1.31617220983831</c:v>
                </c:pt>
                <c:pt idx="51">
                  <c:v>1.7079492580961837</c:v>
                </c:pt>
                <c:pt idx="52">
                  <c:v>1.6889331721481895</c:v>
                </c:pt>
                <c:pt idx="53">
                  <c:v>1.6224108235642953</c:v>
                </c:pt>
                <c:pt idx="54">
                  <c:v>0.67532664689993915</c:v>
                </c:pt>
                <c:pt idx="55">
                  <c:v>1.6145050256873967</c:v>
                </c:pt>
                <c:pt idx="56">
                  <c:v>0.58422039092362565</c:v>
                </c:pt>
                <c:pt idx="57">
                  <c:v>1.8395910870557817</c:v>
                </c:pt>
                <c:pt idx="58">
                  <c:v>0.58247897651460845</c:v>
                </c:pt>
                <c:pt idx="59">
                  <c:v>2.0372055541738385</c:v>
                </c:pt>
                <c:pt idx="60">
                  <c:v>0.73380658689833778</c:v>
                </c:pt>
                <c:pt idx="61">
                  <c:v>1.768084354335518</c:v>
                </c:pt>
                <c:pt idx="62">
                  <c:v>0.70970282895518888</c:v>
                </c:pt>
                <c:pt idx="63">
                  <c:v>0.82217386121224878</c:v>
                </c:pt>
                <c:pt idx="64">
                  <c:v>1.852345487697002</c:v>
                </c:pt>
                <c:pt idx="65">
                  <c:v>1.4597160279211154</c:v>
                </c:pt>
                <c:pt idx="66">
                  <c:v>3.1689324243093551</c:v>
                </c:pt>
                <c:pt idx="67">
                  <c:v>2.7212771313963042</c:v>
                </c:pt>
                <c:pt idx="68">
                  <c:v>0.66154725601913977</c:v>
                </c:pt>
                <c:pt idx="69">
                  <c:v>0.76044491802252312</c:v>
                </c:pt>
                <c:pt idx="70">
                  <c:v>0.59399050664315445</c:v>
                </c:pt>
                <c:pt idx="71">
                  <c:v>1.9487999619048335</c:v>
                </c:pt>
                <c:pt idx="72">
                  <c:v>2.4619321178881228</c:v>
                </c:pt>
                <c:pt idx="73">
                  <c:v>2.5844001972309258</c:v>
                </c:pt>
                <c:pt idx="74">
                  <c:v>1.3287770152613074</c:v>
                </c:pt>
                <c:pt idx="75">
                  <c:v>0.33525437214035148</c:v>
                </c:pt>
                <c:pt idx="76">
                  <c:v>2.8212471416323228</c:v>
                </c:pt>
                <c:pt idx="77">
                  <c:v>2.2082528838550757</c:v>
                </c:pt>
                <c:pt idx="78">
                  <c:v>0.43620623965546879</c:v>
                </c:pt>
                <c:pt idx="79">
                  <c:v>0.56215857671187697</c:v>
                </c:pt>
                <c:pt idx="80">
                  <c:v>1.0564641747642374</c:v>
                </c:pt>
                <c:pt idx="81">
                  <c:v>0.18037073474107862</c:v>
                </c:pt>
                <c:pt idx="82">
                  <c:v>2.2386950062963855</c:v>
                </c:pt>
                <c:pt idx="83">
                  <c:v>0.86136950659901601</c:v>
                </c:pt>
                <c:pt idx="84">
                  <c:v>0.20319326236465482</c:v>
                </c:pt>
                <c:pt idx="85">
                  <c:v>1.1758136372182224</c:v>
                </c:pt>
                <c:pt idx="86">
                  <c:v>1.6383709336377279</c:v>
                </c:pt>
                <c:pt idx="87">
                  <c:v>0.34956357431281837</c:v>
                </c:pt>
                <c:pt idx="88">
                  <c:v>0.24630149448995659</c:v>
                </c:pt>
                <c:pt idx="89">
                  <c:v>0.7726821472782095</c:v>
                </c:pt>
                <c:pt idx="90">
                  <c:v>0.74536422000131974</c:v>
                </c:pt>
                <c:pt idx="91">
                  <c:v>3.554043918311776</c:v>
                </c:pt>
                <c:pt idx="92">
                  <c:v>1.8759963119869909</c:v>
                </c:pt>
                <c:pt idx="93">
                  <c:v>2.186874831001814</c:v>
                </c:pt>
                <c:pt idx="94">
                  <c:v>0.94075725577220204</c:v>
                </c:pt>
                <c:pt idx="95">
                  <c:v>1.0703534660276919</c:v>
                </c:pt>
                <c:pt idx="96">
                  <c:v>2.6990114823628573</c:v>
                </c:pt>
                <c:pt idx="97">
                  <c:v>2.5184981384345777</c:v>
                </c:pt>
                <c:pt idx="98">
                  <c:v>2.3776894872294649</c:v>
                </c:pt>
                <c:pt idx="99">
                  <c:v>3.2622503573767587</c:v>
                </c:pt>
                <c:pt idx="100">
                  <c:v>3.4161113444507643</c:v>
                </c:pt>
                <c:pt idx="101">
                  <c:v>2.2702633156458782</c:v>
                </c:pt>
              </c:numCache>
            </c:numRef>
          </c:xVal>
          <c:yVal>
            <c:numRef>
              <c:f>'3 pc plot'!$S$2:$S$103</c:f>
              <c:numCache>
                <c:formatCode>General</c:formatCode>
                <c:ptCount val="102"/>
                <c:pt idx="0">
                  <c:v>16556.280000000002</c:v>
                </c:pt>
                <c:pt idx="1">
                  <c:v>16571.762999999999</c:v>
                </c:pt>
                <c:pt idx="2">
                  <c:v>17999.670000000002</c:v>
                </c:pt>
                <c:pt idx="3">
                  <c:v>18119.780999999999</c:v>
                </c:pt>
                <c:pt idx="4">
                  <c:v>18301.71</c:v>
                </c:pt>
                <c:pt idx="5">
                  <c:v>18313.331999999999</c:v>
                </c:pt>
                <c:pt idx="6">
                  <c:v>18403.811999999998</c:v>
                </c:pt>
                <c:pt idx="7">
                  <c:v>18466.652999999998</c:v>
                </c:pt>
                <c:pt idx="8">
                  <c:v>18655.212</c:v>
                </c:pt>
                <c:pt idx="9">
                  <c:v>18838.404000000002</c:v>
                </c:pt>
                <c:pt idx="10">
                  <c:v>18848.382000000001</c:v>
                </c:pt>
                <c:pt idx="11">
                  <c:v>18856.842000000001</c:v>
                </c:pt>
                <c:pt idx="12">
                  <c:v>18860.675999999999</c:v>
                </c:pt>
                <c:pt idx="13">
                  <c:v>18996.519</c:v>
                </c:pt>
                <c:pt idx="14">
                  <c:v>19114.094999999998</c:v>
                </c:pt>
                <c:pt idx="15">
                  <c:v>19151.013000000003</c:v>
                </c:pt>
                <c:pt idx="16">
                  <c:v>19159.302000000003</c:v>
                </c:pt>
                <c:pt idx="17">
                  <c:v>19168.164000000001</c:v>
                </c:pt>
                <c:pt idx="18">
                  <c:v>19198.812000000002</c:v>
                </c:pt>
                <c:pt idx="19">
                  <c:v>19234.161</c:v>
                </c:pt>
                <c:pt idx="20">
                  <c:v>19239.362999999998</c:v>
                </c:pt>
                <c:pt idx="21">
                  <c:v>19285.02</c:v>
                </c:pt>
                <c:pt idx="22">
                  <c:v>19318.688999999998</c:v>
                </c:pt>
                <c:pt idx="23">
                  <c:v>19331.718000000001</c:v>
                </c:pt>
                <c:pt idx="24">
                  <c:v>19344.897000000001</c:v>
                </c:pt>
                <c:pt idx="25">
                  <c:v>19424.091</c:v>
                </c:pt>
                <c:pt idx="26">
                  <c:v>19456.797000000002</c:v>
                </c:pt>
                <c:pt idx="27">
                  <c:v>19476.275999999998</c:v>
                </c:pt>
                <c:pt idx="28">
                  <c:v>19493.882999999998</c:v>
                </c:pt>
                <c:pt idx="29">
                  <c:v>19495.584000000003</c:v>
                </c:pt>
                <c:pt idx="30">
                  <c:v>19499.867999999999</c:v>
                </c:pt>
                <c:pt idx="31">
                  <c:v>19522.509000000002</c:v>
                </c:pt>
                <c:pt idx="32">
                  <c:v>19546.761000000002</c:v>
                </c:pt>
                <c:pt idx="33">
                  <c:v>19567.280999999999</c:v>
                </c:pt>
                <c:pt idx="34">
                  <c:v>19594.547999999999</c:v>
                </c:pt>
                <c:pt idx="35">
                  <c:v>19595.022000000001</c:v>
                </c:pt>
                <c:pt idx="36">
                  <c:v>19604.418000000001</c:v>
                </c:pt>
                <c:pt idx="37">
                  <c:v>19604.676000000003</c:v>
                </c:pt>
                <c:pt idx="38">
                  <c:v>19629.864000000001</c:v>
                </c:pt>
                <c:pt idx="39">
                  <c:v>19671.201000000001</c:v>
                </c:pt>
                <c:pt idx="40">
                  <c:v>19694.153999999999</c:v>
                </c:pt>
                <c:pt idx="41">
                  <c:v>19696.212</c:v>
                </c:pt>
                <c:pt idx="42">
                  <c:v>19698.494999999999</c:v>
                </c:pt>
                <c:pt idx="43">
                  <c:v>19702.223999999998</c:v>
                </c:pt>
                <c:pt idx="44">
                  <c:v>19725.078000000001</c:v>
                </c:pt>
                <c:pt idx="45">
                  <c:v>19738.983</c:v>
                </c:pt>
                <c:pt idx="46">
                  <c:v>19760.853000000003</c:v>
                </c:pt>
                <c:pt idx="47">
                  <c:v>19787.037</c:v>
                </c:pt>
                <c:pt idx="48">
                  <c:v>19801.521000000001</c:v>
                </c:pt>
                <c:pt idx="49">
                  <c:v>19811.258999999998</c:v>
                </c:pt>
                <c:pt idx="50">
                  <c:v>19826.412</c:v>
                </c:pt>
                <c:pt idx="51">
                  <c:v>19838.315999999999</c:v>
                </c:pt>
                <c:pt idx="52">
                  <c:v>19899.417000000001</c:v>
                </c:pt>
                <c:pt idx="53">
                  <c:v>19919.597999999998</c:v>
                </c:pt>
                <c:pt idx="54">
                  <c:v>19934.751</c:v>
                </c:pt>
                <c:pt idx="55">
                  <c:v>19972.182000000001</c:v>
                </c:pt>
                <c:pt idx="56">
                  <c:v>20002.251</c:v>
                </c:pt>
                <c:pt idx="57">
                  <c:v>20030.513999999999</c:v>
                </c:pt>
                <c:pt idx="58">
                  <c:v>20050.329000000002</c:v>
                </c:pt>
                <c:pt idx="59">
                  <c:v>20075.289000000001</c:v>
                </c:pt>
                <c:pt idx="60">
                  <c:v>20086.254000000001</c:v>
                </c:pt>
                <c:pt idx="61">
                  <c:v>20100.951000000001</c:v>
                </c:pt>
                <c:pt idx="62">
                  <c:v>20122.089</c:v>
                </c:pt>
                <c:pt idx="63">
                  <c:v>20135.712000000003</c:v>
                </c:pt>
                <c:pt idx="64">
                  <c:v>20141.757000000001</c:v>
                </c:pt>
                <c:pt idx="65">
                  <c:v>20154.363000000001</c:v>
                </c:pt>
                <c:pt idx="66">
                  <c:v>20182.302</c:v>
                </c:pt>
                <c:pt idx="67">
                  <c:v>20202.182999999997</c:v>
                </c:pt>
                <c:pt idx="68">
                  <c:v>20260.362000000001</c:v>
                </c:pt>
                <c:pt idx="69">
                  <c:v>20288.037</c:v>
                </c:pt>
                <c:pt idx="70">
                  <c:v>20294.535</c:v>
                </c:pt>
                <c:pt idx="71">
                  <c:v>20368.362000000001</c:v>
                </c:pt>
                <c:pt idx="72">
                  <c:v>20458.641</c:v>
                </c:pt>
                <c:pt idx="73">
                  <c:v>20548.584000000003</c:v>
                </c:pt>
                <c:pt idx="74">
                  <c:v>20555.403000000002</c:v>
                </c:pt>
                <c:pt idx="75">
                  <c:v>20578.635000000002</c:v>
                </c:pt>
                <c:pt idx="76">
                  <c:v>20605.460999999999</c:v>
                </c:pt>
                <c:pt idx="77">
                  <c:v>20609.699999999997</c:v>
                </c:pt>
                <c:pt idx="78">
                  <c:v>20623.563000000002</c:v>
                </c:pt>
                <c:pt idx="79">
                  <c:v>20666.934000000001</c:v>
                </c:pt>
                <c:pt idx="80">
                  <c:v>20693.186999999998</c:v>
                </c:pt>
                <c:pt idx="81">
                  <c:v>20730.498</c:v>
                </c:pt>
                <c:pt idx="82">
                  <c:v>20781.198</c:v>
                </c:pt>
                <c:pt idx="83">
                  <c:v>20842.752</c:v>
                </c:pt>
                <c:pt idx="84">
                  <c:v>20848.400999999998</c:v>
                </c:pt>
                <c:pt idx="85">
                  <c:v>20857.487999999998</c:v>
                </c:pt>
                <c:pt idx="86">
                  <c:v>20948.261999999999</c:v>
                </c:pt>
                <c:pt idx="87">
                  <c:v>20971.029000000002</c:v>
                </c:pt>
                <c:pt idx="88">
                  <c:v>21021.195</c:v>
                </c:pt>
                <c:pt idx="89">
                  <c:v>21878.655000000002</c:v>
                </c:pt>
                <c:pt idx="90">
                  <c:v>21911.97</c:v>
                </c:pt>
                <c:pt idx="91">
                  <c:v>22985.751</c:v>
                </c:pt>
                <c:pt idx="92">
                  <c:v>23124.632999999998</c:v>
                </c:pt>
                <c:pt idx="93">
                  <c:v>23431.137000000002</c:v>
                </c:pt>
                <c:pt idx="94">
                  <c:v>23438.241000000002</c:v>
                </c:pt>
                <c:pt idx="95">
                  <c:v>23603.762999999999</c:v>
                </c:pt>
                <c:pt idx="96">
                  <c:v>23737.998</c:v>
                </c:pt>
                <c:pt idx="97">
                  <c:v>23756.529000000002</c:v>
                </c:pt>
                <c:pt idx="98">
                  <c:v>23774.982</c:v>
                </c:pt>
                <c:pt idx="99">
                  <c:v>23871.156000000003</c:v>
                </c:pt>
                <c:pt idx="100">
                  <c:v>24202.310999999998</c:v>
                </c:pt>
                <c:pt idx="101">
                  <c:v>47114.55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F1-48B0-9765-4B15D67C8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851279"/>
        <c:axId val="731837551"/>
      </c:scatterChart>
      <c:valAx>
        <c:axId val="731851279"/>
        <c:scaling>
          <c:orientation val="minMax"/>
          <c:max val="3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ID" sz="900"/>
                  <a:t>R</a:t>
                </a:r>
                <a:r>
                  <a:rPr lang="en-ID" sz="800"/>
                  <a:t>proj</a:t>
                </a:r>
                <a:r>
                  <a:rPr lang="en-ID" sz="900"/>
                  <a:t> (Mpc)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731837551"/>
        <c:crosses val="autoZero"/>
        <c:crossBetween val="midCat"/>
      </c:valAx>
      <c:valAx>
        <c:axId val="731837551"/>
        <c:scaling>
          <c:orientation val="minMax"/>
          <c:max val="25000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ID" sz="900"/>
                  <a:t>V</a:t>
                </a:r>
                <a:r>
                  <a:rPr lang="en-ID" sz="800"/>
                  <a:t>rad</a:t>
                </a:r>
                <a:r>
                  <a:rPr lang="en-ID" sz="900"/>
                  <a:t> (km/s)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73185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Tahoma" panose="020B060403050404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'3 pc plot'!$R$4:$R$90</c:f>
              <c:numCache>
                <c:formatCode>General</c:formatCode>
                <c:ptCount val="87"/>
                <c:pt idx="0">
                  <c:v>0.22015404537345615</c:v>
                </c:pt>
                <c:pt idx="1">
                  <c:v>0.26131339745760657</c:v>
                </c:pt>
                <c:pt idx="2">
                  <c:v>0.23558856001464887</c:v>
                </c:pt>
                <c:pt idx="3">
                  <c:v>0.23558856001464887</c:v>
                </c:pt>
                <c:pt idx="4">
                  <c:v>0.83220075131863647</c:v>
                </c:pt>
                <c:pt idx="5">
                  <c:v>0.38260971162358987</c:v>
                </c:pt>
                <c:pt idx="6">
                  <c:v>0.2908235029830723</c:v>
                </c:pt>
                <c:pt idx="7">
                  <c:v>0.28187978597371338</c:v>
                </c:pt>
                <c:pt idx="8">
                  <c:v>0.65140788870012079</c:v>
                </c:pt>
                <c:pt idx="9">
                  <c:v>1.9438117359621504E-2</c:v>
                </c:pt>
                <c:pt idx="10">
                  <c:v>0.88725364995904443</c:v>
                </c:pt>
                <c:pt idx="11">
                  <c:v>0.42541627063118193</c:v>
                </c:pt>
                <c:pt idx="12">
                  <c:v>0.16704270716479927</c:v>
                </c:pt>
                <c:pt idx="13">
                  <c:v>0.67222844758922207</c:v>
                </c:pt>
                <c:pt idx="14">
                  <c:v>1.3203669375508782</c:v>
                </c:pt>
                <c:pt idx="15">
                  <c:v>2.1721595906559967</c:v>
                </c:pt>
                <c:pt idx="16">
                  <c:v>0.39837088446574259</c:v>
                </c:pt>
                <c:pt idx="17">
                  <c:v>0.48337544186050574</c:v>
                </c:pt>
                <c:pt idx="18">
                  <c:v>1.3854294406421264</c:v>
                </c:pt>
                <c:pt idx="19">
                  <c:v>1.8882414371741467</c:v>
                </c:pt>
                <c:pt idx="20">
                  <c:v>0.65219400759343349</c:v>
                </c:pt>
                <c:pt idx="21">
                  <c:v>2.3242920291904388</c:v>
                </c:pt>
                <c:pt idx="22">
                  <c:v>1.6290051933057981</c:v>
                </c:pt>
                <c:pt idx="23">
                  <c:v>2.5876049829123318</c:v>
                </c:pt>
                <c:pt idx="24">
                  <c:v>0.96881887592606819</c:v>
                </c:pt>
                <c:pt idx="25">
                  <c:v>2.5258245697602493</c:v>
                </c:pt>
                <c:pt idx="26">
                  <c:v>1.9337421602175662</c:v>
                </c:pt>
                <c:pt idx="27">
                  <c:v>0.32364461576308784</c:v>
                </c:pt>
                <c:pt idx="28">
                  <c:v>0.32364461576308784</c:v>
                </c:pt>
                <c:pt idx="29">
                  <c:v>2.116403719994449</c:v>
                </c:pt>
                <c:pt idx="30">
                  <c:v>3.9299087756555974E-2</c:v>
                </c:pt>
                <c:pt idx="31">
                  <c:v>2.764288980255472</c:v>
                </c:pt>
                <c:pt idx="32">
                  <c:v>2.4988050869590781</c:v>
                </c:pt>
                <c:pt idx="33">
                  <c:v>2.7181387219509543</c:v>
                </c:pt>
                <c:pt idx="34">
                  <c:v>0.99012406777551543</c:v>
                </c:pt>
                <c:pt idx="35">
                  <c:v>0.55580856305996929</c:v>
                </c:pt>
                <c:pt idx="36">
                  <c:v>2.4529736856273168</c:v>
                </c:pt>
                <c:pt idx="37">
                  <c:v>0.10926823880486437</c:v>
                </c:pt>
                <c:pt idx="38">
                  <c:v>0.57619427113181465</c:v>
                </c:pt>
                <c:pt idx="39">
                  <c:v>0.40062530347012143</c:v>
                </c:pt>
                <c:pt idx="40">
                  <c:v>0.50227270891968478</c:v>
                </c:pt>
                <c:pt idx="41">
                  <c:v>1.0837548696002517</c:v>
                </c:pt>
                <c:pt idx="42">
                  <c:v>0.12501757254691803</c:v>
                </c:pt>
                <c:pt idx="43">
                  <c:v>0.82800640368256817</c:v>
                </c:pt>
                <c:pt idx="44">
                  <c:v>0.65486079174816869</c:v>
                </c:pt>
                <c:pt idx="45">
                  <c:v>1.2312122679418309</c:v>
                </c:pt>
                <c:pt idx="46">
                  <c:v>2.2287939765540172</c:v>
                </c:pt>
                <c:pt idx="47">
                  <c:v>1.5604547415987065</c:v>
                </c:pt>
                <c:pt idx="48">
                  <c:v>1.31617220983831</c:v>
                </c:pt>
                <c:pt idx="49">
                  <c:v>1.7079492580961837</c:v>
                </c:pt>
                <c:pt idx="50">
                  <c:v>1.6889331721481895</c:v>
                </c:pt>
                <c:pt idx="51">
                  <c:v>1.6224108235642953</c:v>
                </c:pt>
                <c:pt idx="52">
                  <c:v>0.67532664689993915</c:v>
                </c:pt>
                <c:pt idx="53">
                  <c:v>1.6145050256873967</c:v>
                </c:pt>
                <c:pt idx="54">
                  <c:v>0.58422039092362565</c:v>
                </c:pt>
                <c:pt idx="55">
                  <c:v>1.8395910870557817</c:v>
                </c:pt>
                <c:pt idx="56">
                  <c:v>0.58247897651460845</c:v>
                </c:pt>
                <c:pt idx="57">
                  <c:v>2.0372055541738385</c:v>
                </c:pt>
                <c:pt idx="58">
                  <c:v>0.73380658689833778</c:v>
                </c:pt>
                <c:pt idx="59">
                  <c:v>1.768084354335518</c:v>
                </c:pt>
                <c:pt idx="60">
                  <c:v>0.70970282895518888</c:v>
                </c:pt>
                <c:pt idx="61">
                  <c:v>0.82217386121224878</c:v>
                </c:pt>
                <c:pt idx="62">
                  <c:v>1.852345487697002</c:v>
                </c:pt>
                <c:pt idx="63">
                  <c:v>1.4597160279211154</c:v>
                </c:pt>
                <c:pt idx="64">
                  <c:v>3.1689324243093551</c:v>
                </c:pt>
                <c:pt idx="65">
                  <c:v>2.7212771313963042</c:v>
                </c:pt>
                <c:pt idx="66">
                  <c:v>0.66154725601913977</c:v>
                </c:pt>
                <c:pt idx="67">
                  <c:v>0.76044491802252312</c:v>
                </c:pt>
                <c:pt idx="68">
                  <c:v>0.59399050664315445</c:v>
                </c:pt>
                <c:pt idx="69">
                  <c:v>1.9487999619048335</c:v>
                </c:pt>
                <c:pt idx="70">
                  <c:v>2.4619321178881228</c:v>
                </c:pt>
                <c:pt idx="71">
                  <c:v>2.5844001972309258</c:v>
                </c:pt>
                <c:pt idx="72">
                  <c:v>1.3287770152613074</c:v>
                </c:pt>
                <c:pt idx="73">
                  <c:v>0.33525437214035148</c:v>
                </c:pt>
                <c:pt idx="74">
                  <c:v>2.8212471416323228</c:v>
                </c:pt>
                <c:pt idx="75">
                  <c:v>2.2082528838550757</c:v>
                </c:pt>
                <c:pt idx="76">
                  <c:v>0.43620623965546879</c:v>
                </c:pt>
                <c:pt idx="77">
                  <c:v>0.56215857671187697</c:v>
                </c:pt>
                <c:pt idx="78">
                  <c:v>1.0564641747642374</c:v>
                </c:pt>
                <c:pt idx="79">
                  <c:v>0.18037073474107862</c:v>
                </c:pt>
                <c:pt idx="80">
                  <c:v>2.2386950062963855</c:v>
                </c:pt>
                <c:pt idx="81">
                  <c:v>0.86136950659901601</c:v>
                </c:pt>
                <c:pt idx="82">
                  <c:v>0.20319326236465482</c:v>
                </c:pt>
                <c:pt idx="83">
                  <c:v>1.1758136372182224</c:v>
                </c:pt>
                <c:pt idx="84">
                  <c:v>1.6383709336377279</c:v>
                </c:pt>
                <c:pt idx="85">
                  <c:v>0.34956357431281837</c:v>
                </c:pt>
                <c:pt idx="86">
                  <c:v>0.24630149448995659</c:v>
                </c:pt>
              </c:numCache>
            </c:numRef>
          </c:xVal>
          <c:yVal>
            <c:numRef>
              <c:f>'3 pc plot'!$S$4:$S$90</c:f>
              <c:numCache>
                <c:formatCode>General</c:formatCode>
                <c:ptCount val="87"/>
                <c:pt idx="0">
                  <c:v>17999.670000000002</c:v>
                </c:pt>
                <c:pt idx="1">
                  <c:v>18119.780999999999</c:v>
                </c:pt>
                <c:pt idx="2">
                  <c:v>18301.71</c:v>
                </c:pt>
                <c:pt idx="3">
                  <c:v>18313.331999999999</c:v>
                </c:pt>
                <c:pt idx="4">
                  <c:v>18403.811999999998</c:v>
                </c:pt>
                <c:pt idx="5">
                  <c:v>18466.652999999998</c:v>
                </c:pt>
                <c:pt idx="6">
                  <c:v>18655.212</c:v>
                </c:pt>
                <c:pt idx="7">
                  <c:v>18838.404000000002</c:v>
                </c:pt>
                <c:pt idx="8">
                  <c:v>18848.382000000001</c:v>
                </c:pt>
                <c:pt idx="9">
                  <c:v>18856.842000000001</c:v>
                </c:pt>
                <c:pt idx="10">
                  <c:v>18860.675999999999</c:v>
                </c:pt>
                <c:pt idx="11">
                  <c:v>18996.519</c:v>
                </c:pt>
                <c:pt idx="12">
                  <c:v>19114.094999999998</c:v>
                </c:pt>
                <c:pt idx="13">
                  <c:v>19151.013000000003</c:v>
                </c:pt>
                <c:pt idx="14">
                  <c:v>19159.302000000003</c:v>
                </c:pt>
                <c:pt idx="15">
                  <c:v>19168.164000000001</c:v>
                </c:pt>
                <c:pt idx="16">
                  <c:v>19198.812000000002</c:v>
                </c:pt>
                <c:pt idx="17">
                  <c:v>19234.161</c:v>
                </c:pt>
                <c:pt idx="18">
                  <c:v>19239.362999999998</c:v>
                </c:pt>
                <c:pt idx="19">
                  <c:v>19285.02</c:v>
                </c:pt>
                <c:pt idx="20">
                  <c:v>19318.688999999998</c:v>
                </c:pt>
                <c:pt idx="21">
                  <c:v>19331.718000000001</c:v>
                </c:pt>
                <c:pt idx="22">
                  <c:v>19344.897000000001</c:v>
                </c:pt>
                <c:pt idx="23">
                  <c:v>19424.091</c:v>
                </c:pt>
                <c:pt idx="24">
                  <c:v>19456.797000000002</c:v>
                </c:pt>
                <c:pt idx="25">
                  <c:v>19476.275999999998</c:v>
                </c:pt>
                <c:pt idx="26">
                  <c:v>19493.882999999998</c:v>
                </c:pt>
                <c:pt idx="27">
                  <c:v>19495.584000000003</c:v>
                </c:pt>
                <c:pt idx="28">
                  <c:v>19499.867999999999</c:v>
                </c:pt>
                <c:pt idx="29">
                  <c:v>19522.509000000002</c:v>
                </c:pt>
                <c:pt idx="30">
                  <c:v>19546.761000000002</c:v>
                </c:pt>
                <c:pt idx="31">
                  <c:v>19567.280999999999</c:v>
                </c:pt>
                <c:pt idx="32">
                  <c:v>19594.547999999999</c:v>
                </c:pt>
                <c:pt idx="33">
                  <c:v>19595.022000000001</c:v>
                </c:pt>
                <c:pt idx="34">
                  <c:v>19604.418000000001</c:v>
                </c:pt>
                <c:pt idx="35">
                  <c:v>19604.676000000003</c:v>
                </c:pt>
                <c:pt idx="36">
                  <c:v>19629.864000000001</c:v>
                </c:pt>
                <c:pt idx="37">
                  <c:v>19671.201000000001</c:v>
                </c:pt>
                <c:pt idx="38">
                  <c:v>19694.153999999999</c:v>
                </c:pt>
                <c:pt idx="39">
                  <c:v>19696.212</c:v>
                </c:pt>
                <c:pt idx="40">
                  <c:v>19698.494999999999</c:v>
                </c:pt>
                <c:pt idx="41">
                  <c:v>19702.223999999998</c:v>
                </c:pt>
                <c:pt idx="42">
                  <c:v>19725.078000000001</c:v>
                </c:pt>
                <c:pt idx="43">
                  <c:v>19738.983</c:v>
                </c:pt>
                <c:pt idx="44">
                  <c:v>19760.853000000003</c:v>
                </c:pt>
                <c:pt idx="45">
                  <c:v>19787.037</c:v>
                </c:pt>
                <c:pt idx="46">
                  <c:v>19801.521000000001</c:v>
                </c:pt>
                <c:pt idx="47">
                  <c:v>19811.258999999998</c:v>
                </c:pt>
                <c:pt idx="48">
                  <c:v>19826.412</c:v>
                </c:pt>
                <c:pt idx="49">
                  <c:v>19838.315999999999</c:v>
                </c:pt>
                <c:pt idx="50">
                  <c:v>19899.417000000001</c:v>
                </c:pt>
                <c:pt idx="51">
                  <c:v>19919.597999999998</c:v>
                </c:pt>
                <c:pt idx="52">
                  <c:v>19934.751</c:v>
                </c:pt>
                <c:pt idx="53">
                  <c:v>19972.182000000001</c:v>
                </c:pt>
                <c:pt idx="54">
                  <c:v>20002.251</c:v>
                </c:pt>
                <c:pt idx="55">
                  <c:v>20030.513999999999</c:v>
                </c:pt>
                <c:pt idx="56">
                  <c:v>20050.329000000002</c:v>
                </c:pt>
                <c:pt idx="57">
                  <c:v>20075.289000000001</c:v>
                </c:pt>
                <c:pt idx="58">
                  <c:v>20086.254000000001</c:v>
                </c:pt>
                <c:pt idx="59">
                  <c:v>20100.951000000001</c:v>
                </c:pt>
                <c:pt idx="60">
                  <c:v>20122.089</c:v>
                </c:pt>
                <c:pt idx="61">
                  <c:v>20135.712000000003</c:v>
                </c:pt>
                <c:pt idx="62">
                  <c:v>20141.757000000001</c:v>
                </c:pt>
                <c:pt idx="63">
                  <c:v>20154.363000000001</c:v>
                </c:pt>
                <c:pt idx="64">
                  <c:v>20182.302</c:v>
                </c:pt>
                <c:pt idx="65">
                  <c:v>20202.182999999997</c:v>
                </c:pt>
                <c:pt idx="66">
                  <c:v>20260.362000000001</c:v>
                </c:pt>
                <c:pt idx="67">
                  <c:v>20288.037</c:v>
                </c:pt>
                <c:pt idx="68">
                  <c:v>20294.535</c:v>
                </c:pt>
                <c:pt idx="69">
                  <c:v>20368.362000000001</c:v>
                </c:pt>
                <c:pt idx="70">
                  <c:v>20458.641</c:v>
                </c:pt>
                <c:pt idx="71">
                  <c:v>20548.584000000003</c:v>
                </c:pt>
                <c:pt idx="72">
                  <c:v>20555.403000000002</c:v>
                </c:pt>
                <c:pt idx="73">
                  <c:v>20578.635000000002</c:v>
                </c:pt>
                <c:pt idx="74">
                  <c:v>20605.460999999999</c:v>
                </c:pt>
                <c:pt idx="75">
                  <c:v>20609.699999999997</c:v>
                </c:pt>
                <c:pt idx="76">
                  <c:v>20623.563000000002</c:v>
                </c:pt>
                <c:pt idx="77">
                  <c:v>20666.934000000001</c:v>
                </c:pt>
                <c:pt idx="78">
                  <c:v>20693.186999999998</c:v>
                </c:pt>
                <c:pt idx="79">
                  <c:v>20730.498</c:v>
                </c:pt>
                <c:pt idx="80">
                  <c:v>20781.198</c:v>
                </c:pt>
                <c:pt idx="81">
                  <c:v>20842.752</c:v>
                </c:pt>
                <c:pt idx="82">
                  <c:v>20848.400999999998</c:v>
                </c:pt>
                <c:pt idx="83">
                  <c:v>20857.487999999998</c:v>
                </c:pt>
                <c:pt idx="84">
                  <c:v>20948.261999999999</c:v>
                </c:pt>
                <c:pt idx="85">
                  <c:v>20971.029000000002</c:v>
                </c:pt>
                <c:pt idx="86">
                  <c:v>21021.195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0-48A7-B8E1-20E3F6006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851279"/>
        <c:axId val="731837551"/>
      </c:scatterChart>
      <c:valAx>
        <c:axId val="731851279"/>
        <c:scaling>
          <c:orientation val="minMax"/>
          <c:max val="3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ID" sz="900"/>
                  <a:t>R</a:t>
                </a:r>
                <a:r>
                  <a:rPr lang="en-ID" sz="800"/>
                  <a:t>proj</a:t>
                </a:r>
                <a:r>
                  <a:rPr lang="en-ID" sz="900"/>
                  <a:t> (Mpc)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731837551"/>
        <c:crosses val="autoZero"/>
        <c:crossBetween val="midCat"/>
      </c:valAx>
      <c:valAx>
        <c:axId val="731837551"/>
        <c:scaling>
          <c:orientation val="minMax"/>
          <c:max val="25000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ID" sz="900"/>
                  <a:t>V</a:t>
                </a:r>
                <a:r>
                  <a:rPr lang="en-ID" sz="800"/>
                  <a:t>rad</a:t>
                </a:r>
                <a:r>
                  <a:rPr lang="en-ID" sz="900"/>
                  <a:t> (km/s)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73185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Tahoma" panose="020B060403050404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'final plot'!$R$2:$R$100</c:f>
              <c:numCache>
                <c:formatCode>General</c:formatCode>
                <c:ptCount val="99"/>
                <c:pt idx="0">
                  <c:v>0.22015404537345615</c:v>
                </c:pt>
                <c:pt idx="1">
                  <c:v>0.26131339745760657</c:v>
                </c:pt>
                <c:pt idx="2">
                  <c:v>0.23558856001464887</c:v>
                </c:pt>
                <c:pt idx="3">
                  <c:v>0.23558856001464887</c:v>
                </c:pt>
                <c:pt idx="4">
                  <c:v>0.83220075131863647</c:v>
                </c:pt>
                <c:pt idx="5">
                  <c:v>0.38260971162358987</c:v>
                </c:pt>
                <c:pt idx="6">
                  <c:v>0.2908235029830723</c:v>
                </c:pt>
                <c:pt idx="7">
                  <c:v>0.28187978597371338</c:v>
                </c:pt>
                <c:pt idx="8">
                  <c:v>0.65140788870012079</c:v>
                </c:pt>
                <c:pt idx="9">
                  <c:v>1.9438117359621504E-2</c:v>
                </c:pt>
                <c:pt idx="10">
                  <c:v>0.88725364995904443</c:v>
                </c:pt>
                <c:pt idx="11">
                  <c:v>0.42541627063118193</c:v>
                </c:pt>
                <c:pt idx="12">
                  <c:v>0.16704270716479927</c:v>
                </c:pt>
                <c:pt idx="13">
                  <c:v>0.67222844758922207</c:v>
                </c:pt>
                <c:pt idx="14">
                  <c:v>1.3203669375508782</c:v>
                </c:pt>
                <c:pt idx="15">
                  <c:v>2.1721595906559967</c:v>
                </c:pt>
                <c:pt idx="16">
                  <c:v>0.39837088446574259</c:v>
                </c:pt>
                <c:pt idx="17">
                  <c:v>0.48337544186050574</c:v>
                </c:pt>
                <c:pt idx="18">
                  <c:v>1.3854294406421264</c:v>
                </c:pt>
                <c:pt idx="19">
                  <c:v>1.8882414371741467</c:v>
                </c:pt>
                <c:pt idx="20">
                  <c:v>0.65219400759343349</c:v>
                </c:pt>
                <c:pt idx="21">
                  <c:v>2.3242920291904388</c:v>
                </c:pt>
                <c:pt idx="22">
                  <c:v>1.6290051933057981</c:v>
                </c:pt>
                <c:pt idx="23">
                  <c:v>2.5876049829123318</c:v>
                </c:pt>
                <c:pt idx="24">
                  <c:v>0.96881887592606819</c:v>
                </c:pt>
                <c:pt idx="25">
                  <c:v>2.5258245697602493</c:v>
                </c:pt>
                <c:pt idx="26">
                  <c:v>1.9337421602175662</c:v>
                </c:pt>
                <c:pt idx="27">
                  <c:v>0.32364461576308784</c:v>
                </c:pt>
                <c:pt idx="28">
                  <c:v>0.32364461576308784</c:v>
                </c:pt>
                <c:pt idx="29">
                  <c:v>2.116403719994449</c:v>
                </c:pt>
                <c:pt idx="30">
                  <c:v>3.9299087756555974E-2</c:v>
                </c:pt>
                <c:pt idx="31">
                  <c:v>2.764288980255472</c:v>
                </c:pt>
                <c:pt idx="32">
                  <c:v>2.4988050869590781</c:v>
                </c:pt>
                <c:pt idx="33">
                  <c:v>2.7181387219509543</c:v>
                </c:pt>
                <c:pt idx="34">
                  <c:v>0.99012406777551543</c:v>
                </c:pt>
                <c:pt idx="35">
                  <c:v>0.55580856305996929</c:v>
                </c:pt>
                <c:pt idx="36">
                  <c:v>2.4529736856273168</c:v>
                </c:pt>
                <c:pt idx="37">
                  <c:v>0.10926823880486437</c:v>
                </c:pt>
                <c:pt idx="38">
                  <c:v>0.57619427113181465</c:v>
                </c:pt>
                <c:pt idx="39">
                  <c:v>0.40062530347012143</c:v>
                </c:pt>
                <c:pt idx="40">
                  <c:v>0.50227270891968478</c:v>
                </c:pt>
                <c:pt idx="41">
                  <c:v>1.0837548696002517</c:v>
                </c:pt>
                <c:pt idx="42">
                  <c:v>0.12501757254691803</c:v>
                </c:pt>
                <c:pt idx="43">
                  <c:v>0.82800640368256817</c:v>
                </c:pt>
                <c:pt idx="44">
                  <c:v>0.65486079174816869</c:v>
                </c:pt>
                <c:pt idx="45">
                  <c:v>1.2312122679418309</c:v>
                </c:pt>
                <c:pt idx="46">
                  <c:v>2.2287939765540172</c:v>
                </c:pt>
                <c:pt idx="47">
                  <c:v>1.5604547415987065</c:v>
                </c:pt>
                <c:pt idx="48">
                  <c:v>1.31617220983831</c:v>
                </c:pt>
                <c:pt idx="49">
                  <c:v>1.7079492580961837</c:v>
                </c:pt>
                <c:pt idx="50">
                  <c:v>1.6889331721481895</c:v>
                </c:pt>
                <c:pt idx="51">
                  <c:v>1.6224108235642953</c:v>
                </c:pt>
                <c:pt idx="52">
                  <c:v>0.67532664689993915</c:v>
                </c:pt>
                <c:pt idx="53">
                  <c:v>1.6145050256873967</c:v>
                </c:pt>
                <c:pt idx="54">
                  <c:v>0.58422039092362565</c:v>
                </c:pt>
                <c:pt idx="55">
                  <c:v>1.8395910870557817</c:v>
                </c:pt>
                <c:pt idx="56">
                  <c:v>0.58247897651460845</c:v>
                </c:pt>
                <c:pt idx="57">
                  <c:v>2.0372055541738385</c:v>
                </c:pt>
                <c:pt idx="58">
                  <c:v>0.73380658689833778</c:v>
                </c:pt>
                <c:pt idx="59">
                  <c:v>1.768084354335518</c:v>
                </c:pt>
                <c:pt idx="60">
                  <c:v>0.70970282895518888</c:v>
                </c:pt>
                <c:pt idx="61">
                  <c:v>0.82217386121224878</c:v>
                </c:pt>
                <c:pt idx="62">
                  <c:v>1.852345487697002</c:v>
                </c:pt>
                <c:pt idx="63">
                  <c:v>1.4597160279211154</c:v>
                </c:pt>
                <c:pt idx="64">
                  <c:v>2.7212771313963042</c:v>
                </c:pt>
                <c:pt idx="65">
                  <c:v>0.66154725601913977</c:v>
                </c:pt>
                <c:pt idx="66">
                  <c:v>0.76044491802252312</c:v>
                </c:pt>
                <c:pt idx="67">
                  <c:v>0.59399050664315445</c:v>
                </c:pt>
                <c:pt idx="68">
                  <c:v>1.9487999619048335</c:v>
                </c:pt>
                <c:pt idx="69">
                  <c:v>2.4619321178881228</c:v>
                </c:pt>
                <c:pt idx="70">
                  <c:v>2.5844001972309258</c:v>
                </c:pt>
                <c:pt idx="71">
                  <c:v>1.3287770152613074</c:v>
                </c:pt>
                <c:pt idx="72">
                  <c:v>0.33525437214035148</c:v>
                </c:pt>
                <c:pt idx="73">
                  <c:v>2.8212471416323228</c:v>
                </c:pt>
                <c:pt idx="74">
                  <c:v>2.2082528838550757</c:v>
                </c:pt>
                <c:pt idx="75">
                  <c:v>0.43620623965546879</c:v>
                </c:pt>
                <c:pt idx="76">
                  <c:v>0.56215857671187697</c:v>
                </c:pt>
                <c:pt idx="77">
                  <c:v>1.0564641747642374</c:v>
                </c:pt>
                <c:pt idx="78">
                  <c:v>0.18037073474107862</c:v>
                </c:pt>
                <c:pt idx="79">
                  <c:v>2.2386950062963855</c:v>
                </c:pt>
                <c:pt idx="80">
                  <c:v>0.86136950659901601</c:v>
                </c:pt>
                <c:pt idx="81">
                  <c:v>0.20319326236465482</c:v>
                </c:pt>
                <c:pt idx="82">
                  <c:v>1.1758136372182224</c:v>
                </c:pt>
                <c:pt idx="83">
                  <c:v>1.6383709336377279</c:v>
                </c:pt>
                <c:pt idx="84">
                  <c:v>0.34956357431281837</c:v>
                </c:pt>
                <c:pt idx="85">
                  <c:v>0.24630149448995659</c:v>
                </c:pt>
              </c:numCache>
            </c:numRef>
          </c:xVal>
          <c:yVal>
            <c:numRef>
              <c:f>'final plot'!$S$2:$S$100</c:f>
              <c:numCache>
                <c:formatCode>General</c:formatCode>
                <c:ptCount val="99"/>
                <c:pt idx="0">
                  <c:v>17999.670000000002</c:v>
                </c:pt>
                <c:pt idx="1">
                  <c:v>18119.780999999999</c:v>
                </c:pt>
                <c:pt idx="2">
                  <c:v>18301.71</c:v>
                </c:pt>
                <c:pt idx="3">
                  <c:v>18313.331999999999</c:v>
                </c:pt>
                <c:pt idx="4">
                  <c:v>18403.811999999998</c:v>
                </c:pt>
                <c:pt idx="5">
                  <c:v>18466.652999999998</c:v>
                </c:pt>
                <c:pt idx="6">
                  <c:v>18655.212</c:v>
                </c:pt>
                <c:pt idx="7">
                  <c:v>18838.404000000002</c:v>
                </c:pt>
                <c:pt idx="8">
                  <c:v>18848.382000000001</c:v>
                </c:pt>
                <c:pt idx="9">
                  <c:v>18856.842000000001</c:v>
                </c:pt>
                <c:pt idx="10">
                  <c:v>18860.675999999999</c:v>
                </c:pt>
                <c:pt idx="11">
                  <c:v>18996.519</c:v>
                </c:pt>
                <c:pt idx="12">
                  <c:v>19114.094999999998</c:v>
                </c:pt>
                <c:pt idx="13">
                  <c:v>19151.013000000003</c:v>
                </c:pt>
                <c:pt idx="14">
                  <c:v>19159.302000000003</c:v>
                </c:pt>
                <c:pt idx="15">
                  <c:v>19168.164000000001</c:v>
                </c:pt>
                <c:pt idx="16">
                  <c:v>19198.812000000002</c:v>
                </c:pt>
                <c:pt idx="17">
                  <c:v>19234.161</c:v>
                </c:pt>
                <c:pt idx="18">
                  <c:v>19239.362999999998</c:v>
                </c:pt>
                <c:pt idx="19">
                  <c:v>19285.02</c:v>
                </c:pt>
                <c:pt idx="20">
                  <c:v>19318.688999999998</c:v>
                </c:pt>
                <c:pt idx="21">
                  <c:v>19331.718000000001</c:v>
                </c:pt>
                <c:pt idx="22">
                  <c:v>19344.897000000001</c:v>
                </c:pt>
                <c:pt idx="23">
                  <c:v>19424.091</c:v>
                </c:pt>
                <c:pt idx="24">
                  <c:v>19456.797000000002</c:v>
                </c:pt>
                <c:pt idx="25">
                  <c:v>19476.275999999998</c:v>
                </c:pt>
                <c:pt idx="26">
                  <c:v>19493.882999999998</c:v>
                </c:pt>
                <c:pt idx="27">
                  <c:v>19495.584000000003</c:v>
                </c:pt>
                <c:pt idx="28">
                  <c:v>19499.867999999999</c:v>
                </c:pt>
                <c:pt idx="29">
                  <c:v>19522.509000000002</c:v>
                </c:pt>
                <c:pt idx="30">
                  <c:v>19546.761000000002</c:v>
                </c:pt>
                <c:pt idx="31">
                  <c:v>19567.280999999999</c:v>
                </c:pt>
                <c:pt idx="32">
                  <c:v>19594.547999999999</c:v>
                </c:pt>
                <c:pt idx="33">
                  <c:v>19595.022000000001</c:v>
                </c:pt>
                <c:pt idx="34">
                  <c:v>19604.418000000001</c:v>
                </c:pt>
                <c:pt idx="35">
                  <c:v>19604.676000000003</c:v>
                </c:pt>
                <c:pt idx="36">
                  <c:v>19629.864000000001</c:v>
                </c:pt>
                <c:pt idx="37">
                  <c:v>19671.201000000001</c:v>
                </c:pt>
                <c:pt idx="38">
                  <c:v>19694.153999999999</c:v>
                </c:pt>
                <c:pt idx="39">
                  <c:v>19696.212</c:v>
                </c:pt>
                <c:pt idx="40">
                  <c:v>19698.494999999999</c:v>
                </c:pt>
                <c:pt idx="41">
                  <c:v>19702.223999999998</c:v>
                </c:pt>
                <c:pt idx="42">
                  <c:v>19725.078000000001</c:v>
                </c:pt>
                <c:pt idx="43">
                  <c:v>19738.983</c:v>
                </c:pt>
                <c:pt idx="44">
                  <c:v>19760.853000000003</c:v>
                </c:pt>
                <c:pt idx="45">
                  <c:v>19787.037</c:v>
                </c:pt>
                <c:pt idx="46">
                  <c:v>19801.521000000001</c:v>
                </c:pt>
                <c:pt idx="47">
                  <c:v>19811.258999999998</c:v>
                </c:pt>
                <c:pt idx="48">
                  <c:v>19826.412</c:v>
                </c:pt>
                <c:pt idx="49">
                  <c:v>19838.315999999999</c:v>
                </c:pt>
                <c:pt idx="50">
                  <c:v>19899.417000000001</c:v>
                </c:pt>
                <c:pt idx="51">
                  <c:v>19919.597999999998</c:v>
                </c:pt>
                <c:pt idx="52">
                  <c:v>19934.751</c:v>
                </c:pt>
                <c:pt idx="53">
                  <c:v>19972.182000000001</c:v>
                </c:pt>
                <c:pt idx="54">
                  <c:v>20002.251</c:v>
                </c:pt>
                <c:pt idx="55">
                  <c:v>20030.513999999999</c:v>
                </c:pt>
                <c:pt idx="56">
                  <c:v>20050.329000000002</c:v>
                </c:pt>
                <c:pt idx="57">
                  <c:v>20075.289000000001</c:v>
                </c:pt>
                <c:pt idx="58">
                  <c:v>20086.254000000001</c:v>
                </c:pt>
                <c:pt idx="59">
                  <c:v>20100.951000000001</c:v>
                </c:pt>
                <c:pt idx="60">
                  <c:v>20122.089</c:v>
                </c:pt>
                <c:pt idx="61">
                  <c:v>20135.712000000003</c:v>
                </c:pt>
                <c:pt idx="62">
                  <c:v>20141.757000000001</c:v>
                </c:pt>
                <c:pt idx="63">
                  <c:v>20154.363000000001</c:v>
                </c:pt>
                <c:pt idx="64">
                  <c:v>20202.182999999997</c:v>
                </c:pt>
                <c:pt idx="65">
                  <c:v>20260.362000000001</c:v>
                </c:pt>
                <c:pt idx="66">
                  <c:v>20288.037</c:v>
                </c:pt>
                <c:pt idx="67">
                  <c:v>20294.535</c:v>
                </c:pt>
                <c:pt idx="68">
                  <c:v>20368.362000000001</c:v>
                </c:pt>
                <c:pt idx="69">
                  <c:v>20458.641</c:v>
                </c:pt>
                <c:pt idx="70">
                  <c:v>20548.584000000003</c:v>
                </c:pt>
                <c:pt idx="71">
                  <c:v>20555.403000000002</c:v>
                </c:pt>
                <c:pt idx="72">
                  <c:v>20578.635000000002</c:v>
                </c:pt>
                <c:pt idx="73">
                  <c:v>20605.460999999999</c:v>
                </c:pt>
                <c:pt idx="74">
                  <c:v>20609.699999999997</c:v>
                </c:pt>
                <c:pt idx="75">
                  <c:v>20623.563000000002</c:v>
                </c:pt>
                <c:pt idx="76">
                  <c:v>20666.934000000001</c:v>
                </c:pt>
                <c:pt idx="77">
                  <c:v>20693.186999999998</c:v>
                </c:pt>
                <c:pt idx="78">
                  <c:v>20730.498</c:v>
                </c:pt>
                <c:pt idx="79">
                  <c:v>20781.198</c:v>
                </c:pt>
                <c:pt idx="80">
                  <c:v>20842.752</c:v>
                </c:pt>
                <c:pt idx="81">
                  <c:v>20848.400999999998</c:v>
                </c:pt>
                <c:pt idx="82">
                  <c:v>20857.487999999998</c:v>
                </c:pt>
                <c:pt idx="83">
                  <c:v>20948.261999999999</c:v>
                </c:pt>
                <c:pt idx="84">
                  <c:v>20971.029000000002</c:v>
                </c:pt>
                <c:pt idx="85">
                  <c:v>21021.195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A6-486B-9705-F55B01E31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851279"/>
        <c:axId val="731837551"/>
      </c:scatterChart>
      <c:valAx>
        <c:axId val="731851279"/>
        <c:scaling>
          <c:orientation val="minMax"/>
          <c:max val="3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ID" sz="900"/>
                  <a:t>R</a:t>
                </a:r>
                <a:r>
                  <a:rPr lang="en-ID" sz="800"/>
                  <a:t>proj</a:t>
                </a:r>
                <a:r>
                  <a:rPr lang="en-ID" sz="900"/>
                  <a:t> (Mpc)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731837551"/>
        <c:crosses val="autoZero"/>
        <c:crossBetween val="midCat"/>
      </c:valAx>
      <c:valAx>
        <c:axId val="731837551"/>
        <c:scaling>
          <c:orientation val="minMax"/>
          <c:max val="25000"/>
          <c:min val="15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ID" sz="900"/>
                  <a:t>V</a:t>
                </a:r>
                <a:r>
                  <a:rPr lang="en-ID" sz="800"/>
                  <a:t>rad</a:t>
                </a:r>
                <a:r>
                  <a:rPr lang="en-ID" sz="900"/>
                  <a:t> (km/s)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73185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Times New Roman" panose="02020603050405020304" pitchFamily="18" charset="0"/>
          <a:ea typeface="Tahoma" panose="020B0604030504040204" pitchFamily="34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9525</xdr:colOff>
      <xdr:row>4</xdr:row>
      <xdr:rowOff>14287</xdr:rowOff>
    </xdr:from>
    <xdr:to>
      <xdr:col>38</xdr:col>
      <xdr:colOff>314325</xdr:colOff>
      <xdr:row>18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D13AD1-A6EF-79D6-6BB3-DD8CA46F22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328083</xdr:colOff>
      <xdr:row>2</xdr:row>
      <xdr:rowOff>0</xdr:rowOff>
    </xdr:from>
    <xdr:to>
      <xdr:col>25</xdr:col>
      <xdr:colOff>603250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8EB02-5821-407C-B032-C21381AC5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304800</xdr:colOff>
      <xdr:row>1</xdr:row>
      <xdr:rowOff>147637</xdr:rowOff>
    </xdr:from>
    <xdr:to>
      <xdr:col>25</xdr:col>
      <xdr:colOff>0</xdr:colOff>
      <xdr:row>16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91A024-D6BA-CB94-3C81-6308F4DE2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317500</xdr:colOff>
      <xdr:row>17</xdr:row>
      <xdr:rowOff>137583</xdr:rowOff>
    </xdr:from>
    <xdr:to>
      <xdr:col>25</xdr:col>
      <xdr:colOff>12700</xdr:colOff>
      <xdr:row>32</xdr:row>
      <xdr:rowOff>23283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333624-C041-4670-9142-58D4B3583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346655</xdr:colOff>
      <xdr:row>7</xdr:row>
      <xdr:rowOff>44200</xdr:rowOff>
    </xdr:from>
    <xdr:to>
      <xdr:col>22</xdr:col>
      <xdr:colOff>209010</xdr:colOff>
      <xdr:row>8</xdr:row>
      <xdr:rowOff>132646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1FE518B-1857-2782-21DE-00B36F40B25B}"/>
            </a:ext>
          </a:extLst>
        </xdr:cNvPr>
        <xdr:cNvSpPr/>
      </xdr:nvSpPr>
      <xdr:spPr>
        <a:xfrm rot="20711193">
          <a:off x="12578760" y="1387726"/>
          <a:ext cx="473961" cy="27894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476250</xdr:colOff>
      <xdr:row>2</xdr:row>
      <xdr:rowOff>163286</xdr:rowOff>
    </xdr:from>
    <xdr:to>
      <xdr:col>27</xdr:col>
      <xdr:colOff>149678</xdr:colOff>
      <xdr:row>17</xdr:row>
      <xdr:rowOff>48986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C4F8FB-1A85-4A31-A63D-EA0588CA3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449035</xdr:colOff>
      <xdr:row>18</xdr:row>
      <xdr:rowOff>95250</xdr:rowOff>
    </xdr:from>
    <xdr:to>
      <xdr:col>27</xdr:col>
      <xdr:colOff>122463</xdr:colOff>
      <xdr:row>32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06C280-D099-48CC-B3F4-D5CECAEF8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476250</xdr:colOff>
      <xdr:row>2</xdr:row>
      <xdr:rowOff>163286</xdr:rowOff>
    </xdr:from>
    <xdr:to>
      <xdr:col>27</xdr:col>
      <xdr:colOff>149678</xdr:colOff>
      <xdr:row>17</xdr:row>
      <xdr:rowOff>48986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228CA-FA27-4373-A853-13AA4B2D5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3A3533B-E6BD-4507-B62F-D9081462A6AF}">
  <we:reference id="wa200000019" version="23.1.0.0" store="en-001" storeType="OMEX"/>
  <we:alternateReferences>
    <we:reference id="wa200000019" version="23.1.0.0" store="en-00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94001-1D92-4E0D-B6CD-94F01FEE9C8A}">
  <dimension ref="A1:U475"/>
  <sheetViews>
    <sheetView topLeftCell="C1" workbookViewId="0">
      <selection activeCell="L12" sqref="L12"/>
    </sheetView>
  </sheetViews>
  <sheetFormatPr defaultRowHeight="15" x14ac:dyDescent="0.25"/>
  <cols>
    <col min="7" max="11" width="9.140625" style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13</v>
      </c>
      <c r="L1" s="2" t="s">
        <v>10</v>
      </c>
      <c r="M1" s="2" t="s">
        <v>11</v>
      </c>
      <c r="N1" s="2" t="s">
        <v>12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3">
        <v>1.23766233786351E+18</v>
      </c>
      <c r="B2" s="3">
        <v>235.65647999999999</v>
      </c>
      <c r="C2" s="3">
        <v>35.854315</v>
      </c>
      <c r="D2" s="3">
        <v>1.08371E-4</v>
      </c>
      <c r="E2" s="3">
        <v>2.9194159992887396</v>
      </c>
      <c r="F2" s="3">
        <v>32.511299999999999</v>
      </c>
      <c r="G2" s="3">
        <v>21.566379999999999</v>
      </c>
      <c r="H2" s="3">
        <v>19.521350000000002</v>
      </c>
      <c r="I2" s="3">
        <v>18.166340000000002</v>
      </c>
      <c r="J2" s="3">
        <v>17.504829999999998</v>
      </c>
      <c r="K2" s="3">
        <v>17.12782</v>
      </c>
      <c r="L2" s="3">
        <f t="shared" ref="L2:L65" si="0">G2-H2</f>
        <v>2.045029999999997</v>
      </c>
      <c r="M2" s="3">
        <f t="shared" ref="M2:M65" si="1">G2-I2</f>
        <v>3.4000399999999971</v>
      </c>
      <c r="N2" s="3">
        <f t="shared" ref="N2:N65" si="2">G2-J2</f>
        <v>4.0615500000000004</v>
      </c>
      <c r="O2" s="3">
        <f t="shared" ref="O2:O65" si="3">G2-K2</f>
        <v>4.438559999999999</v>
      </c>
      <c r="P2" s="3">
        <f t="shared" ref="P2:P65" si="4">H2-I2</f>
        <v>1.35501</v>
      </c>
      <c r="Q2" s="3">
        <f t="shared" ref="Q2:Q65" si="5">H2-J2</f>
        <v>2.0165200000000034</v>
      </c>
      <c r="R2" s="3">
        <f t="shared" ref="R2:R65" si="6">H2-K2</f>
        <v>2.3935300000000019</v>
      </c>
      <c r="S2" s="3">
        <f t="shared" ref="S2:S65" si="7">I2-J2</f>
        <v>0.66151000000000337</v>
      </c>
      <c r="T2" s="3">
        <f t="shared" ref="T2:T65" si="8">I2-K2</f>
        <v>1.0385200000000019</v>
      </c>
      <c r="U2" s="3">
        <f t="shared" ref="U2:U65" si="9">J2-K2</f>
        <v>0.37700999999999851</v>
      </c>
    </row>
    <row r="3" spans="1:21" x14ac:dyDescent="0.25">
      <c r="A3" s="3">
        <v>1.2376624731541299E+18</v>
      </c>
      <c r="B3" s="3">
        <v>236.2748</v>
      </c>
      <c r="C3" s="3">
        <v>35.890828999999997</v>
      </c>
      <c r="D3" s="3">
        <v>6.3080749999999998E-3</v>
      </c>
      <c r="E3" s="3">
        <v>1.1865286677976448</v>
      </c>
      <c r="F3" s="3">
        <v>1892.4224999999999</v>
      </c>
      <c r="G3" s="3">
        <v>17.007380000000001</v>
      </c>
      <c r="H3" s="3">
        <v>16.28332</v>
      </c>
      <c r="I3" s="3">
        <v>16.139109999999999</v>
      </c>
      <c r="J3" s="3">
        <v>16.188759999999998</v>
      </c>
      <c r="K3" s="3">
        <v>16.12078</v>
      </c>
      <c r="L3" s="3">
        <f t="shared" si="0"/>
        <v>0.72406000000000148</v>
      </c>
      <c r="M3" s="3">
        <f t="shared" si="1"/>
        <v>0.86827000000000254</v>
      </c>
      <c r="N3" s="3">
        <f t="shared" si="2"/>
        <v>0.81862000000000279</v>
      </c>
      <c r="O3" s="3">
        <f t="shared" si="3"/>
        <v>0.88660000000000139</v>
      </c>
      <c r="P3" s="3">
        <f t="shared" si="4"/>
        <v>0.14421000000000106</v>
      </c>
      <c r="Q3" s="3">
        <f t="shared" si="5"/>
        <v>9.456000000000131E-2</v>
      </c>
      <c r="R3" s="3">
        <f t="shared" si="6"/>
        <v>0.16253999999999991</v>
      </c>
      <c r="S3" s="3">
        <f t="shared" si="7"/>
        <v>-4.964999999999975E-2</v>
      </c>
      <c r="T3" s="3">
        <f t="shared" si="8"/>
        <v>1.8329999999998847E-2</v>
      </c>
      <c r="U3" s="3">
        <f t="shared" si="9"/>
        <v>6.7979999999998597E-2</v>
      </c>
    </row>
    <row r="4" spans="1:21" x14ac:dyDescent="0.25">
      <c r="A4" s="3">
        <v>1.23766247369087E+18</v>
      </c>
      <c r="B4" s="3">
        <v>236.21743000000001</v>
      </c>
      <c r="C4" s="3">
        <v>36.479334000000001</v>
      </c>
      <c r="D4" s="3">
        <v>1.1165909999999999E-2</v>
      </c>
      <c r="E4" s="3">
        <v>1.9998957605902223</v>
      </c>
      <c r="F4" s="3">
        <v>3349.7729999999997</v>
      </c>
      <c r="G4" s="3">
        <v>17.237110000000001</v>
      </c>
      <c r="H4" s="3">
        <v>16.122039999999998</v>
      </c>
      <c r="I4" s="3">
        <v>15.70031</v>
      </c>
      <c r="J4" s="3">
        <v>15.54396</v>
      </c>
      <c r="K4" s="3">
        <v>15.426920000000001</v>
      </c>
      <c r="L4" s="3">
        <f t="shared" si="0"/>
        <v>1.1150700000000029</v>
      </c>
      <c r="M4" s="3">
        <f t="shared" si="1"/>
        <v>1.5368000000000013</v>
      </c>
      <c r="N4" s="3">
        <f t="shared" si="2"/>
        <v>1.693150000000001</v>
      </c>
      <c r="O4" s="3">
        <f t="shared" si="3"/>
        <v>1.8101900000000004</v>
      </c>
      <c r="P4" s="3">
        <f t="shared" si="4"/>
        <v>0.42172999999999838</v>
      </c>
      <c r="Q4" s="3">
        <f t="shared" si="5"/>
        <v>0.57807999999999815</v>
      </c>
      <c r="R4" s="3">
        <f t="shared" si="6"/>
        <v>0.69511999999999752</v>
      </c>
      <c r="S4" s="3">
        <f t="shared" si="7"/>
        <v>0.15634999999999977</v>
      </c>
      <c r="T4" s="3">
        <f t="shared" si="8"/>
        <v>0.27338999999999913</v>
      </c>
      <c r="U4" s="3">
        <f t="shared" si="9"/>
        <v>0.11703999999999937</v>
      </c>
    </row>
    <row r="5" spans="1:21" x14ac:dyDescent="0.25">
      <c r="A5" s="3">
        <v>1.2376625032189701E+18</v>
      </c>
      <c r="B5" s="3">
        <v>236.44120000000001</v>
      </c>
      <c r="C5" s="3">
        <v>36.028097000000002</v>
      </c>
      <c r="D5" s="3">
        <v>1.141854E-2</v>
      </c>
      <c r="E5" s="3">
        <v>0.95808712290261266</v>
      </c>
      <c r="F5" s="3">
        <v>3425.5619999999999</v>
      </c>
      <c r="G5" s="3">
        <v>17.51097</v>
      </c>
      <c r="H5" s="3">
        <v>16.495170000000002</v>
      </c>
      <c r="I5" s="3">
        <v>16.147739999999999</v>
      </c>
      <c r="J5" s="3">
        <v>15.933949999999999</v>
      </c>
      <c r="K5" s="3">
        <v>15.886570000000001</v>
      </c>
      <c r="L5" s="3">
        <f t="shared" si="0"/>
        <v>1.0157999999999987</v>
      </c>
      <c r="M5" s="3">
        <f t="shared" si="1"/>
        <v>1.3632300000000015</v>
      </c>
      <c r="N5" s="3">
        <f t="shared" si="2"/>
        <v>1.577020000000001</v>
      </c>
      <c r="O5" s="3">
        <f t="shared" si="3"/>
        <v>1.6243999999999996</v>
      </c>
      <c r="P5" s="3">
        <f t="shared" si="4"/>
        <v>0.34743000000000279</v>
      </c>
      <c r="Q5" s="3">
        <f t="shared" si="5"/>
        <v>0.56122000000000227</v>
      </c>
      <c r="R5" s="3">
        <f t="shared" si="6"/>
        <v>0.60860000000000092</v>
      </c>
      <c r="S5" s="3">
        <f t="shared" si="7"/>
        <v>0.21378999999999948</v>
      </c>
      <c r="T5" s="3">
        <f t="shared" si="8"/>
        <v>0.26116999999999813</v>
      </c>
      <c r="U5" s="3">
        <f t="shared" si="9"/>
        <v>4.7379999999998645E-2</v>
      </c>
    </row>
    <row r="6" spans="1:21" x14ac:dyDescent="0.25">
      <c r="A6" s="3">
        <v>1.2376625037555699E+18</v>
      </c>
      <c r="B6" s="3">
        <v>236.20439999999999</v>
      </c>
      <c r="C6" s="3">
        <v>36.563142999999997</v>
      </c>
      <c r="D6" s="3">
        <v>3.8722609999999998E-2</v>
      </c>
      <c r="E6" s="3">
        <v>2.4549953928700226</v>
      </c>
      <c r="F6" s="3">
        <v>11616.782999999999</v>
      </c>
      <c r="G6" s="3">
        <v>19.357749999999999</v>
      </c>
      <c r="H6" s="3">
        <v>18.03697</v>
      </c>
      <c r="I6" s="3">
        <v>17.530159999999999</v>
      </c>
      <c r="J6" s="3">
        <v>17.280149999999999</v>
      </c>
      <c r="K6" s="3">
        <v>17.142469999999999</v>
      </c>
      <c r="L6" s="3">
        <f t="shared" si="0"/>
        <v>1.3207799999999992</v>
      </c>
      <c r="M6" s="3">
        <f t="shared" si="1"/>
        <v>1.8275900000000007</v>
      </c>
      <c r="N6" s="3">
        <f t="shared" si="2"/>
        <v>2.0776000000000003</v>
      </c>
      <c r="O6" s="3">
        <f t="shared" si="3"/>
        <v>2.2152799999999999</v>
      </c>
      <c r="P6" s="3">
        <f t="shared" si="4"/>
        <v>0.50681000000000154</v>
      </c>
      <c r="Q6" s="3">
        <f t="shared" si="5"/>
        <v>0.75682000000000116</v>
      </c>
      <c r="R6" s="3">
        <f t="shared" si="6"/>
        <v>0.89450000000000074</v>
      </c>
      <c r="S6" s="3">
        <f t="shared" si="7"/>
        <v>0.25000999999999962</v>
      </c>
      <c r="T6" s="3">
        <f t="shared" si="8"/>
        <v>0.3876899999999992</v>
      </c>
      <c r="U6" s="3">
        <f t="shared" si="9"/>
        <v>0.13767999999999958</v>
      </c>
    </row>
    <row r="7" spans="1:21" x14ac:dyDescent="0.25">
      <c r="A7" s="3">
        <v>1.2376623378636401E+18</v>
      </c>
      <c r="B7" s="3">
        <v>235.95321999999999</v>
      </c>
      <c r="C7" s="3">
        <v>35.634051999999997</v>
      </c>
      <c r="D7" s="3">
        <v>4.8511869999999999E-2</v>
      </c>
      <c r="E7" s="3">
        <v>2.8672774312880662</v>
      </c>
      <c r="F7" s="3">
        <v>14553.561</v>
      </c>
      <c r="G7" s="3">
        <v>18.61084</v>
      </c>
      <c r="H7" s="3">
        <v>17.50902</v>
      </c>
      <c r="I7" s="3">
        <v>17.100760000000001</v>
      </c>
      <c r="J7" s="3">
        <v>16.839780000000001</v>
      </c>
      <c r="K7" s="3">
        <v>16.660139999999998</v>
      </c>
      <c r="L7" s="3">
        <f t="shared" si="0"/>
        <v>1.10182</v>
      </c>
      <c r="M7" s="3">
        <f t="shared" si="1"/>
        <v>1.5100799999999985</v>
      </c>
      <c r="N7" s="3">
        <f t="shared" si="2"/>
        <v>1.7710599999999985</v>
      </c>
      <c r="O7" s="3">
        <f t="shared" si="3"/>
        <v>1.9507000000000012</v>
      </c>
      <c r="P7" s="3">
        <f t="shared" si="4"/>
        <v>0.40825999999999851</v>
      </c>
      <c r="Q7" s="3">
        <f t="shared" si="5"/>
        <v>0.6692399999999985</v>
      </c>
      <c r="R7" s="3">
        <f t="shared" si="6"/>
        <v>0.84888000000000119</v>
      </c>
      <c r="S7" s="3">
        <f t="shared" si="7"/>
        <v>0.26097999999999999</v>
      </c>
      <c r="T7" s="3">
        <f t="shared" si="8"/>
        <v>0.44062000000000268</v>
      </c>
      <c r="U7" s="3">
        <f t="shared" si="9"/>
        <v>0.17964000000000269</v>
      </c>
    </row>
    <row r="8" spans="1:21" x14ac:dyDescent="0.25">
      <c r="A8" s="3">
        <v>1.2376614659863301E+18</v>
      </c>
      <c r="B8" s="3">
        <v>236.42283</v>
      </c>
      <c r="C8" s="3">
        <v>35.660888</v>
      </c>
      <c r="D8" s="3">
        <v>5.498169E-2</v>
      </c>
      <c r="E8" s="3">
        <v>2.5412467422694767</v>
      </c>
      <c r="F8" s="3">
        <v>16494.507000000001</v>
      </c>
      <c r="G8" s="3">
        <v>19.13241</v>
      </c>
      <c r="H8" s="3">
        <v>17.62904</v>
      </c>
      <c r="I8" s="3">
        <v>17.08061</v>
      </c>
      <c r="J8" s="3">
        <v>16.8184</v>
      </c>
      <c r="K8" s="3">
        <v>16.593979999999998</v>
      </c>
      <c r="L8" s="3">
        <f t="shared" si="0"/>
        <v>1.5033700000000003</v>
      </c>
      <c r="M8" s="3">
        <f t="shared" si="1"/>
        <v>2.0518000000000001</v>
      </c>
      <c r="N8" s="3">
        <f t="shared" si="2"/>
        <v>2.3140099999999997</v>
      </c>
      <c r="O8" s="3">
        <f t="shared" si="3"/>
        <v>2.5384300000000017</v>
      </c>
      <c r="P8" s="3">
        <f t="shared" si="4"/>
        <v>0.54842999999999975</v>
      </c>
      <c r="Q8" s="3">
        <f t="shared" si="5"/>
        <v>0.81063999999999936</v>
      </c>
      <c r="R8" s="3">
        <f t="shared" si="6"/>
        <v>1.0350600000000014</v>
      </c>
      <c r="S8" s="3">
        <f t="shared" si="7"/>
        <v>0.26220999999999961</v>
      </c>
      <c r="T8" s="3">
        <f t="shared" si="8"/>
        <v>0.48663000000000167</v>
      </c>
      <c r="U8" s="3">
        <f t="shared" si="9"/>
        <v>0.22442000000000206</v>
      </c>
    </row>
    <row r="9" spans="1:21" x14ac:dyDescent="0.25">
      <c r="A9" s="3">
        <v>1.2376614659863301E+18</v>
      </c>
      <c r="B9" s="3">
        <v>236.43879999999999</v>
      </c>
      <c r="C9" s="3">
        <v>35.659931</v>
      </c>
      <c r="D9" s="3">
        <v>5.5187600000000003E-2</v>
      </c>
      <c r="E9" s="3">
        <v>2.5682362377956762</v>
      </c>
      <c r="F9" s="3">
        <v>16556.280000000002</v>
      </c>
      <c r="G9" s="3">
        <v>17.607019999999999</v>
      </c>
      <c r="H9" s="3">
        <v>15.613950000000001</v>
      </c>
      <c r="I9" s="3">
        <v>14.704739999999999</v>
      </c>
      <c r="J9" s="3">
        <v>14.26028</v>
      </c>
      <c r="K9" s="3">
        <v>13.9209</v>
      </c>
      <c r="L9" s="3">
        <f t="shared" si="0"/>
        <v>1.9930699999999977</v>
      </c>
      <c r="M9" s="3">
        <f t="shared" si="1"/>
        <v>2.9022799999999993</v>
      </c>
      <c r="N9" s="3">
        <f t="shared" si="2"/>
        <v>3.3467399999999987</v>
      </c>
      <c r="O9" s="3">
        <f t="shared" si="3"/>
        <v>3.686119999999999</v>
      </c>
      <c r="P9" s="3">
        <f t="shared" si="4"/>
        <v>0.90921000000000163</v>
      </c>
      <c r="Q9" s="3">
        <f t="shared" si="5"/>
        <v>1.353670000000001</v>
      </c>
      <c r="R9" s="3">
        <f t="shared" si="6"/>
        <v>1.6930500000000013</v>
      </c>
      <c r="S9" s="3">
        <f t="shared" si="7"/>
        <v>0.44445999999999941</v>
      </c>
      <c r="T9" s="3">
        <f t="shared" si="8"/>
        <v>0.78383999999999965</v>
      </c>
      <c r="U9" s="3">
        <f t="shared" si="9"/>
        <v>0.33938000000000024</v>
      </c>
    </row>
    <row r="10" spans="1:21" x14ac:dyDescent="0.25">
      <c r="A10" s="3">
        <v>1.2376614659863301E+18</v>
      </c>
      <c r="B10" s="3">
        <v>236.43879999999999</v>
      </c>
      <c r="C10" s="3">
        <v>35.659931</v>
      </c>
      <c r="D10" s="3">
        <v>5.5239209999999997E-2</v>
      </c>
      <c r="E10" s="3">
        <v>2.5682362377956762</v>
      </c>
      <c r="F10" s="3">
        <v>16571.762999999999</v>
      </c>
      <c r="G10" s="3">
        <v>17.607019999999999</v>
      </c>
      <c r="H10" s="3">
        <v>15.613950000000001</v>
      </c>
      <c r="I10" s="3">
        <v>14.704739999999999</v>
      </c>
      <c r="J10" s="3">
        <v>14.26028</v>
      </c>
      <c r="K10" s="3">
        <v>13.9209</v>
      </c>
      <c r="L10" s="3">
        <f t="shared" si="0"/>
        <v>1.9930699999999977</v>
      </c>
      <c r="M10" s="3">
        <f t="shared" si="1"/>
        <v>2.9022799999999993</v>
      </c>
      <c r="N10" s="3">
        <f t="shared" si="2"/>
        <v>3.3467399999999987</v>
      </c>
      <c r="O10" s="3">
        <f t="shared" si="3"/>
        <v>3.686119999999999</v>
      </c>
      <c r="P10" s="3">
        <f t="shared" si="4"/>
        <v>0.90921000000000163</v>
      </c>
      <c r="Q10" s="3">
        <f t="shared" si="5"/>
        <v>1.353670000000001</v>
      </c>
      <c r="R10" s="3">
        <f t="shared" si="6"/>
        <v>1.6930500000000013</v>
      </c>
      <c r="S10" s="3">
        <f t="shared" si="7"/>
        <v>0.44445999999999941</v>
      </c>
      <c r="T10" s="3">
        <f t="shared" si="8"/>
        <v>0.78383999999999965</v>
      </c>
      <c r="U10" s="3">
        <f t="shared" si="9"/>
        <v>0.33938000000000024</v>
      </c>
    </row>
    <row r="11" spans="1:21" x14ac:dyDescent="0.25">
      <c r="A11" s="3">
        <v>1.2376624736909299E+18</v>
      </c>
      <c r="B11" s="3">
        <v>236.28331</v>
      </c>
      <c r="C11" s="3">
        <v>36.184873000000003</v>
      </c>
      <c r="D11" s="3">
        <v>5.8443469999999997E-2</v>
      </c>
      <c r="E11" s="3">
        <v>0.43827062942195261</v>
      </c>
      <c r="F11" s="3">
        <v>17533.040999999997</v>
      </c>
      <c r="G11" s="3">
        <v>18.208659999999998</v>
      </c>
      <c r="H11" s="3">
        <v>16.871770000000001</v>
      </c>
      <c r="I11" s="3">
        <v>16.251380000000001</v>
      </c>
      <c r="J11" s="3">
        <v>15.9163</v>
      </c>
      <c r="K11" s="3">
        <v>15.713279999999999</v>
      </c>
      <c r="L11" s="3">
        <f t="shared" si="0"/>
        <v>1.3368899999999968</v>
      </c>
      <c r="M11" s="3">
        <f t="shared" si="1"/>
        <v>1.9572799999999972</v>
      </c>
      <c r="N11" s="3">
        <f t="shared" si="2"/>
        <v>2.2923599999999986</v>
      </c>
      <c r="O11" s="3">
        <f t="shared" si="3"/>
        <v>2.495379999999999</v>
      </c>
      <c r="P11" s="3">
        <f t="shared" si="4"/>
        <v>0.62039000000000044</v>
      </c>
      <c r="Q11" s="3">
        <f t="shared" si="5"/>
        <v>0.95547000000000182</v>
      </c>
      <c r="R11" s="3">
        <f t="shared" si="6"/>
        <v>1.1584900000000022</v>
      </c>
      <c r="S11" s="3">
        <f t="shared" si="7"/>
        <v>0.33508000000000138</v>
      </c>
      <c r="T11" s="3">
        <f t="shared" si="8"/>
        <v>0.5381000000000018</v>
      </c>
      <c r="U11" s="3">
        <f t="shared" si="9"/>
        <v>0.20302000000000042</v>
      </c>
    </row>
    <row r="12" spans="1:21" x14ac:dyDescent="0.25">
      <c r="A12" s="3">
        <v>1.2376625032188301E+18</v>
      </c>
      <c r="B12" s="3">
        <v>236.24143000000001</v>
      </c>
      <c r="C12" s="3">
        <v>36.068829999999998</v>
      </c>
      <c r="D12" s="3">
        <v>5.9998900000000001E-2</v>
      </c>
      <c r="E12" s="3">
        <v>0.22015404537345615</v>
      </c>
      <c r="F12" s="3">
        <v>17999.670000000002</v>
      </c>
      <c r="G12" s="3">
        <v>18.479669999999999</v>
      </c>
      <c r="H12" s="3">
        <v>16.596260000000001</v>
      </c>
      <c r="I12" s="3">
        <v>15.710889999999999</v>
      </c>
      <c r="J12" s="3">
        <v>15.298400000000001</v>
      </c>
      <c r="K12" s="3">
        <v>14.953530000000001</v>
      </c>
      <c r="L12" s="3">
        <f t="shared" si="0"/>
        <v>1.8834099999999978</v>
      </c>
      <c r="M12" s="3">
        <f t="shared" si="1"/>
        <v>2.7687799999999996</v>
      </c>
      <c r="N12" s="3">
        <f t="shared" si="2"/>
        <v>3.1812699999999978</v>
      </c>
      <c r="O12" s="3">
        <f t="shared" si="3"/>
        <v>3.5261399999999981</v>
      </c>
      <c r="P12" s="3">
        <f t="shared" si="4"/>
        <v>0.88537000000000177</v>
      </c>
      <c r="Q12" s="3">
        <f t="shared" si="5"/>
        <v>1.29786</v>
      </c>
      <c r="R12" s="3">
        <f t="shared" si="6"/>
        <v>1.6427300000000002</v>
      </c>
      <c r="S12" s="3">
        <f t="shared" si="7"/>
        <v>0.41248999999999825</v>
      </c>
      <c r="T12" s="3">
        <f t="shared" si="8"/>
        <v>0.75735999999999848</v>
      </c>
      <c r="U12" s="3">
        <f t="shared" si="9"/>
        <v>0.34487000000000023</v>
      </c>
    </row>
    <row r="13" spans="1:21" x14ac:dyDescent="0.25">
      <c r="A13" s="3">
        <v>1.2376625032188301E+18</v>
      </c>
      <c r="B13" s="3">
        <v>236.261</v>
      </c>
      <c r="C13" s="3">
        <v>36.156339000000003</v>
      </c>
      <c r="D13" s="3">
        <v>6.0399269999999998E-2</v>
      </c>
      <c r="E13" s="3">
        <v>0.26131339745760657</v>
      </c>
      <c r="F13" s="3">
        <v>18119.780999999999</v>
      </c>
      <c r="G13" s="3">
        <v>18.3734</v>
      </c>
      <c r="H13" s="3">
        <v>16.413810000000002</v>
      </c>
      <c r="I13" s="3">
        <v>15.52388</v>
      </c>
      <c r="J13" s="3">
        <v>15.097429999999999</v>
      </c>
      <c r="K13" s="3">
        <v>14.764900000000001</v>
      </c>
      <c r="L13" s="3">
        <f t="shared" si="0"/>
        <v>1.9595899999999986</v>
      </c>
      <c r="M13" s="3">
        <f t="shared" si="1"/>
        <v>2.8495200000000001</v>
      </c>
      <c r="N13" s="3">
        <f t="shared" si="2"/>
        <v>3.2759700000000009</v>
      </c>
      <c r="O13" s="3">
        <f t="shared" si="3"/>
        <v>3.6084999999999994</v>
      </c>
      <c r="P13" s="3">
        <f t="shared" si="4"/>
        <v>0.88993000000000144</v>
      </c>
      <c r="Q13" s="3">
        <f t="shared" si="5"/>
        <v>1.3163800000000023</v>
      </c>
      <c r="R13" s="3">
        <f t="shared" si="6"/>
        <v>1.6489100000000008</v>
      </c>
      <c r="S13" s="3">
        <f t="shared" si="7"/>
        <v>0.42645000000000088</v>
      </c>
      <c r="T13" s="3">
        <f t="shared" si="8"/>
        <v>0.75897999999999932</v>
      </c>
      <c r="U13" s="3">
        <f t="shared" si="9"/>
        <v>0.33252999999999844</v>
      </c>
    </row>
    <row r="14" spans="1:21" x14ac:dyDescent="0.25">
      <c r="A14" s="3">
        <v>1.2376625032188301E+18</v>
      </c>
      <c r="B14" s="3">
        <v>236.22997000000001</v>
      </c>
      <c r="C14" s="3">
        <v>36.067765000000001</v>
      </c>
      <c r="D14" s="3">
        <v>6.1005700000000003E-2</v>
      </c>
      <c r="E14" s="3">
        <v>0.23558856001464887</v>
      </c>
      <c r="F14" s="3">
        <v>18301.71</v>
      </c>
      <c r="G14" s="3">
        <v>18.98085</v>
      </c>
      <c r="H14" s="3">
        <v>17.086729999999999</v>
      </c>
      <c r="I14" s="3">
        <v>16.175370000000001</v>
      </c>
      <c r="J14" s="3">
        <v>15.753780000000001</v>
      </c>
      <c r="K14" s="3">
        <v>15.41459</v>
      </c>
      <c r="L14" s="3">
        <f t="shared" si="0"/>
        <v>1.8941200000000009</v>
      </c>
      <c r="M14" s="3">
        <f t="shared" si="1"/>
        <v>2.8054799999999993</v>
      </c>
      <c r="N14" s="3">
        <f t="shared" si="2"/>
        <v>3.2270699999999994</v>
      </c>
      <c r="O14" s="3">
        <f t="shared" si="3"/>
        <v>3.5662599999999998</v>
      </c>
      <c r="P14" s="3">
        <f t="shared" si="4"/>
        <v>0.91135999999999839</v>
      </c>
      <c r="Q14" s="3">
        <f t="shared" si="5"/>
        <v>1.3329499999999985</v>
      </c>
      <c r="R14" s="3">
        <f t="shared" si="6"/>
        <v>1.6721399999999988</v>
      </c>
      <c r="S14" s="3">
        <f t="shared" si="7"/>
        <v>0.42159000000000013</v>
      </c>
      <c r="T14" s="3">
        <f t="shared" si="8"/>
        <v>0.76078000000000046</v>
      </c>
      <c r="U14" s="3">
        <f t="shared" si="9"/>
        <v>0.33919000000000032</v>
      </c>
    </row>
    <row r="15" spans="1:21" x14ac:dyDescent="0.25">
      <c r="A15" s="3">
        <v>1.2376625032188301E+18</v>
      </c>
      <c r="B15" s="3">
        <v>236.22997000000001</v>
      </c>
      <c r="C15" s="3">
        <v>36.067765000000001</v>
      </c>
      <c r="D15" s="3">
        <v>6.1044439999999998E-2</v>
      </c>
      <c r="E15" s="3">
        <v>0.23558856001464887</v>
      </c>
      <c r="F15" s="3">
        <v>18313.331999999999</v>
      </c>
      <c r="G15" s="3">
        <v>18.98085</v>
      </c>
      <c r="H15" s="3">
        <v>17.086729999999999</v>
      </c>
      <c r="I15" s="3">
        <v>16.175370000000001</v>
      </c>
      <c r="J15" s="3">
        <v>15.753780000000001</v>
      </c>
      <c r="K15" s="3">
        <v>15.41459</v>
      </c>
      <c r="L15" s="3">
        <f t="shared" si="0"/>
        <v>1.8941200000000009</v>
      </c>
      <c r="M15" s="3">
        <f t="shared" si="1"/>
        <v>2.8054799999999993</v>
      </c>
      <c r="N15" s="3">
        <f t="shared" si="2"/>
        <v>3.2270699999999994</v>
      </c>
      <c r="O15" s="3">
        <f t="shared" si="3"/>
        <v>3.5662599999999998</v>
      </c>
      <c r="P15" s="3">
        <f t="shared" si="4"/>
        <v>0.91135999999999839</v>
      </c>
      <c r="Q15" s="3">
        <f t="shared" si="5"/>
        <v>1.3329499999999985</v>
      </c>
      <c r="R15" s="3">
        <f t="shared" si="6"/>
        <v>1.6721399999999988</v>
      </c>
      <c r="S15" s="3">
        <f t="shared" si="7"/>
        <v>0.42159000000000013</v>
      </c>
      <c r="T15" s="3">
        <f t="shared" si="8"/>
        <v>0.76078000000000046</v>
      </c>
      <c r="U15" s="3">
        <f t="shared" si="9"/>
        <v>0.33919000000000032</v>
      </c>
    </row>
    <row r="16" spans="1:21" x14ac:dyDescent="0.25">
      <c r="A16" s="3">
        <v>1.2376624736909299E+18</v>
      </c>
      <c r="B16" s="3">
        <v>236.38212999999999</v>
      </c>
      <c r="C16" s="3">
        <v>36.217623000000003</v>
      </c>
      <c r="D16" s="3">
        <v>6.1346039999999998E-2</v>
      </c>
      <c r="E16" s="3">
        <v>0.83220075131863647</v>
      </c>
      <c r="F16" s="3">
        <v>18403.811999999998</v>
      </c>
      <c r="G16" s="3">
        <v>18.80227</v>
      </c>
      <c r="H16" s="3">
        <v>16.93591</v>
      </c>
      <c r="I16" s="3">
        <v>16.072859999999999</v>
      </c>
      <c r="J16" s="3">
        <v>15.66025</v>
      </c>
      <c r="K16" s="3">
        <v>15.342269999999999</v>
      </c>
      <c r="L16" s="3">
        <f t="shared" si="0"/>
        <v>1.8663600000000002</v>
      </c>
      <c r="M16" s="3">
        <f t="shared" si="1"/>
        <v>2.7294100000000014</v>
      </c>
      <c r="N16" s="3">
        <f t="shared" si="2"/>
        <v>3.1420200000000005</v>
      </c>
      <c r="O16" s="3">
        <f t="shared" si="3"/>
        <v>3.4600000000000009</v>
      </c>
      <c r="P16" s="3">
        <f t="shared" si="4"/>
        <v>0.86305000000000121</v>
      </c>
      <c r="Q16" s="3">
        <f t="shared" si="5"/>
        <v>1.2756600000000002</v>
      </c>
      <c r="R16" s="3">
        <f t="shared" si="6"/>
        <v>1.5936400000000006</v>
      </c>
      <c r="S16" s="3">
        <f t="shared" si="7"/>
        <v>0.41260999999999903</v>
      </c>
      <c r="T16" s="3">
        <f t="shared" si="8"/>
        <v>0.73058999999999941</v>
      </c>
      <c r="U16" s="3">
        <f t="shared" si="9"/>
        <v>0.31798000000000037</v>
      </c>
    </row>
    <row r="17" spans="1:21" x14ac:dyDescent="0.25">
      <c r="A17" s="3">
        <v>1.2376624736910001E+18</v>
      </c>
      <c r="B17" s="3">
        <v>236.42131000000001</v>
      </c>
      <c r="C17" s="3">
        <v>36.137425999999998</v>
      </c>
      <c r="D17" s="3">
        <v>6.1372290000000003E-2</v>
      </c>
      <c r="E17" s="3">
        <v>0.7790198601617776</v>
      </c>
      <c r="F17" s="3">
        <v>18411.687000000002</v>
      </c>
      <c r="G17" s="3">
        <v>18.138079999999999</v>
      </c>
      <c r="H17" s="3">
        <v>17.152850000000001</v>
      </c>
      <c r="I17" s="3">
        <v>16.829000000000001</v>
      </c>
      <c r="J17" s="3">
        <v>16.545500000000001</v>
      </c>
      <c r="K17" s="3">
        <v>16.441310000000001</v>
      </c>
      <c r="L17" s="3">
        <f t="shared" si="0"/>
        <v>0.98522999999999783</v>
      </c>
      <c r="M17" s="3">
        <f t="shared" si="1"/>
        <v>1.309079999999998</v>
      </c>
      <c r="N17" s="3">
        <f t="shared" si="2"/>
        <v>1.5925799999999981</v>
      </c>
      <c r="O17" s="3">
        <f t="shared" si="3"/>
        <v>1.6967699999999972</v>
      </c>
      <c r="P17" s="3">
        <f t="shared" si="4"/>
        <v>0.32385000000000019</v>
      </c>
      <c r="Q17" s="3">
        <f t="shared" si="5"/>
        <v>0.60735000000000028</v>
      </c>
      <c r="R17" s="3">
        <f t="shared" si="6"/>
        <v>0.7115399999999994</v>
      </c>
      <c r="S17" s="3">
        <f t="shared" si="7"/>
        <v>0.28350000000000009</v>
      </c>
      <c r="T17" s="3">
        <f t="shared" si="8"/>
        <v>0.3876899999999992</v>
      </c>
      <c r="U17" s="3">
        <f t="shared" si="9"/>
        <v>0.10418999999999912</v>
      </c>
    </row>
    <row r="18" spans="1:21" x14ac:dyDescent="0.25">
      <c r="A18" s="3">
        <v>1.2376625032188301E+18</v>
      </c>
      <c r="B18" s="3">
        <v>236.16559000000001</v>
      </c>
      <c r="C18" s="3">
        <v>36.137926</v>
      </c>
      <c r="D18" s="3">
        <v>6.1555510000000001E-2</v>
      </c>
      <c r="E18" s="3">
        <v>0.38260971162358987</v>
      </c>
      <c r="F18" s="3">
        <v>18466.652999999998</v>
      </c>
      <c r="G18" s="3">
        <v>20.0472</v>
      </c>
      <c r="H18" s="3">
        <v>18.212730000000001</v>
      </c>
      <c r="I18" s="3">
        <v>17.408539999999999</v>
      </c>
      <c r="J18" s="3">
        <v>17.051819999999999</v>
      </c>
      <c r="K18" s="3">
        <v>16.78424</v>
      </c>
      <c r="L18" s="3">
        <f t="shared" si="0"/>
        <v>1.8344699999999996</v>
      </c>
      <c r="M18" s="3">
        <f t="shared" si="1"/>
        <v>2.6386600000000016</v>
      </c>
      <c r="N18" s="3">
        <f t="shared" si="2"/>
        <v>2.9953800000000008</v>
      </c>
      <c r="O18" s="3">
        <f t="shared" si="3"/>
        <v>3.2629599999999996</v>
      </c>
      <c r="P18" s="3">
        <f t="shared" si="4"/>
        <v>0.80419000000000196</v>
      </c>
      <c r="Q18" s="3">
        <f t="shared" si="5"/>
        <v>1.1609100000000012</v>
      </c>
      <c r="R18" s="3">
        <f t="shared" si="6"/>
        <v>1.42849</v>
      </c>
      <c r="S18" s="3">
        <f t="shared" si="7"/>
        <v>0.35671999999999926</v>
      </c>
      <c r="T18" s="3">
        <f t="shared" si="8"/>
        <v>0.62429999999999808</v>
      </c>
      <c r="U18" s="3">
        <f t="shared" si="9"/>
        <v>0.26757999999999882</v>
      </c>
    </row>
    <row r="19" spans="1:21" x14ac:dyDescent="0.25">
      <c r="A19" s="3">
        <v>1.2376625032189E+18</v>
      </c>
      <c r="B19" s="3">
        <v>236.38392999999999</v>
      </c>
      <c r="C19" s="3">
        <v>36.077117000000001</v>
      </c>
      <c r="D19" s="3">
        <v>6.2095259999999999E-2</v>
      </c>
      <c r="E19" s="3">
        <v>0.62636214296742576</v>
      </c>
      <c r="F19" s="3">
        <v>18628.578000000001</v>
      </c>
      <c r="G19" s="3">
        <v>18.93356</v>
      </c>
      <c r="H19" s="3">
        <v>17.91376</v>
      </c>
      <c r="I19" s="3">
        <v>17.544750000000001</v>
      </c>
      <c r="J19" s="3">
        <v>17.276029999999999</v>
      </c>
      <c r="K19" s="3">
        <v>17.143740000000001</v>
      </c>
      <c r="L19" s="3">
        <f t="shared" si="0"/>
        <v>1.0198</v>
      </c>
      <c r="M19" s="3">
        <f t="shared" si="1"/>
        <v>1.3888099999999994</v>
      </c>
      <c r="N19" s="3">
        <f t="shared" si="2"/>
        <v>1.6575300000000013</v>
      </c>
      <c r="O19" s="3">
        <f t="shared" si="3"/>
        <v>1.7898199999999989</v>
      </c>
      <c r="P19" s="3">
        <f t="shared" si="4"/>
        <v>0.36900999999999939</v>
      </c>
      <c r="Q19" s="3">
        <f t="shared" si="5"/>
        <v>0.63773000000000124</v>
      </c>
      <c r="R19" s="3">
        <f t="shared" si="6"/>
        <v>0.77001999999999882</v>
      </c>
      <c r="S19" s="3">
        <f t="shared" si="7"/>
        <v>0.26872000000000185</v>
      </c>
      <c r="T19" s="3">
        <f t="shared" si="8"/>
        <v>0.40100999999999942</v>
      </c>
      <c r="U19" s="3">
        <f t="shared" si="9"/>
        <v>0.13228999999999758</v>
      </c>
    </row>
    <row r="20" spans="1:21" x14ac:dyDescent="0.25">
      <c r="A20" s="3">
        <v>1.2376625032188301E+18</v>
      </c>
      <c r="B20" s="3">
        <v>236.19077999999999</v>
      </c>
      <c r="C20" s="3">
        <v>36.079214999999998</v>
      </c>
      <c r="D20" s="3">
        <v>6.2184040000000003E-2</v>
      </c>
      <c r="E20" s="3">
        <v>0.2908235029830723</v>
      </c>
      <c r="F20" s="3">
        <v>18655.212</v>
      </c>
      <c r="G20" s="3">
        <v>19.732749999999999</v>
      </c>
      <c r="H20" s="3">
        <v>17.946619999999999</v>
      </c>
      <c r="I20" s="3">
        <v>17.107669999999999</v>
      </c>
      <c r="J20" s="3">
        <v>16.689800000000002</v>
      </c>
      <c r="K20" s="3">
        <v>16.400860000000002</v>
      </c>
      <c r="L20" s="3">
        <f t="shared" si="0"/>
        <v>1.78613</v>
      </c>
      <c r="M20" s="3">
        <f t="shared" si="1"/>
        <v>2.6250800000000005</v>
      </c>
      <c r="N20" s="3">
        <f t="shared" si="2"/>
        <v>3.0429499999999976</v>
      </c>
      <c r="O20" s="3">
        <f t="shared" si="3"/>
        <v>3.3318899999999978</v>
      </c>
      <c r="P20" s="3">
        <f t="shared" si="4"/>
        <v>0.83895000000000053</v>
      </c>
      <c r="Q20" s="3">
        <f t="shared" si="5"/>
        <v>1.2568199999999976</v>
      </c>
      <c r="R20" s="3">
        <f t="shared" si="6"/>
        <v>1.5457599999999978</v>
      </c>
      <c r="S20" s="3">
        <f t="shared" si="7"/>
        <v>0.41786999999999708</v>
      </c>
      <c r="T20" s="3">
        <f t="shared" si="8"/>
        <v>0.70680999999999727</v>
      </c>
      <c r="U20" s="3">
        <f t="shared" si="9"/>
        <v>0.2889400000000002</v>
      </c>
    </row>
    <row r="21" spans="1:21" x14ac:dyDescent="0.25">
      <c r="A21" s="3">
        <v>1.2376625032188301E+18</v>
      </c>
      <c r="B21" s="3">
        <v>236.18645000000001</v>
      </c>
      <c r="C21" s="3">
        <v>36.129855999999997</v>
      </c>
      <c r="D21" s="3">
        <v>6.2794680000000005E-2</v>
      </c>
      <c r="E21" s="3">
        <v>0.28187978597371338</v>
      </c>
      <c r="F21" s="3">
        <v>18838.404000000002</v>
      </c>
      <c r="G21" s="3">
        <v>18.62782</v>
      </c>
      <c r="H21" s="3">
        <v>16.65588</v>
      </c>
      <c r="I21" s="3">
        <v>15.74995</v>
      </c>
      <c r="J21" s="3">
        <v>15.322050000000001</v>
      </c>
      <c r="K21" s="3">
        <v>14.978070000000001</v>
      </c>
      <c r="L21" s="3">
        <f t="shared" si="0"/>
        <v>1.97194</v>
      </c>
      <c r="M21" s="3">
        <f t="shared" si="1"/>
        <v>2.8778699999999997</v>
      </c>
      <c r="N21" s="3">
        <f t="shared" si="2"/>
        <v>3.305769999999999</v>
      </c>
      <c r="O21" s="3">
        <f t="shared" si="3"/>
        <v>3.6497499999999992</v>
      </c>
      <c r="P21" s="3">
        <f t="shared" si="4"/>
        <v>0.90592999999999968</v>
      </c>
      <c r="Q21" s="3">
        <f t="shared" si="5"/>
        <v>1.333829999999999</v>
      </c>
      <c r="R21" s="3">
        <f t="shared" si="6"/>
        <v>1.6778099999999991</v>
      </c>
      <c r="S21" s="3">
        <f t="shared" si="7"/>
        <v>0.42789999999999928</v>
      </c>
      <c r="T21" s="3">
        <f t="shared" si="8"/>
        <v>0.77187999999999946</v>
      </c>
      <c r="U21" s="3">
        <f t="shared" si="9"/>
        <v>0.34398000000000017</v>
      </c>
    </row>
    <row r="22" spans="1:21" x14ac:dyDescent="0.25">
      <c r="A22" s="3">
        <v>1.2376625032188301E+18</v>
      </c>
      <c r="B22" s="3">
        <v>236.09998999999999</v>
      </c>
      <c r="C22" s="3">
        <v>36.135241000000001</v>
      </c>
      <c r="D22" s="3">
        <v>6.2827939999999999E-2</v>
      </c>
      <c r="E22" s="3">
        <v>0.65140788870012079</v>
      </c>
      <c r="F22" s="3">
        <v>18848.382000000001</v>
      </c>
      <c r="G22" s="3">
        <v>20.084350000000001</v>
      </c>
      <c r="H22" s="3">
        <v>18.344889999999999</v>
      </c>
      <c r="I22" s="3">
        <v>17.54543</v>
      </c>
      <c r="J22" s="3">
        <v>17.159659999999999</v>
      </c>
      <c r="K22" s="3">
        <v>16.930199999999999</v>
      </c>
      <c r="L22" s="3">
        <f t="shared" si="0"/>
        <v>1.7394600000000011</v>
      </c>
      <c r="M22" s="3">
        <f t="shared" si="1"/>
        <v>2.538920000000001</v>
      </c>
      <c r="N22" s="3">
        <f t="shared" si="2"/>
        <v>2.9246900000000018</v>
      </c>
      <c r="O22" s="3">
        <f t="shared" si="3"/>
        <v>3.1541500000000013</v>
      </c>
      <c r="P22" s="3">
        <f t="shared" si="4"/>
        <v>0.79945999999999984</v>
      </c>
      <c r="Q22" s="3">
        <f t="shared" si="5"/>
        <v>1.1852300000000007</v>
      </c>
      <c r="R22" s="3">
        <f t="shared" si="6"/>
        <v>1.4146900000000002</v>
      </c>
      <c r="S22" s="3">
        <f t="shared" si="7"/>
        <v>0.38577000000000083</v>
      </c>
      <c r="T22" s="3">
        <f t="shared" si="8"/>
        <v>0.61523000000000039</v>
      </c>
      <c r="U22" s="3">
        <f t="shared" si="9"/>
        <v>0.22945999999999955</v>
      </c>
    </row>
    <row r="23" spans="1:21" x14ac:dyDescent="0.25">
      <c r="A23" s="3">
        <v>1.2376625032188301E+18</v>
      </c>
      <c r="B23" s="3">
        <v>236.25030000000001</v>
      </c>
      <c r="C23" s="3">
        <v>36.110351000000001</v>
      </c>
      <c r="D23" s="3">
        <v>6.2856140000000005E-2</v>
      </c>
      <c r="E23" s="3">
        <v>1.9438117359621504E-2</v>
      </c>
      <c r="F23" s="3">
        <v>18856.842000000001</v>
      </c>
      <c r="G23" s="3">
        <v>19.123000000000001</v>
      </c>
      <c r="H23" s="3">
        <v>17.253160000000001</v>
      </c>
      <c r="I23" s="3">
        <v>16.330839999999998</v>
      </c>
      <c r="J23" s="3">
        <v>15.89612</v>
      </c>
      <c r="K23" s="3">
        <v>15.507099999999999</v>
      </c>
      <c r="L23" s="3">
        <f t="shared" si="0"/>
        <v>1.8698399999999999</v>
      </c>
      <c r="M23" s="3">
        <f t="shared" si="1"/>
        <v>2.7921600000000026</v>
      </c>
      <c r="N23" s="3">
        <f t="shared" si="2"/>
        <v>3.2268800000000013</v>
      </c>
      <c r="O23" s="3">
        <f t="shared" si="3"/>
        <v>3.6159000000000017</v>
      </c>
      <c r="P23" s="3">
        <f t="shared" si="4"/>
        <v>0.92232000000000269</v>
      </c>
      <c r="Q23" s="3">
        <f t="shared" si="5"/>
        <v>1.3570400000000014</v>
      </c>
      <c r="R23" s="3">
        <f t="shared" si="6"/>
        <v>1.7460600000000017</v>
      </c>
      <c r="S23" s="3">
        <f t="shared" si="7"/>
        <v>0.43471999999999866</v>
      </c>
      <c r="T23" s="3">
        <f t="shared" si="8"/>
        <v>0.82373999999999903</v>
      </c>
      <c r="U23" s="3">
        <f t="shared" si="9"/>
        <v>0.38902000000000037</v>
      </c>
    </row>
    <row r="24" spans="1:21" x14ac:dyDescent="0.25">
      <c r="A24" s="3">
        <v>1.2376624731541299E+18</v>
      </c>
      <c r="B24" s="3">
        <v>236.19515000000001</v>
      </c>
      <c r="C24" s="3">
        <v>35.950268000000001</v>
      </c>
      <c r="D24" s="3">
        <v>6.2868919999999995E-2</v>
      </c>
      <c r="E24" s="3">
        <v>0.88725364995904443</v>
      </c>
      <c r="F24" s="3">
        <v>18860.675999999999</v>
      </c>
      <c r="G24" s="3">
        <v>18.499210000000001</v>
      </c>
      <c r="H24" s="3">
        <v>16.489100000000001</v>
      </c>
      <c r="I24" s="3">
        <v>15.60366</v>
      </c>
      <c r="J24" s="3">
        <v>15.18665</v>
      </c>
      <c r="K24" s="3">
        <v>14.8849</v>
      </c>
      <c r="L24" s="3">
        <f t="shared" si="0"/>
        <v>2.010110000000001</v>
      </c>
      <c r="M24" s="3">
        <f t="shared" si="1"/>
        <v>2.8955500000000018</v>
      </c>
      <c r="N24" s="3">
        <f t="shared" si="2"/>
        <v>3.3125600000000013</v>
      </c>
      <c r="O24" s="3">
        <f t="shared" si="3"/>
        <v>3.6143100000000015</v>
      </c>
      <c r="P24" s="3">
        <f t="shared" si="4"/>
        <v>0.88544000000000089</v>
      </c>
      <c r="Q24" s="3">
        <f t="shared" si="5"/>
        <v>1.3024500000000003</v>
      </c>
      <c r="R24" s="3">
        <f t="shared" si="6"/>
        <v>1.6042000000000005</v>
      </c>
      <c r="S24" s="3">
        <f t="shared" si="7"/>
        <v>0.41700999999999944</v>
      </c>
      <c r="T24" s="3">
        <f t="shared" si="8"/>
        <v>0.71875999999999962</v>
      </c>
      <c r="U24" s="3">
        <f t="shared" si="9"/>
        <v>0.30175000000000018</v>
      </c>
    </row>
    <row r="25" spans="1:21" x14ac:dyDescent="0.25">
      <c r="A25" s="3">
        <v>1.2376625032188301E+18</v>
      </c>
      <c r="B25" s="3">
        <v>236.24133</v>
      </c>
      <c r="C25" s="3">
        <v>36.188203000000001</v>
      </c>
      <c r="D25" s="3">
        <v>6.3321730000000007E-2</v>
      </c>
      <c r="E25" s="3">
        <v>0.42541627063118193</v>
      </c>
      <c r="F25" s="3">
        <v>18996.519</v>
      </c>
      <c r="G25" s="3">
        <v>19.823530000000002</v>
      </c>
      <c r="H25" s="3">
        <v>18.001200000000001</v>
      </c>
      <c r="I25" s="3">
        <v>17.155650000000001</v>
      </c>
      <c r="J25" s="3">
        <v>16.759</v>
      </c>
      <c r="K25" s="3">
        <v>16.469529999999999</v>
      </c>
      <c r="L25" s="3">
        <f t="shared" si="0"/>
        <v>1.8223300000000009</v>
      </c>
      <c r="M25" s="3">
        <f t="shared" si="1"/>
        <v>2.6678800000000003</v>
      </c>
      <c r="N25" s="3">
        <f t="shared" si="2"/>
        <v>3.0645300000000013</v>
      </c>
      <c r="O25" s="3">
        <f t="shared" si="3"/>
        <v>3.3540000000000028</v>
      </c>
      <c r="P25" s="3">
        <f t="shared" si="4"/>
        <v>0.84554999999999936</v>
      </c>
      <c r="Q25" s="3">
        <f t="shared" si="5"/>
        <v>1.2422000000000004</v>
      </c>
      <c r="R25" s="3">
        <f t="shared" si="6"/>
        <v>1.5316700000000019</v>
      </c>
      <c r="S25" s="3">
        <f t="shared" si="7"/>
        <v>0.39665000000000106</v>
      </c>
      <c r="T25" s="3">
        <f t="shared" si="8"/>
        <v>0.68612000000000251</v>
      </c>
      <c r="U25" s="3">
        <f t="shared" si="9"/>
        <v>0.28947000000000145</v>
      </c>
    </row>
    <row r="26" spans="1:21" x14ac:dyDescent="0.25">
      <c r="A26" s="3">
        <v>1.2376625032188301E+18</v>
      </c>
      <c r="B26" s="3">
        <v>236.23274000000001</v>
      </c>
      <c r="C26" s="3">
        <v>36.138508000000002</v>
      </c>
      <c r="D26" s="3">
        <v>6.3713649999999997E-2</v>
      </c>
      <c r="E26" s="3">
        <v>0.16704270716479927</v>
      </c>
      <c r="F26" s="3">
        <v>19114.094999999998</v>
      </c>
      <c r="G26" s="3">
        <v>19.450489999999999</v>
      </c>
      <c r="H26" s="3">
        <v>17.52702</v>
      </c>
      <c r="I26" s="3">
        <v>16.671469999999999</v>
      </c>
      <c r="J26" s="3">
        <v>16.286069999999999</v>
      </c>
      <c r="K26" s="3">
        <v>15.98277</v>
      </c>
      <c r="L26" s="3">
        <f t="shared" si="0"/>
        <v>1.9234699999999982</v>
      </c>
      <c r="M26" s="3">
        <f t="shared" si="1"/>
        <v>2.7790199999999992</v>
      </c>
      <c r="N26" s="3">
        <f t="shared" si="2"/>
        <v>3.1644199999999998</v>
      </c>
      <c r="O26" s="3">
        <f t="shared" si="3"/>
        <v>3.4677199999999981</v>
      </c>
      <c r="P26" s="3">
        <f t="shared" si="4"/>
        <v>0.85555000000000092</v>
      </c>
      <c r="Q26" s="3">
        <f t="shared" si="5"/>
        <v>1.2409500000000016</v>
      </c>
      <c r="R26" s="3">
        <f t="shared" si="6"/>
        <v>1.5442499999999999</v>
      </c>
      <c r="S26" s="3">
        <f t="shared" si="7"/>
        <v>0.38540000000000063</v>
      </c>
      <c r="T26" s="3">
        <f t="shared" si="8"/>
        <v>0.68869999999999898</v>
      </c>
      <c r="U26" s="3">
        <f t="shared" si="9"/>
        <v>0.30329999999999835</v>
      </c>
    </row>
    <row r="27" spans="1:21" x14ac:dyDescent="0.25">
      <c r="A27" s="3">
        <v>1.23766247369107E+18</v>
      </c>
      <c r="B27" s="3">
        <v>236.64888999999999</v>
      </c>
      <c r="C27" s="3">
        <v>36.163539999999998</v>
      </c>
      <c r="D27" s="3">
        <v>6.3729820000000006E-2</v>
      </c>
      <c r="E27" s="3">
        <v>1.7800894805544776</v>
      </c>
      <c r="F27" s="3">
        <v>19118.946000000004</v>
      </c>
      <c r="G27" s="3">
        <v>18.267520000000001</v>
      </c>
      <c r="H27" s="3">
        <v>17.248809999999999</v>
      </c>
      <c r="I27" s="3">
        <v>16.812239999999999</v>
      </c>
      <c r="J27" s="3">
        <v>16.49025</v>
      </c>
      <c r="K27" s="3">
        <v>16.296150000000001</v>
      </c>
      <c r="L27" s="3">
        <f t="shared" si="0"/>
        <v>1.0187100000000022</v>
      </c>
      <c r="M27" s="3">
        <f t="shared" si="1"/>
        <v>1.4552800000000019</v>
      </c>
      <c r="N27" s="3">
        <f t="shared" si="2"/>
        <v>1.7772700000000015</v>
      </c>
      <c r="O27" s="3">
        <f t="shared" si="3"/>
        <v>1.9713700000000003</v>
      </c>
      <c r="P27" s="3">
        <f t="shared" si="4"/>
        <v>0.43656999999999968</v>
      </c>
      <c r="Q27" s="3">
        <f t="shared" si="5"/>
        <v>0.75855999999999923</v>
      </c>
      <c r="R27" s="3">
        <f t="shared" si="6"/>
        <v>0.95265999999999806</v>
      </c>
      <c r="S27" s="3">
        <f t="shared" si="7"/>
        <v>0.32198999999999955</v>
      </c>
      <c r="T27" s="3">
        <f t="shared" si="8"/>
        <v>0.51608999999999838</v>
      </c>
      <c r="U27" s="3">
        <f t="shared" si="9"/>
        <v>0.19409999999999883</v>
      </c>
    </row>
    <row r="28" spans="1:21" x14ac:dyDescent="0.25">
      <c r="A28" s="3">
        <v>1.2376625032188301E+18</v>
      </c>
      <c r="B28" s="3">
        <v>236.09188</v>
      </c>
      <c r="C28" s="3">
        <v>36.105321000000004</v>
      </c>
      <c r="D28" s="3">
        <v>6.3836710000000005E-2</v>
      </c>
      <c r="E28" s="3">
        <v>0.67222844758922207</v>
      </c>
      <c r="F28" s="3">
        <v>19151.013000000003</v>
      </c>
      <c r="G28" s="3">
        <v>19.264279999999999</v>
      </c>
      <c r="H28" s="3">
        <v>17.364999999999998</v>
      </c>
      <c r="I28" s="3">
        <v>16.451029999999999</v>
      </c>
      <c r="J28" s="3">
        <v>16.02506</v>
      </c>
      <c r="K28" s="3">
        <v>15.69214</v>
      </c>
      <c r="L28" s="3">
        <f t="shared" si="0"/>
        <v>1.899280000000001</v>
      </c>
      <c r="M28" s="3">
        <f t="shared" si="1"/>
        <v>2.81325</v>
      </c>
      <c r="N28" s="3">
        <f t="shared" si="2"/>
        <v>3.2392199999999995</v>
      </c>
      <c r="O28" s="3">
        <f t="shared" si="3"/>
        <v>3.5721399999999992</v>
      </c>
      <c r="P28" s="3">
        <f t="shared" si="4"/>
        <v>0.91396999999999906</v>
      </c>
      <c r="Q28" s="3">
        <f t="shared" si="5"/>
        <v>1.3399399999999986</v>
      </c>
      <c r="R28" s="3">
        <f t="shared" si="6"/>
        <v>1.6728599999999982</v>
      </c>
      <c r="S28" s="3">
        <f t="shared" si="7"/>
        <v>0.42596999999999952</v>
      </c>
      <c r="T28" s="3">
        <f t="shared" si="8"/>
        <v>0.75888999999999918</v>
      </c>
      <c r="U28" s="3">
        <f t="shared" si="9"/>
        <v>0.33291999999999966</v>
      </c>
    </row>
    <row r="29" spans="1:21" x14ac:dyDescent="0.25">
      <c r="A29" s="3">
        <v>1.2376625032189701E+18</v>
      </c>
      <c r="B29" s="3">
        <v>236.44991999999999</v>
      </c>
      <c r="C29" s="3">
        <v>35.928752000000003</v>
      </c>
      <c r="D29" s="3">
        <v>6.3864340000000006E-2</v>
      </c>
      <c r="E29" s="3">
        <v>1.3203669375508782</v>
      </c>
      <c r="F29" s="3">
        <v>19159.302000000003</v>
      </c>
      <c r="G29" s="3">
        <v>20.22832</v>
      </c>
      <c r="H29" s="3">
        <v>18.624369999999999</v>
      </c>
      <c r="I29" s="3">
        <v>17.780909999999999</v>
      </c>
      <c r="J29" s="3">
        <v>17.395219999999998</v>
      </c>
      <c r="K29" s="3">
        <v>17.091090000000001</v>
      </c>
      <c r="L29" s="3">
        <f t="shared" si="0"/>
        <v>1.6039500000000011</v>
      </c>
      <c r="M29" s="3">
        <f t="shared" si="1"/>
        <v>2.4474100000000014</v>
      </c>
      <c r="N29" s="3">
        <f t="shared" si="2"/>
        <v>2.8331000000000017</v>
      </c>
      <c r="O29" s="3">
        <f t="shared" si="3"/>
        <v>3.1372299999999989</v>
      </c>
      <c r="P29" s="3">
        <f t="shared" si="4"/>
        <v>0.84346000000000032</v>
      </c>
      <c r="Q29" s="3">
        <f t="shared" si="5"/>
        <v>1.2291500000000006</v>
      </c>
      <c r="R29" s="3">
        <f t="shared" si="6"/>
        <v>1.5332799999999978</v>
      </c>
      <c r="S29" s="3">
        <f t="shared" si="7"/>
        <v>0.38569000000000031</v>
      </c>
      <c r="T29" s="3">
        <f t="shared" si="8"/>
        <v>0.68981999999999744</v>
      </c>
      <c r="U29" s="3">
        <f t="shared" si="9"/>
        <v>0.30412999999999712</v>
      </c>
    </row>
    <row r="30" spans="1:21" x14ac:dyDescent="0.25">
      <c r="A30" s="3">
        <v>1.2376625032187E+18</v>
      </c>
      <c r="B30" s="3">
        <v>235.8664</v>
      </c>
      <c r="C30" s="3">
        <v>36.370778000000001</v>
      </c>
      <c r="D30" s="3">
        <v>6.389388E-2</v>
      </c>
      <c r="E30" s="3">
        <v>2.1721595906559967</v>
      </c>
      <c r="F30" s="3">
        <v>19168.164000000001</v>
      </c>
      <c r="G30" s="3">
        <v>18.422699999999999</v>
      </c>
      <c r="H30" s="3">
        <v>16.413170000000001</v>
      </c>
      <c r="I30" s="3">
        <v>15.499610000000001</v>
      </c>
      <c r="J30" s="3">
        <v>15.05437</v>
      </c>
      <c r="K30" s="3">
        <v>14.745570000000001</v>
      </c>
      <c r="L30" s="3">
        <f t="shared" si="0"/>
        <v>2.009529999999998</v>
      </c>
      <c r="M30" s="3">
        <f t="shared" si="1"/>
        <v>2.9230899999999984</v>
      </c>
      <c r="N30" s="3">
        <f t="shared" si="2"/>
        <v>3.3683299999999985</v>
      </c>
      <c r="O30" s="3">
        <f t="shared" si="3"/>
        <v>3.6771299999999982</v>
      </c>
      <c r="P30" s="3">
        <f t="shared" si="4"/>
        <v>0.91356000000000037</v>
      </c>
      <c r="Q30" s="3">
        <f t="shared" si="5"/>
        <v>1.3588000000000005</v>
      </c>
      <c r="R30" s="3">
        <f t="shared" si="6"/>
        <v>1.6676000000000002</v>
      </c>
      <c r="S30" s="3">
        <f t="shared" si="7"/>
        <v>0.44524000000000008</v>
      </c>
      <c r="T30" s="3">
        <f t="shared" si="8"/>
        <v>0.75403999999999982</v>
      </c>
      <c r="U30" s="3">
        <f t="shared" si="9"/>
        <v>0.30879999999999974</v>
      </c>
    </row>
    <row r="31" spans="1:21" x14ac:dyDescent="0.25">
      <c r="A31" s="3">
        <v>1.2376625032188301E+18</v>
      </c>
      <c r="B31" s="3">
        <v>236.17264</v>
      </c>
      <c r="C31" s="3">
        <v>36.065449999999998</v>
      </c>
      <c r="D31" s="3">
        <v>6.3996040000000004E-2</v>
      </c>
      <c r="E31" s="3">
        <v>0.39837088446574259</v>
      </c>
      <c r="F31" s="3">
        <v>19198.812000000002</v>
      </c>
      <c r="G31" s="3">
        <v>18.595230000000001</v>
      </c>
      <c r="H31" s="3">
        <v>16.77487</v>
      </c>
      <c r="I31" s="3">
        <v>15.891769999999999</v>
      </c>
      <c r="J31" s="3">
        <v>15.47345</v>
      </c>
      <c r="K31" s="3">
        <v>15.173170000000001</v>
      </c>
      <c r="L31" s="3">
        <f t="shared" si="0"/>
        <v>1.8203600000000009</v>
      </c>
      <c r="M31" s="3">
        <f t="shared" si="1"/>
        <v>2.7034600000000015</v>
      </c>
      <c r="N31" s="3">
        <f t="shared" si="2"/>
        <v>3.1217800000000011</v>
      </c>
      <c r="O31" s="3">
        <f t="shared" si="3"/>
        <v>3.4220600000000001</v>
      </c>
      <c r="P31" s="3">
        <f t="shared" si="4"/>
        <v>0.88310000000000066</v>
      </c>
      <c r="Q31" s="3">
        <f t="shared" si="5"/>
        <v>1.3014200000000002</v>
      </c>
      <c r="R31" s="3">
        <f t="shared" si="6"/>
        <v>1.6016999999999992</v>
      </c>
      <c r="S31" s="3">
        <f t="shared" si="7"/>
        <v>0.41831999999999958</v>
      </c>
      <c r="T31" s="3">
        <f t="shared" si="8"/>
        <v>0.71859999999999857</v>
      </c>
      <c r="U31" s="3">
        <f t="shared" si="9"/>
        <v>0.30027999999999899</v>
      </c>
    </row>
    <row r="32" spans="1:21" x14ac:dyDescent="0.25">
      <c r="A32" s="3">
        <v>1.2376625032189E+18</v>
      </c>
      <c r="B32" s="3">
        <v>236.24023</v>
      </c>
      <c r="C32" s="3">
        <v>36.020007999999997</v>
      </c>
      <c r="D32" s="3">
        <v>6.4113870000000003E-2</v>
      </c>
      <c r="E32" s="3">
        <v>0.48337544186050574</v>
      </c>
      <c r="F32" s="3">
        <v>19234.161</v>
      </c>
      <c r="G32" s="3">
        <v>20.048179999999999</v>
      </c>
      <c r="H32" s="3">
        <v>18.246079999999999</v>
      </c>
      <c r="I32" s="3">
        <v>17.383050000000001</v>
      </c>
      <c r="J32" s="3">
        <v>16.98094</v>
      </c>
      <c r="K32" s="3">
        <v>16.683350000000001</v>
      </c>
      <c r="L32" s="3">
        <f t="shared" si="0"/>
        <v>1.8020999999999994</v>
      </c>
      <c r="M32" s="3">
        <f t="shared" si="1"/>
        <v>2.6651299999999978</v>
      </c>
      <c r="N32" s="3">
        <f t="shared" si="2"/>
        <v>3.0672399999999982</v>
      </c>
      <c r="O32" s="3">
        <f t="shared" si="3"/>
        <v>3.3648299999999978</v>
      </c>
      <c r="P32" s="3">
        <f t="shared" si="4"/>
        <v>0.86302999999999841</v>
      </c>
      <c r="Q32" s="3">
        <f t="shared" si="5"/>
        <v>1.2651399999999988</v>
      </c>
      <c r="R32" s="3">
        <f t="shared" si="6"/>
        <v>1.5627299999999984</v>
      </c>
      <c r="S32" s="3">
        <f t="shared" si="7"/>
        <v>0.40211000000000041</v>
      </c>
      <c r="T32" s="3">
        <f t="shared" si="8"/>
        <v>0.69969999999999999</v>
      </c>
      <c r="U32" s="3">
        <f t="shared" si="9"/>
        <v>0.29758999999999958</v>
      </c>
    </row>
    <row r="33" spans="1:21" x14ac:dyDescent="0.25">
      <c r="A33" s="3">
        <v>1.2376614659862001E+18</v>
      </c>
      <c r="B33" s="3">
        <v>236.06752</v>
      </c>
      <c r="C33" s="3">
        <v>35.897171999999998</v>
      </c>
      <c r="D33" s="3">
        <v>6.4131209999999994E-2</v>
      </c>
      <c r="E33" s="3">
        <v>1.3854294406421264</v>
      </c>
      <c r="F33" s="3">
        <v>19239.362999999998</v>
      </c>
      <c r="G33" s="3">
        <v>18.587409999999998</v>
      </c>
      <c r="H33" s="3">
        <v>16.761299999999999</v>
      </c>
      <c r="I33" s="3">
        <v>15.91431</v>
      </c>
      <c r="J33" s="3">
        <v>15.49804</v>
      </c>
      <c r="K33" s="3">
        <v>15.21358</v>
      </c>
      <c r="L33" s="3">
        <f t="shared" si="0"/>
        <v>1.8261099999999999</v>
      </c>
      <c r="M33" s="3">
        <f t="shared" si="1"/>
        <v>2.673099999999998</v>
      </c>
      <c r="N33" s="3">
        <f t="shared" si="2"/>
        <v>3.0893699999999988</v>
      </c>
      <c r="O33" s="3">
        <f t="shared" si="3"/>
        <v>3.3738299999999981</v>
      </c>
      <c r="P33" s="3">
        <f t="shared" si="4"/>
        <v>0.84698999999999813</v>
      </c>
      <c r="Q33" s="3">
        <f t="shared" si="5"/>
        <v>1.2632599999999989</v>
      </c>
      <c r="R33" s="3">
        <f t="shared" si="6"/>
        <v>1.5477199999999982</v>
      </c>
      <c r="S33" s="3">
        <f t="shared" si="7"/>
        <v>0.41627000000000081</v>
      </c>
      <c r="T33" s="3">
        <f t="shared" si="8"/>
        <v>0.70073000000000008</v>
      </c>
      <c r="U33" s="3">
        <f t="shared" si="9"/>
        <v>0.28445999999999927</v>
      </c>
    </row>
    <row r="34" spans="1:21" x14ac:dyDescent="0.25">
      <c r="A34" s="3">
        <v>1.2376625032188301E+18</v>
      </c>
      <c r="B34" s="3">
        <v>236.23929999999999</v>
      </c>
      <c r="C34" s="3">
        <v>36.117984999999997</v>
      </c>
      <c r="D34" s="3">
        <v>6.4249870000000001E-2</v>
      </c>
      <c r="E34" s="3">
        <v>5.4447298084073878E-2</v>
      </c>
      <c r="F34" s="3">
        <v>19274.960999999999</v>
      </c>
      <c r="G34" s="3">
        <v>21.678920000000002</v>
      </c>
      <c r="H34" s="3">
        <v>19.429849999999998</v>
      </c>
      <c r="I34" s="3">
        <v>18.51436</v>
      </c>
      <c r="J34" s="3">
        <v>18.0167</v>
      </c>
      <c r="K34" s="3">
        <v>17.71913</v>
      </c>
      <c r="L34" s="3">
        <f t="shared" si="0"/>
        <v>2.2490700000000032</v>
      </c>
      <c r="M34" s="3">
        <f t="shared" si="1"/>
        <v>3.1645600000000016</v>
      </c>
      <c r="N34" s="3">
        <f t="shared" si="2"/>
        <v>3.6622200000000014</v>
      </c>
      <c r="O34" s="3">
        <f t="shared" si="3"/>
        <v>3.9597900000000017</v>
      </c>
      <c r="P34" s="3">
        <f t="shared" si="4"/>
        <v>0.91548999999999836</v>
      </c>
      <c r="Q34" s="3">
        <f t="shared" si="5"/>
        <v>1.4131499999999981</v>
      </c>
      <c r="R34" s="3">
        <f t="shared" si="6"/>
        <v>1.7107199999999985</v>
      </c>
      <c r="S34" s="3">
        <f t="shared" si="7"/>
        <v>0.49765999999999977</v>
      </c>
      <c r="T34" s="3">
        <f t="shared" si="8"/>
        <v>0.7952300000000001</v>
      </c>
      <c r="U34" s="3">
        <f t="shared" si="9"/>
        <v>0.29757000000000033</v>
      </c>
    </row>
    <row r="35" spans="1:21" x14ac:dyDescent="0.25">
      <c r="A35" s="3">
        <v>1.23766250321903E+18</v>
      </c>
      <c r="B35" s="3">
        <v>236.62189000000001</v>
      </c>
      <c r="C35" s="3">
        <v>35.936266000000003</v>
      </c>
      <c r="D35" s="3">
        <v>6.4283400000000004E-2</v>
      </c>
      <c r="E35" s="3">
        <v>1.8882414371741467</v>
      </c>
      <c r="F35" s="3">
        <v>19285.02</v>
      </c>
      <c r="G35" s="3">
        <v>19.953980000000001</v>
      </c>
      <c r="H35" s="3">
        <v>17.977440000000001</v>
      </c>
      <c r="I35" s="3">
        <v>17.04777</v>
      </c>
      <c r="J35" s="3">
        <v>16.63157</v>
      </c>
      <c r="K35" s="3">
        <v>16.302040000000002</v>
      </c>
      <c r="L35" s="3">
        <f t="shared" si="0"/>
        <v>1.97654</v>
      </c>
      <c r="M35" s="3">
        <f t="shared" si="1"/>
        <v>2.9062100000000015</v>
      </c>
      <c r="N35" s="3">
        <f t="shared" si="2"/>
        <v>3.3224100000000014</v>
      </c>
      <c r="O35" s="3">
        <f t="shared" si="3"/>
        <v>3.6519399999999997</v>
      </c>
      <c r="P35" s="3">
        <f t="shared" si="4"/>
        <v>0.92967000000000155</v>
      </c>
      <c r="Q35" s="3">
        <f t="shared" si="5"/>
        <v>1.3458700000000015</v>
      </c>
      <c r="R35" s="3">
        <f t="shared" si="6"/>
        <v>1.6753999999999998</v>
      </c>
      <c r="S35" s="3">
        <f t="shared" si="7"/>
        <v>0.4161999999999999</v>
      </c>
      <c r="T35" s="3">
        <f t="shared" si="8"/>
        <v>0.74572999999999823</v>
      </c>
      <c r="U35" s="3">
        <f t="shared" si="9"/>
        <v>0.32952999999999832</v>
      </c>
    </row>
    <row r="36" spans="1:21" x14ac:dyDescent="0.25">
      <c r="A36" s="3">
        <v>1.2376625032188301E+18</v>
      </c>
      <c r="B36" s="3">
        <v>236.10839000000001</v>
      </c>
      <c r="C36" s="3">
        <v>36.062103999999998</v>
      </c>
      <c r="D36" s="3">
        <v>6.4395629999999995E-2</v>
      </c>
      <c r="E36" s="3">
        <v>0.65219400759343349</v>
      </c>
      <c r="F36" s="3">
        <v>19318.688999999998</v>
      </c>
      <c r="G36" s="3">
        <v>19.618110000000001</v>
      </c>
      <c r="H36" s="3">
        <v>17.685020000000002</v>
      </c>
      <c r="I36" s="3">
        <v>16.80545</v>
      </c>
      <c r="J36" s="3">
        <v>16.412659999999999</v>
      </c>
      <c r="K36" s="3">
        <v>16.114529999999998</v>
      </c>
      <c r="L36" s="3">
        <f t="shared" si="0"/>
        <v>1.93309</v>
      </c>
      <c r="M36" s="3">
        <f t="shared" si="1"/>
        <v>2.812660000000001</v>
      </c>
      <c r="N36" s="3">
        <f t="shared" si="2"/>
        <v>3.2054500000000026</v>
      </c>
      <c r="O36" s="3">
        <f t="shared" si="3"/>
        <v>3.503580000000003</v>
      </c>
      <c r="P36" s="3">
        <f t="shared" si="4"/>
        <v>0.87957000000000107</v>
      </c>
      <c r="Q36" s="3">
        <f t="shared" si="5"/>
        <v>1.2723600000000026</v>
      </c>
      <c r="R36" s="3">
        <f t="shared" si="6"/>
        <v>1.5704900000000031</v>
      </c>
      <c r="S36" s="3">
        <f t="shared" si="7"/>
        <v>0.39279000000000153</v>
      </c>
      <c r="T36" s="3">
        <f t="shared" si="8"/>
        <v>0.69092000000000198</v>
      </c>
      <c r="U36" s="3">
        <f t="shared" si="9"/>
        <v>0.29813000000000045</v>
      </c>
    </row>
    <row r="37" spans="1:21" x14ac:dyDescent="0.25">
      <c r="A37" s="3">
        <v>1.2376625037556401E+18</v>
      </c>
      <c r="B37" s="3">
        <v>236.36396999999999</v>
      </c>
      <c r="C37" s="3">
        <v>36.529536</v>
      </c>
      <c r="D37" s="3">
        <v>6.4439060000000006E-2</v>
      </c>
      <c r="E37" s="3">
        <v>2.3242920291904388</v>
      </c>
      <c r="F37" s="3">
        <v>19331.718000000001</v>
      </c>
      <c r="G37" s="3">
        <v>18.870999999999999</v>
      </c>
      <c r="H37" s="3">
        <v>17.05782</v>
      </c>
      <c r="I37" s="3">
        <v>16.16825</v>
      </c>
      <c r="J37" s="3">
        <v>15.709300000000001</v>
      </c>
      <c r="K37" s="3">
        <v>15.335129999999999</v>
      </c>
      <c r="L37" s="3">
        <f t="shared" si="0"/>
        <v>1.8131799999999991</v>
      </c>
      <c r="M37" s="3">
        <f t="shared" si="1"/>
        <v>2.7027499999999982</v>
      </c>
      <c r="N37" s="3">
        <f t="shared" si="2"/>
        <v>3.161699999999998</v>
      </c>
      <c r="O37" s="3">
        <f t="shared" si="3"/>
        <v>3.5358699999999992</v>
      </c>
      <c r="P37" s="3">
        <f t="shared" si="4"/>
        <v>0.88956999999999908</v>
      </c>
      <c r="Q37" s="3">
        <f t="shared" si="5"/>
        <v>1.3485199999999988</v>
      </c>
      <c r="R37" s="3">
        <f t="shared" si="6"/>
        <v>1.7226900000000001</v>
      </c>
      <c r="S37" s="3">
        <f t="shared" si="7"/>
        <v>0.45894999999999975</v>
      </c>
      <c r="T37" s="3">
        <f t="shared" si="8"/>
        <v>0.83312000000000097</v>
      </c>
      <c r="U37" s="3">
        <f t="shared" si="9"/>
        <v>0.37417000000000122</v>
      </c>
    </row>
    <row r="38" spans="1:21" x14ac:dyDescent="0.25">
      <c r="A38" s="3">
        <v>1.23766247369087E+18</v>
      </c>
      <c r="B38" s="3">
        <v>236.31164999999999</v>
      </c>
      <c r="C38" s="3">
        <v>36.406641999999998</v>
      </c>
      <c r="D38" s="3">
        <v>6.4482990000000004E-2</v>
      </c>
      <c r="E38" s="3">
        <v>1.6290051933057981</v>
      </c>
      <c r="F38" s="3">
        <v>19344.897000000001</v>
      </c>
      <c r="G38" s="3">
        <v>20.48743</v>
      </c>
      <c r="H38" s="3">
        <v>18.571459999999998</v>
      </c>
      <c r="I38" s="3">
        <v>17.724430000000002</v>
      </c>
      <c r="J38" s="3">
        <v>17.32535</v>
      </c>
      <c r="K38" s="3">
        <v>17.002369999999999</v>
      </c>
      <c r="L38" s="3">
        <f t="shared" si="0"/>
        <v>1.9159700000000015</v>
      </c>
      <c r="M38" s="3">
        <f t="shared" si="1"/>
        <v>2.7629999999999981</v>
      </c>
      <c r="N38" s="3">
        <f t="shared" si="2"/>
        <v>3.1620799999999996</v>
      </c>
      <c r="O38" s="3">
        <f t="shared" si="3"/>
        <v>3.4850600000000007</v>
      </c>
      <c r="P38" s="3">
        <f t="shared" si="4"/>
        <v>0.84702999999999662</v>
      </c>
      <c r="Q38" s="3">
        <f t="shared" si="5"/>
        <v>1.2461099999999981</v>
      </c>
      <c r="R38" s="3">
        <f t="shared" si="6"/>
        <v>1.5690899999999992</v>
      </c>
      <c r="S38" s="3">
        <f t="shared" si="7"/>
        <v>0.39908000000000143</v>
      </c>
      <c r="T38" s="3">
        <f t="shared" si="8"/>
        <v>0.72206000000000259</v>
      </c>
      <c r="U38" s="3">
        <f t="shared" si="9"/>
        <v>0.32298000000000116</v>
      </c>
    </row>
    <row r="39" spans="1:21" x14ac:dyDescent="0.25">
      <c r="A39" s="3">
        <v>1.2376625032186399E+18</v>
      </c>
      <c r="B39" s="3">
        <v>235.71006</v>
      </c>
      <c r="C39" s="3">
        <v>36.316696</v>
      </c>
      <c r="D39" s="3">
        <v>6.4746970000000001E-2</v>
      </c>
      <c r="E39" s="3">
        <v>2.5876049829123318</v>
      </c>
      <c r="F39" s="3">
        <v>19424.091</v>
      </c>
      <c r="G39" s="3">
        <v>19.019649999999999</v>
      </c>
      <c r="H39" s="3">
        <v>17.175909999999998</v>
      </c>
      <c r="I39" s="3">
        <v>16.344370000000001</v>
      </c>
      <c r="J39" s="3">
        <v>15.978529999999999</v>
      </c>
      <c r="K39" s="3">
        <v>15.720499999999999</v>
      </c>
      <c r="L39" s="3">
        <f t="shared" si="0"/>
        <v>1.8437400000000004</v>
      </c>
      <c r="M39" s="3">
        <f t="shared" si="1"/>
        <v>2.6752799999999972</v>
      </c>
      <c r="N39" s="3">
        <f t="shared" si="2"/>
        <v>3.0411199999999994</v>
      </c>
      <c r="O39" s="3">
        <f t="shared" si="3"/>
        <v>3.2991499999999991</v>
      </c>
      <c r="P39" s="3">
        <f t="shared" si="4"/>
        <v>0.83153999999999684</v>
      </c>
      <c r="Q39" s="3">
        <f t="shared" si="5"/>
        <v>1.197379999999999</v>
      </c>
      <c r="R39" s="3">
        <f t="shared" si="6"/>
        <v>1.4554099999999988</v>
      </c>
      <c r="S39" s="3">
        <f t="shared" si="7"/>
        <v>0.36584000000000216</v>
      </c>
      <c r="T39" s="3">
        <f t="shared" si="8"/>
        <v>0.62387000000000192</v>
      </c>
      <c r="U39" s="3">
        <f t="shared" si="9"/>
        <v>0.25802999999999976</v>
      </c>
    </row>
    <row r="40" spans="1:21" x14ac:dyDescent="0.25">
      <c r="A40" s="3">
        <v>1.2376623378635799E+18</v>
      </c>
      <c r="B40" s="3">
        <v>235.79899</v>
      </c>
      <c r="C40" s="3">
        <v>35.815162999999998</v>
      </c>
      <c r="D40" s="3">
        <v>6.4833169999999996E-2</v>
      </c>
      <c r="E40" s="3">
        <v>2.5168274693596042</v>
      </c>
      <c r="F40" s="3">
        <v>19449.950999999997</v>
      </c>
      <c r="G40" s="3">
        <v>19.14913</v>
      </c>
      <c r="H40" s="3">
        <v>18.107810000000001</v>
      </c>
      <c r="I40" s="3">
        <v>17.770980000000002</v>
      </c>
      <c r="J40" s="3">
        <v>17.50422</v>
      </c>
      <c r="K40" s="3">
        <v>17.38186</v>
      </c>
      <c r="L40" s="3">
        <f t="shared" si="0"/>
        <v>1.0413199999999989</v>
      </c>
      <c r="M40" s="3">
        <f t="shared" si="1"/>
        <v>1.378149999999998</v>
      </c>
      <c r="N40" s="3">
        <f t="shared" si="2"/>
        <v>1.6449099999999994</v>
      </c>
      <c r="O40" s="3">
        <f t="shared" si="3"/>
        <v>1.7672699999999999</v>
      </c>
      <c r="P40" s="3">
        <f t="shared" si="4"/>
        <v>0.33682999999999907</v>
      </c>
      <c r="Q40" s="3">
        <f t="shared" si="5"/>
        <v>0.60359000000000052</v>
      </c>
      <c r="R40" s="3">
        <f t="shared" si="6"/>
        <v>0.72595000000000098</v>
      </c>
      <c r="S40" s="3">
        <f t="shared" si="7"/>
        <v>0.26676000000000144</v>
      </c>
      <c r="T40" s="3">
        <f t="shared" si="8"/>
        <v>0.38912000000000191</v>
      </c>
      <c r="U40" s="3">
        <f t="shared" si="9"/>
        <v>0.12236000000000047</v>
      </c>
    </row>
    <row r="41" spans="1:21" x14ac:dyDescent="0.25">
      <c r="A41" s="3">
        <v>1.2376624731541299E+18</v>
      </c>
      <c r="B41" s="3">
        <v>236.24706</v>
      </c>
      <c r="C41" s="3">
        <v>35.929934000000003</v>
      </c>
      <c r="D41" s="3">
        <v>6.4855990000000002E-2</v>
      </c>
      <c r="E41" s="3">
        <v>0.96881887592606819</v>
      </c>
      <c r="F41" s="3">
        <v>19456.797000000002</v>
      </c>
      <c r="G41" s="3">
        <v>20.497669999999999</v>
      </c>
      <c r="H41" s="3">
        <v>18.44379</v>
      </c>
      <c r="I41" s="3">
        <v>17.51323</v>
      </c>
      <c r="J41" s="3">
        <v>17.142610000000001</v>
      </c>
      <c r="K41" s="3">
        <v>16.831240000000001</v>
      </c>
      <c r="L41" s="3">
        <f t="shared" si="0"/>
        <v>2.0538799999999995</v>
      </c>
      <c r="M41" s="3">
        <f t="shared" si="1"/>
        <v>2.9844399999999993</v>
      </c>
      <c r="N41" s="3">
        <f t="shared" si="2"/>
        <v>3.3550599999999982</v>
      </c>
      <c r="O41" s="3">
        <f t="shared" si="3"/>
        <v>3.6664299999999983</v>
      </c>
      <c r="P41" s="3">
        <f t="shared" si="4"/>
        <v>0.93055999999999983</v>
      </c>
      <c r="Q41" s="3">
        <f t="shared" si="5"/>
        <v>1.3011799999999987</v>
      </c>
      <c r="R41" s="3">
        <f t="shared" si="6"/>
        <v>1.6125499999999988</v>
      </c>
      <c r="S41" s="3">
        <f t="shared" si="7"/>
        <v>0.37061999999999884</v>
      </c>
      <c r="T41" s="3">
        <f t="shared" si="8"/>
        <v>0.68198999999999899</v>
      </c>
      <c r="U41" s="3">
        <f t="shared" si="9"/>
        <v>0.31137000000000015</v>
      </c>
    </row>
    <row r="42" spans="1:21" x14ac:dyDescent="0.25">
      <c r="A42" s="3">
        <v>1.23766247369087E+18</v>
      </c>
      <c r="B42" s="3">
        <v>236.20194000000001</v>
      </c>
      <c r="C42" s="3">
        <v>36.445641000000002</v>
      </c>
      <c r="D42" s="3">
        <v>6.4901249999999994E-2</v>
      </c>
      <c r="E42" s="3">
        <v>1.8242959523989275</v>
      </c>
      <c r="F42" s="3">
        <v>19470.374999999996</v>
      </c>
      <c r="G42" s="3">
        <v>19.896730000000002</v>
      </c>
      <c r="H42" s="3">
        <v>18.343589999999999</v>
      </c>
      <c r="I42" s="3">
        <v>17.561240000000002</v>
      </c>
      <c r="J42" s="3">
        <v>17.22167</v>
      </c>
      <c r="K42" s="3">
        <v>16.90681</v>
      </c>
      <c r="L42" s="3">
        <f t="shared" si="0"/>
        <v>1.5531400000000026</v>
      </c>
      <c r="M42" s="3">
        <f t="shared" si="1"/>
        <v>2.3354900000000001</v>
      </c>
      <c r="N42" s="3">
        <f t="shared" si="2"/>
        <v>2.675060000000002</v>
      </c>
      <c r="O42" s="3">
        <f t="shared" si="3"/>
        <v>2.9899200000000015</v>
      </c>
      <c r="P42" s="3">
        <f t="shared" si="4"/>
        <v>0.78234999999999744</v>
      </c>
      <c r="Q42" s="3">
        <f t="shared" si="5"/>
        <v>1.1219199999999994</v>
      </c>
      <c r="R42" s="3">
        <f t="shared" si="6"/>
        <v>1.4367799999999988</v>
      </c>
      <c r="S42" s="3">
        <f t="shared" si="7"/>
        <v>0.33957000000000193</v>
      </c>
      <c r="T42" s="3">
        <f t="shared" si="8"/>
        <v>0.6544300000000014</v>
      </c>
      <c r="U42" s="3">
        <f t="shared" si="9"/>
        <v>0.31485999999999947</v>
      </c>
    </row>
    <row r="43" spans="1:21" x14ac:dyDescent="0.25">
      <c r="A43" s="3">
        <v>1.2376625032186399E+18</v>
      </c>
      <c r="B43" s="3">
        <v>235.80139</v>
      </c>
      <c r="C43" s="3">
        <v>36.410372000000002</v>
      </c>
      <c r="D43" s="3">
        <v>6.4920919999999993E-2</v>
      </c>
      <c r="E43" s="3">
        <v>2.5258245697602493</v>
      </c>
      <c r="F43" s="3">
        <v>19476.275999999998</v>
      </c>
      <c r="G43" s="3">
        <v>18.398289999999999</v>
      </c>
      <c r="H43" s="3">
        <v>16.505569999999999</v>
      </c>
      <c r="I43" s="3">
        <v>15.606009999999999</v>
      </c>
      <c r="J43" s="3">
        <v>15.18305</v>
      </c>
      <c r="K43" s="3">
        <v>14.865550000000001</v>
      </c>
      <c r="L43" s="3">
        <f t="shared" si="0"/>
        <v>1.8927200000000006</v>
      </c>
      <c r="M43" s="3">
        <f t="shared" si="1"/>
        <v>2.7922799999999999</v>
      </c>
      <c r="N43" s="3">
        <f t="shared" si="2"/>
        <v>3.2152399999999997</v>
      </c>
      <c r="O43" s="3">
        <f t="shared" si="3"/>
        <v>3.5327399999999987</v>
      </c>
      <c r="P43" s="3">
        <f t="shared" si="4"/>
        <v>0.89955999999999925</v>
      </c>
      <c r="Q43" s="3">
        <f t="shared" si="5"/>
        <v>1.322519999999999</v>
      </c>
      <c r="R43" s="3">
        <f t="shared" si="6"/>
        <v>1.640019999999998</v>
      </c>
      <c r="S43" s="3">
        <f t="shared" si="7"/>
        <v>0.42295999999999978</v>
      </c>
      <c r="T43" s="3">
        <f t="shared" si="8"/>
        <v>0.74045999999999879</v>
      </c>
      <c r="U43" s="3">
        <f t="shared" si="9"/>
        <v>0.31749999999999901</v>
      </c>
    </row>
    <row r="44" spans="1:21" x14ac:dyDescent="0.25">
      <c r="A44" s="3">
        <v>1.2376625032187E+18</v>
      </c>
      <c r="B44" s="3">
        <v>235.94580999999999</v>
      </c>
      <c r="C44" s="3">
        <v>36.373638999999997</v>
      </c>
      <c r="D44" s="3">
        <v>6.4979609999999993E-2</v>
      </c>
      <c r="E44" s="3">
        <v>1.9337421602175662</v>
      </c>
      <c r="F44" s="3">
        <v>19493.882999999998</v>
      </c>
      <c r="G44" s="3">
        <v>20.068840000000002</v>
      </c>
      <c r="H44" s="3">
        <v>18.36157</v>
      </c>
      <c r="I44" s="3">
        <v>17.600809999999999</v>
      </c>
      <c r="J44" s="3">
        <v>17.241399999999999</v>
      </c>
      <c r="K44" s="3">
        <v>16.998819999999998</v>
      </c>
      <c r="L44" s="3">
        <f t="shared" si="0"/>
        <v>1.7072700000000012</v>
      </c>
      <c r="M44" s="3">
        <f t="shared" si="1"/>
        <v>2.4680300000000024</v>
      </c>
      <c r="N44" s="3">
        <f t="shared" si="2"/>
        <v>2.8274400000000028</v>
      </c>
      <c r="O44" s="3">
        <f t="shared" si="3"/>
        <v>3.0700200000000031</v>
      </c>
      <c r="P44" s="3">
        <f t="shared" si="4"/>
        <v>0.76076000000000121</v>
      </c>
      <c r="Q44" s="3">
        <f t="shared" si="5"/>
        <v>1.1201700000000017</v>
      </c>
      <c r="R44" s="3">
        <f t="shared" si="6"/>
        <v>1.3627500000000019</v>
      </c>
      <c r="S44" s="3">
        <f t="shared" si="7"/>
        <v>0.35941000000000045</v>
      </c>
      <c r="T44" s="3">
        <f t="shared" si="8"/>
        <v>0.60199000000000069</v>
      </c>
      <c r="U44" s="3">
        <f t="shared" si="9"/>
        <v>0.24258000000000024</v>
      </c>
    </row>
    <row r="45" spans="1:21" x14ac:dyDescent="0.25">
      <c r="A45" s="3">
        <v>1.2376625032188301E+18</v>
      </c>
      <c r="B45" s="3">
        <v>236.26456999999999</v>
      </c>
      <c r="C45" s="3">
        <v>36.167524</v>
      </c>
      <c r="D45" s="3">
        <v>6.4985280000000006E-2</v>
      </c>
      <c r="E45" s="3">
        <v>0.32364461576308784</v>
      </c>
      <c r="F45" s="3">
        <v>19495.584000000003</v>
      </c>
      <c r="G45" s="3">
        <v>18.285609999999998</v>
      </c>
      <c r="H45" s="3">
        <v>16.433730000000001</v>
      </c>
      <c r="I45" s="3">
        <v>15.54927</v>
      </c>
      <c r="J45" s="3">
        <v>15.14141</v>
      </c>
      <c r="K45" s="3">
        <v>14.829090000000001</v>
      </c>
      <c r="L45" s="3">
        <f t="shared" si="0"/>
        <v>1.8518799999999978</v>
      </c>
      <c r="M45" s="3">
        <f t="shared" si="1"/>
        <v>2.7363399999999984</v>
      </c>
      <c r="N45" s="3">
        <f t="shared" si="2"/>
        <v>3.1441999999999979</v>
      </c>
      <c r="O45" s="3">
        <f t="shared" si="3"/>
        <v>3.4565199999999976</v>
      </c>
      <c r="P45" s="3">
        <f t="shared" si="4"/>
        <v>0.88446000000000069</v>
      </c>
      <c r="Q45" s="3">
        <f t="shared" si="5"/>
        <v>1.2923200000000001</v>
      </c>
      <c r="R45" s="3">
        <f t="shared" si="6"/>
        <v>1.6046399999999998</v>
      </c>
      <c r="S45" s="3">
        <f t="shared" si="7"/>
        <v>0.40785999999999945</v>
      </c>
      <c r="T45" s="3">
        <f t="shared" si="8"/>
        <v>0.72017999999999915</v>
      </c>
      <c r="U45" s="3">
        <f t="shared" si="9"/>
        <v>0.31231999999999971</v>
      </c>
    </row>
    <row r="46" spans="1:21" x14ac:dyDescent="0.25">
      <c r="A46" s="3">
        <v>1.2376625032188301E+18</v>
      </c>
      <c r="B46" s="3">
        <v>236.26456999999999</v>
      </c>
      <c r="C46" s="3">
        <v>36.167524</v>
      </c>
      <c r="D46" s="3">
        <v>6.4999559999999998E-2</v>
      </c>
      <c r="E46" s="3">
        <v>0.32364461576308784</v>
      </c>
      <c r="F46" s="3">
        <v>19499.867999999999</v>
      </c>
      <c r="G46" s="3">
        <v>18.285609999999998</v>
      </c>
      <c r="H46" s="3">
        <v>16.433730000000001</v>
      </c>
      <c r="I46" s="3">
        <v>15.54927</v>
      </c>
      <c r="J46" s="3">
        <v>15.14141</v>
      </c>
      <c r="K46" s="3">
        <v>14.829090000000001</v>
      </c>
      <c r="L46" s="3">
        <f t="shared" si="0"/>
        <v>1.8518799999999978</v>
      </c>
      <c r="M46" s="3">
        <f t="shared" si="1"/>
        <v>2.7363399999999984</v>
      </c>
      <c r="N46" s="3">
        <f t="shared" si="2"/>
        <v>3.1441999999999979</v>
      </c>
      <c r="O46" s="3">
        <f t="shared" si="3"/>
        <v>3.4565199999999976</v>
      </c>
      <c r="P46" s="3">
        <f t="shared" si="4"/>
        <v>0.88446000000000069</v>
      </c>
      <c r="Q46" s="3">
        <f t="shared" si="5"/>
        <v>1.2923200000000001</v>
      </c>
      <c r="R46" s="3">
        <f t="shared" si="6"/>
        <v>1.6046399999999998</v>
      </c>
      <c r="S46" s="3">
        <f t="shared" si="7"/>
        <v>0.40785999999999945</v>
      </c>
      <c r="T46" s="3">
        <f t="shared" si="8"/>
        <v>0.72017999999999915</v>
      </c>
      <c r="U46" s="3">
        <f t="shared" si="9"/>
        <v>0.31231999999999971</v>
      </c>
    </row>
    <row r="47" spans="1:21" x14ac:dyDescent="0.25">
      <c r="A47" s="3">
        <v>1.2376625032187E+18</v>
      </c>
      <c r="B47" s="3">
        <v>235.80547000000001</v>
      </c>
      <c r="C47" s="3">
        <v>36.275041000000002</v>
      </c>
      <c r="D47" s="3">
        <v>6.5075030000000006E-2</v>
      </c>
      <c r="E47" s="3">
        <v>2.116403719994449</v>
      </c>
      <c r="F47" s="3">
        <v>19522.509000000002</v>
      </c>
      <c r="G47" s="3">
        <v>19.075240000000001</v>
      </c>
      <c r="H47" s="3">
        <v>17.101669999999999</v>
      </c>
      <c r="I47" s="3">
        <v>16.231390000000001</v>
      </c>
      <c r="J47" s="3">
        <v>15.828279999999999</v>
      </c>
      <c r="K47" s="3">
        <v>15.53898</v>
      </c>
      <c r="L47" s="3">
        <f t="shared" si="0"/>
        <v>1.9735700000000023</v>
      </c>
      <c r="M47" s="3">
        <f t="shared" si="1"/>
        <v>2.8438499999999998</v>
      </c>
      <c r="N47" s="3">
        <f t="shared" si="2"/>
        <v>3.2469600000000014</v>
      </c>
      <c r="O47" s="3">
        <f t="shared" si="3"/>
        <v>3.5362600000000004</v>
      </c>
      <c r="P47" s="3">
        <f t="shared" si="4"/>
        <v>0.8702799999999975</v>
      </c>
      <c r="Q47" s="3">
        <f t="shared" si="5"/>
        <v>1.2733899999999991</v>
      </c>
      <c r="R47" s="3">
        <f t="shared" si="6"/>
        <v>1.5626899999999981</v>
      </c>
      <c r="S47" s="3">
        <f t="shared" si="7"/>
        <v>0.40311000000000163</v>
      </c>
      <c r="T47" s="3">
        <f t="shared" si="8"/>
        <v>0.69241000000000064</v>
      </c>
      <c r="U47" s="3">
        <f t="shared" si="9"/>
        <v>0.289299999999999</v>
      </c>
    </row>
    <row r="48" spans="1:21" x14ac:dyDescent="0.25">
      <c r="A48" s="3">
        <v>1.2376625032188301E+18</v>
      </c>
      <c r="B48" s="3">
        <v>236.25417999999999</v>
      </c>
      <c r="C48" s="3">
        <v>36.106436000000002</v>
      </c>
      <c r="D48" s="3">
        <v>6.5155870000000005E-2</v>
      </c>
      <c r="E48" s="3">
        <v>3.9299087756555974E-2</v>
      </c>
      <c r="F48" s="3">
        <v>19546.761000000002</v>
      </c>
      <c r="G48" s="3">
        <v>19.42859</v>
      </c>
      <c r="H48" s="3">
        <v>17.42578</v>
      </c>
      <c r="I48" s="3">
        <v>16.539660000000001</v>
      </c>
      <c r="J48" s="3">
        <v>16.108319999999999</v>
      </c>
      <c r="K48" s="3">
        <v>15.82342</v>
      </c>
      <c r="L48" s="3">
        <f t="shared" si="0"/>
        <v>2.0028100000000002</v>
      </c>
      <c r="M48" s="3">
        <f t="shared" si="1"/>
        <v>2.8889299999999984</v>
      </c>
      <c r="N48" s="3">
        <f t="shared" si="2"/>
        <v>3.3202700000000007</v>
      </c>
      <c r="O48" s="3">
        <f t="shared" si="3"/>
        <v>3.6051699999999993</v>
      </c>
      <c r="P48" s="3">
        <f t="shared" si="4"/>
        <v>0.88611999999999824</v>
      </c>
      <c r="Q48" s="3">
        <f t="shared" si="5"/>
        <v>1.3174600000000005</v>
      </c>
      <c r="R48" s="3">
        <f t="shared" si="6"/>
        <v>1.6023599999999991</v>
      </c>
      <c r="S48" s="3">
        <f t="shared" si="7"/>
        <v>0.43134000000000228</v>
      </c>
      <c r="T48" s="3">
        <f t="shared" si="8"/>
        <v>0.71624000000000088</v>
      </c>
      <c r="U48" s="3">
        <f t="shared" si="9"/>
        <v>0.2848999999999986</v>
      </c>
    </row>
    <row r="49" spans="1:21" x14ac:dyDescent="0.25">
      <c r="A49" s="3">
        <v>1.2376625032186399E+18</v>
      </c>
      <c r="B49" s="3">
        <v>235.78666999999999</v>
      </c>
      <c r="C49" s="3">
        <v>36.463444000000003</v>
      </c>
      <c r="D49" s="3">
        <v>6.5224270000000001E-2</v>
      </c>
      <c r="E49" s="3">
        <v>2.764288980255472</v>
      </c>
      <c r="F49" s="3">
        <v>19567.280999999999</v>
      </c>
      <c r="G49" s="3">
        <v>19.74166</v>
      </c>
      <c r="H49" s="3">
        <v>17.942810000000001</v>
      </c>
      <c r="I49" s="3">
        <v>17.10585</v>
      </c>
      <c r="J49" s="3">
        <v>16.725370000000002</v>
      </c>
      <c r="K49" s="3">
        <v>16.453209999999999</v>
      </c>
      <c r="L49" s="3">
        <f t="shared" si="0"/>
        <v>1.7988499999999981</v>
      </c>
      <c r="M49" s="3">
        <f t="shared" si="1"/>
        <v>2.6358099999999993</v>
      </c>
      <c r="N49" s="3">
        <f t="shared" si="2"/>
        <v>3.0162899999999979</v>
      </c>
      <c r="O49" s="3">
        <f t="shared" si="3"/>
        <v>3.288450000000001</v>
      </c>
      <c r="P49" s="3">
        <f t="shared" si="4"/>
        <v>0.83696000000000126</v>
      </c>
      <c r="Q49" s="3">
        <f t="shared" si="5"/>
        <v>1.2174399999999999</v>
      </c>
      <c r="R49" s="3">
        <f t="shared" si="6"/>
        <v>1.4896000000000029</v>
      </c>
      <c r="S49" s="3">
        <f t="shared" si="7"/>
        <v>0.3804799999999986</v>
      </c>
      <c r="T49" s="3">
        <f t="shared" si="8"/>
        <v>0.65264000000000166</v>
      </c>
      <c r="U49" s="3">
        <f t="shared" si="9"/>
        <v>0.27216000000000307</v>
      </c>
    </row>
    <row r="50" spans="1:21" x14ac:dyDescent="0.25">
      <c r="A50" s="3">
        <v>1.2376625032186399E+18</v>
      </c>
      <c r="B50" s="3">
        <v>235.81009</v>
      </c>
      <c r="C50" s="3">
        <v>36.410902999999998</v>
      </c>
      <c r="D50" s="3">
        <v>6.5315159999999997E-2</v>
      </c>
      <c r="E50" s="3">
        <v>2.4988050869590781</v>
      </c>
      <c r="F50" s="3">
        <v>19594.547999999999</v>
      </c>
      <c r="G50" s="3">
        <v>19.87574</v>
      </c>
      <c r="H50" s="3">
        <v>17.938800000000001</v>
      </c>
      <c r="I50" s="3">
        <v>17.061119999999999</v>
      </c>
      <c r="J50" s="3">
        <v>16.646419999999999</v>
      </c>
      <c r="K50" s="3">
        <v>16.335419999999999</v>
      </c>
      <c r="L50" s="3">
        <f t="shared" si="0"/>
        <v>1.9369399999999999</v>
      </c>
      <c r="M50" s="3">
        <f t="shared" si="1"/>
        <v>2.8146200000000015</v>
      </c>
      <c r="N50" s="3">
        <f t="shared" si="2"/>
        <v>3.2293200000000013</v>
      </c>
      <c r="O50" s="3">
        <f t="shared" si="3"/>
        <v>3.5403200000000012</v>
      </c>
      <c r="P50" s="3">
        <f t="shared" si="4"/>
        <v>0.87768000000000157</v>
      </c>
      <c r="Q50" s="3">
        <f t="shared" si="5"/>
        <v>1.2923800000000014</v>
      </c>
      <c r="R50" s="3">
        <f t="shared" si="6"/>
        <v>1.6033800000000014</v>
      </c>
      <c r="S50" s="3">
        <f t="shared" si="7"/>
        <v>0.41469999999999985</v>
      </c>
      <c r="T50" s="3">
        <f t="shared" si="8"/>
        <v>0.72569999999999979</v>
      </c>
      <c r="U50" s="3">
        <f t="shared" si="9"/>
        <v>0.31099999999999994</v>
      </c>
    </row>
    <row r="51" spans="1:21" x14ac:dyDescent="0.25">
      <c r="A51" s="3">
        <v>1.23766247369074E+18</v>
      </c>
      <c r="B51" s="3">
        <v>235.81360000000001</v>
      </c>
      <c r="C51" s="3">
        <v>36.473101</v>
      </c>
      <c r="D51" s="3">
        <v>6.5316739999999998E-2</v>
      </c>
      <c r="E51" s="3">
        <v>2.7181387219509543</v>
      </c>
      <c r="F51" s="3">
        <v>19595.022000000001</v>
      </c>
      <c r="G51" s="3">
        <v>19.788419999999999</v>
      </c>
      <c r="H51" s="3">
        <v>17.999389999999998</v>
      </c>
      <c r="I51" s="3">
        <v>17.20926</v>
      </c>
      <c r="J51" s="3">
        <v>16.83014</v>
      </c>
      <c r="K51" s="3">
        <v>16.515160000000002</v>
      </c>
      <c r="L51" s="3">
        <f t="shared" si="0"/>
        <v>1.7890300000000003</v>
      </c>
      <c r="M51" s="3">
        <f t="shared" si="1"/>
        <v>2.5791599999999981</v>
      </c>
      <c r="N51" s="3">
        <f t="shared" si="2"/>
        <v>2.9582799999999985</v>
      </c>
      <c r="O51" s="3">
        <f t="shared" si="3"/>
        <v>3.2732599999999969</v>
      </c>
      <c r="P51" s="3">
        <f t="shared" si="4"/>
        <v>0.79012999999999778</v>
      </c>
      <c r="Q51" s="3">
        <f t="shared" si="5"/>
        <v>1.1692499999999981</v>
      </c>
      <c r="R51" s="3">
        <f t="shared" si="6"/>
        <v>1.4842299999999966</v>
      </c>
      <c r="S51" s="3">
        <f t="shared" si="7"/>
        <v>0.37912000000000035</v>
      </c>
      <c r="T51" s="3">
        <f t="shared" si="8"/>
        <v>0.69409999999999883</v>
      </c>
      <c r="U51" s="3">
        <f t="shared" si="9"/>
        <v>0.31497999999999848</v>
      </c>
    </row>
    <row r="52" spans="1:21" x14ac:dyDescent="0.25">
      <c r="A52" s="3">
        <v>1.2376625032187699E+18</v>
      </c>
      <c r="B52" s="3">
        <v>236.01967999999999</v>
      </c>
      <c r="C52" s="3">
        <v>36.125104999999998</v>
      </c>
      <c r="D52" s="3">
        <v>6.5348059999999999E-2</v>
      </c>
      <c r="E52" s="3">
        <v>0.99012406777551543</v>
      </c>
      <c r="F52" s="3">
        <v>19604.418000000001</v>
      </c>
      <c r="G52" s="3">
        <v>19.246259999999999</v>
      </c>
      <c r="H52" s="3">
        <v>17.287320000000001</v>
      </c>
      <c r="I52" s="3">
        <v>16.351400000000002</v>
      </c>
      <c r="J52" s="3">
        <v>15.91066</v>
      </c>
      <c r="K52" s="3">
        <v>15.56165</v>
      </c>
      <c r="L52" s="3">
        <f t="shared" si="0"/>
        <v>1.9589399999999983</v>
      </c>
      <c r="M52" s="3">
        <f t="shared" si="1"/>
        <v>2.8948599999999978</v>
      </c>
      <c r="N52" s="3">
        <f t="shared" si="2"/>
        <v>3.3355999999999995</v>
      </c>
      <c r="O52" s="3">
        <f t="shared" si="3"/>
        <v>3.6846099999999993</v>
      </c>
      <c r="P52" s="3">
        <f t="shared" si="4"/>
        <v>0.93591999999999942</v>
      </c>
      <c r="Q52" s="3">
        <f t="shared" si="5"/>
        <v>1.3766600000000011</v>
      </c>
      <c r="R52" s="3">
        <f t="shared" si="6"/>
        <v>1.7256700000000009</v>
      </c>
      <c r="S52" s="3">
        <f t="shared" si="7"/>
        <v>0.44074000000000169</v>
      </c>
      <c r="T52" s="3">
        <f t="shared" si="8"/>
        <v>0.78975000000000151</v>
      </c>
      <c r="U52" s="3">
        <f t="shared" si="9"/>
        <v>0.34900999999999982</v>
      </c>
    </row>
    <row r="53" spans="1:21" x14ac:dyDescent="0.25">
      <c r="A53" s="3">
        <v>1.2376624736910001E+18</v>
      </c>
      <c r="B53" s="3">
        <v>236.37001000000001</v>
      </c>
      <c r="C53" s="3">
        <v>36.133343000000004</v>
      </c>
      <c r="D53" s="3">
        <v>6.5348920000000005E-2</v>
      </c>
      <c r="E53" s="3">
        <v>0.55580856305996929</v>
      </c>
      <c r="F53" s="3">
        <v>19604.676000000003</v>
      </c>
      <c r="G53" s="3">
        <v>20.087160000000001</v>
      </c>
      <c r="H53" s="3">
        <v>18.31786</v>
      </c>
      <c r="I53" s="3">
        <v>17.471</v>
      </c>
      <c r="J53" s="3">
        <v>17.09365</v>
      </c>
      <c r="K53" s="3">
        <v>16.802019999999999</v>
      </c>
      <c r="L53" s="3">
        <f t="shared" si="0"/>
        <v>1.7693000000000012</v>
      </c>
      <c r="M53" s="3">
        <f t="shared" si="1"/>
        <v>2.6161600000000007</v>
      </c>
      <c r="N53" s="3">
        <f t="shared" si="2"/>
        <v>2.9935100000000006</v>
      </c>
      <c r="O53" s="3">
        <f t="shared" si="3"/>
        <v>3.2851400000000019</v>
      </c>
      <c r="P53" s="3">
        <f t="shared" si="4"/>
        <v>0.8468599999999995</v>
      </c>
      <c r="Q53" s="3">
        <f t="shared" si="5"/>
        <v>1.2242099999999994</v>
      </c>
      <c r="R53" s="3">
        <f t="shared" si="6"/>
        <v>1.5158400000000007</v>
      </c>
      <c r="S53" s="3">
        <f t="shared" si="7"/>
        <v>0.37734999999999985</v>
      </c>
      <c r="T53" s="3">
        <f t="shared" si="8"/>
        <v>0.66898000000000124</v>
      </c>
      <c r="U53" s="3">
        <f t="shared" si="9"/>
        <v>0.29163000000000139</v>
      </c>
    </row>
    <row r="54" spans="1:21" x14ac:dyDescent="0.25">
      <c r="A54" s="3">
        <v>1.23766250321903E+18</v>
      </c>
      <c r="B54" s="3">
        <v>236.63884999999999</v>
      </c>
      <c r="C54" s="3">
        <v>35.784723999999997</v>
      </c>
      <c r="D54" s="3">
        <v>6.5432879999999999E-2</v>
      </c>
      <c r="E54" s="3">
        <v>2.4529736856273168</v>
      </c>
      <c r="F54" s="3">
        <v>19629.864000000001</v>
      </c>
      <c r="G54" s="3">
        <v>18.380559999999999</v>
      </c>
      <c r="H54" s="3">
        <v>16.48376</v>
      </c>
      <c r="I54" s="3">
        <v>15.6233</v>
      </c>
      <c r="J54" s="3">
        <v>15.218500000000001</v>
      </c>
      <c r="K54" s="3">
        <v>14.90799</v>
      </c>
      <c r="L54" s="3">
        <f t="shared" si="0"/>
        <v>1.8967999999999989</v>
      </c>
      <c r="M54" s="3">
        <f t="shared" si="1"/>
        <v>2.7572599999999987</v>
      </c>
      <c r="N54" s="3">
        <f t="shared" si="2"/>
        <v>3.1620599999999985</v>
      </c>
      <c r="O54" s="3">
        <f t="shared" si="3"/>
        <v>3.4725699999999993</v>
      </c>
      <c r="P54" s="3">
        <f t="shared" si="4"/>
        <v>0.86045999999999978</v>
      </c>
      <c r="Q54" s="3">
        <f t="shared" si="5"/>
        <v>1.2652599999999996</v>
      </c>
      <c r="R54" s="3">
        <f t="shared" si="6"/>
        <v>1.5757700000000003</v>
      </c>
      <c r="S54" s="3">
        <f t="shared" si="7"/>
        <v>0.40479999999999983</v>
      </c>
      <c r="T54" s="3">
        <f t="shared" si="8"/>
        <v>0.71531000000000056</v>
      </c>
      <c r="U54" s="3">
        <f t="shared" si="9"/>
        <v>0.31051000000000073</v>
      </c>
    </row>
    <row r="55" spans="1:21" x14ac:dyDescent="0.25">
      <c r="A55" s="3">
        <v>1.2376625032188301E+18</v>
      </c>
      <c r="B55" s="3">
        <v>236.23173</v>
      </c>
      <c r="C55" s="3">
        <v>36.092804000000001</v>
      </c>
      <c r="D55" s="3">
        <v>6.5570669999999998E-2</v>
      </c>
      <c r="E55" s="3">
        <v>0.10926823880486437</v>
      </c>
      <c r="F55" s="3">
        <v>19671.201000000001</v>
      </c>
      <c r="G55" s="3">
        <v>20.38025</v>
      </c>
      <c r="H55" s="3">
        <v>18.497299999999999</v>
      </c>
      <c r="I55" s="3">
        <v>17.62096</v>
      </c>
      <c r="J55" s="3">
        <v>17.178789999999999</v>
      </c>
      <c r="K55" s="3">
        <v>16.85689</v>
      </c>
      <c r="L55" s="3">
        <f t="shared" si="0"/>
        <v>1.882950000000001</v>
      </c>
      <c r="M55" s="3">
        <f t="shared" si="1"/>
        <v>2.75929</v>
      </c>
      <c r="N55" s="3">
        <f t="shared" si="2"/>
        <v>3.2014600000000009</v>
      </c>
      <c r="O55" s="3">
        <f t="shared" si="3"/>
        <v>3.5233600000000003</v>
      </c>
      <c r="P55" s="3">
        <f t="shared" si="4"/>
        <v>0.87633999999999901</v>
      </c>
      <c r="Q55" s="3">
        <f t="shared" si="5"/>
        <v>1.3185099999999998</v>
      </c>
      <c r="R55" s="3">
        <f t="shared" si="6"/>
        <v>1.6404099999999993</v>
      </c>
      <c r="S55" s="3">
        <f t="shared" si="7"/>
        <v>0.44217000000000084</v>
      </c>
      <c r="T55" s="3">
        <f t="shared" si="8"/>
        <v>0.76407000000000025</v>
      </c>
      <c r="U55" s="3">
        <f t="shared" si="9"/>
        <v>0.32189999999999941</v>
      </c>
    </row>
    <row r="56" spans="1:21" x14ac:dyDescent="0.25">
      <c r="A56" s="3">
        <v>1.2376625032188301E+18</v>
      </c>
      <c r="B56" s="3">
        <v>236.15736000000001</v>
      </c>
      <c r="C56" s="3">
        <v>36.030281000000002</v>
      </c>
      <c r="D56" s="3">
        <v>6.5647179999999999E-2</v>
      </c>
      <c r="E56" s="3">
        <v>0.57619427113181465</v>
      </c>
      <c r="F56" s="3">
        <v>19694.153999999999</v>
      </c>
      <c r="G56" s="3">
        <v>19.956579999999999</v>
      </c>
      <c r="H56" s="3">
        <v>17.836590000000001</v>
      </c>
      <c r="I56" s="3">
        <v>16.967130000000001</v>
      </c>
      <c r="J56" s="3">
        <v>16.565159999999999</v>
      </c>
      <c r="K56" s="3">
        <v>16.28302</v>
      </c>
      <c r="L56" s="3">
        <f t="shared" si="0"/>
        <v>2.1199899999999978</v>
      </c>
      <c r="M56" s="3">
        <f t="shared" si="1"/>
        <v>2.9894499999999979</v>
      </c>
      <c r="N56" s="3">
        <f t="shared" si="2"/>
        <v>3.3914200000000001</v>
      </c>
      <c r="O56" s="3">
        <f t="shared" si="3"/>
        <v>3.6735599999999984</v>
      </c>
      <c r="P56" s="3">
        <f t="shared" si="4"/>
        <v>0.86946000000000012</v>
      </c>
      <c r="Q56" s="3">
        <f t="shared" si="5"/>
        <v>1.2714300000000023</v>
      </c>
      <c r="R56" s="3">
        <f t="shared" si="6"/>
        <v>1.5535700000000006</v>
      </c>
      <c r="S56" s="3">
        <f t="shared" si="7"/>
        <v>0.40197000000000216</v>
      </c>
      <c r="T56" s="3">
        <f t="shared" si="8"/>
        <v>0.68411000000000044</v>
      </c>
      <c r="U56" s="3">
        <f t="shared" si="9"/>
        <v>0.28213999999999828</v>
      </c>
    </row>
    <row r="57" spans="1:21" x14ac:dyDescent="0.25">
      <c r="A57" s="3">
        <v>1.2376625032188301E+18</v>
      </c>
      <c r="B57" s="3">
        <v>236.26403999999999</v>
      </c>
      <c r="C57" s="3">
        <v>36.182251999999998</v>
      </c>
      <c r="D57" s="3">
        <v>6.5654039999999997E-2</v>
      </c>
      <c r="E57" s="3">
        <v>0.40062530347012143</v>
      </c>
      <c r="F57" s="3">
        <v>19696.212</v>
      </c>
      <c r="G57" s="3">
        <v>18.816669999999998</v>
      </c>
      <c r="H57" s="3">
        <v>16.910620000000002</v>
      </c>
      <c r="I57" s="3">
        <v>15.97756</v>
      </c>
      <c r="J57" s="3">
        <v>15.528040000000001</v>
      </c>
      <c r="K57" s="3">
        <v>15.17501</v>
      </c>
      <c r="L57" s="3">
        <f t="shared" si="0"/>
        <v>1.9060499999999969</v>
      </c>
      <c r="M57" s="3">
        <f t="shared" si="1"/>
        <v>2.839109999999998</v>
      </c>
      <c r="N57" s="3">
        <f t="shared" si="2"/>
        <v>3.2886299999999977</v>
      </c>
      <c r="O57" s="3">
        <f t="shared" si="3"/>
        <v>3.6416599999999981</v>
      </c>
      <c r="P57" s="3">
        <f t="shared" si="4"/>
        <v>0.93306000000000111</v>
      </c>
      <c r="Q57" s="3">
        <f t="shared" si="5"/>
        <v>1.3825800000000008</v>
      </c>
      <c r="R57" s="3">
        <f t="shared" si="6"/>
        <v>1.7356100000000012</v>
      </c>
      <c r="S57" s="3">
        <f t="shared" si="7"/>
        <v>0.4495199999999997</v>
      </c>
      <c r="T57" s="3">
        <f t="shared" si="8"/>
        <v>0.8025500000000001</v>
      </c>
      <c r="U57" s="3">
        <f t="shared" si="9"/>
        <v>0.3530300000000004</v>
      </c>
    </row>
    <row r="58" spans="1:21" x14ac:dyDescent="0.25">
      <c r="A58" s="3">
        <v>1.2376625032189E+18</v>
      </c>
      <c r="B58" s="3">
        <v>236.21476999999999</v>
      </c>
      <c r="C58" s="3">
        <v>36.019869999999997</v>
      </c>
      <c r="D58" s="3">
        <v>6.5661650000000002E-2</v>
      </c>
      <c r="E58" s="3">
        <v>0.50227270891968478</v>
      </c>
      <c r="F58" s="3">
        <v>19698.494999999999</v>
      </c>
      <c r="G58" s="3">
        <v>18.940110000000001</v>
      </c>
      <c r="H58" s="3">
        <v>17.30068</v>
      </c>
      <c r="I58" s="3">
        <v>16.468830000000001</v>
      </c>
      <c r="J58" s="3">
        <v>16.073540000000001</v>
      </c>
      <c r="K58" s="3">
        <v>15.783759999999999</v>
      </c>
      <c r="L58" s="3">
        <f t="shared" si="0"/>
        <v>1.6394300000000008</v>
      </c>
      <c r="M58" s="3">
        <f t="shared" si="1"/>
        <v>2.4712800000000001</v>
      </c>
      <c r="N58" s="3">
        <f t="shared" si="2"/>
        <v>2.8665699999999994</v>
      </c>
      <c r="O58" s="3">
        <f t="shared" si="3"/>
        <v>3.1563500000000015</v>
      </c>
      <c r="P58" s="3">
        <f t="shared" si="4"/>
        <v>0.83184999999999931</v>
      </c>
      <c r="Q58" s="3">
        <f t="shared" si="5"/>
        <v>1.2271399999999986</v>
      </c>
      <c r="R58" s="3">
        <f t="shared" si="6"/>
        <v>1.5169200000000007</v>
      </c>
      <c r="S58" s="3">
        <f t="shared" si="7"/>
        <v>0.39528999999999925</v>
      </c>
      <c r="T58" s="3">
        <f t="shared" si="8"/>
        <v>0.6850700000000014</v>
      </c>
      <c r="U58" s="3">
        <f t="shared" si="9"/>
        <v>0.28978000000000215</v>
      </c>
    </row>
    <row r="59" spans="1:21" x14ac:dyDescent="0.25">
      <c r="A59" s="3">
        <v>1.2376624731539999E+18</v>
      </c>
      <c r="B59" s="3">
        <v>235.99902</v>
      </c>
      <c r="C59" s="3">
        <v>36.086818000000001</v>
      </c>
      <c r="D59" s="3">
        <v>6.5674079999999996E-2</v>
      </c>
      <c r="E59" s="3">
        <v>1.0837548696002517</v>
      </c>
      <c r="F59" s="3">
        <v>19702.223999999998</v>
      </c>
      <c r="G59" s="3">
        <v>20.095220000000001</v>
      </c>
      <c r="H59" s="3">
        <v>18.346769999999999</v>
      </c>
      <c r="I59" s="3">
        <v>17.454809999999998</v>
      </c>
      <c r="J59" s="3">
        <v>17.083110000000001</v>
      </c>
      <c r="K59" s="3">
        <v>16.757670000000001</v>
      </c>
      <c r="L59" s="3">
        <f t="shared" si="0"/>
        <v>1.7484500000000018</v>
      </c>
      <c r="M59" s="3">
        <f t="shared" si="1"/>
        <v>2.6404100000000028</v>
      </c>
      <c r="N59" s="3">
        <f t="shared" si="2"/>
        <v>3.0121099999999998</v>
      </c>
      <c r="O59" s="3">
        <f t="shared" si="3"/>
        <v>3.3375500000000002</v>
      </c>
      <c r="P59" s="3">
        <f t="shared" si="4"/>
        <v>0.89196000000000097</v>
      </c>
      <c r="Q59" s="3">
        <f t="shared" si="5"/>
        <v>1.263659999999998</v>
      </c>
      <c r="R59" s="3">
        <f t="shared" si="6"/>
        <v>1.5890999999999984</v>
      </c>
      <c r="S59" s="3">
        <f t="shared" si="7"/>
        <v>0.37169999999999703</v>
      </c>
      <c r="T59" s="3">
        <f t="shared" si="8"/>
        <v>0.69713999999999743</v>
      </c>
      <c r="U59" s="3">
        <f t="shared" si="9"/>
        <v>0.3254400000000004</v>
      </c>
    </row>
    <row r="60" spans="1:21" x14ac:dyDescent="0.25">
      <c r="A60" s="3">
        <v>1.2376625032188301E+18</v>
      </c>
      <c r="B60" s="3">
        <v>236.27367000000001</v>
      </c>
      <c r="C60" s="3">
        <v>36.115484000000002</v>
      </c>
      <c r="D60" s="3">
        <v>6.5750260000000005E-2</v>
      </c>
      <c r="E60" s="3">
        <v>0.12501757254691803</v>
      </c>
      <c r="F60" s="3">
        <v>19725.078000000001</v>
      </c>
      <c r="G60" s="3">
        <v>19.744509999999998</v>
      </c>
      <c r="H60" s="3">
        <v>17.892320000000002</v>
      </c>
      <c r="I60" s="3">
        <v>17.02093</v>
      </c>
      <c r="J60" s="3">
        <v>16.582439999999998</v>
      </c>
      <c r="K60" s="3">
        <v>16.28199</v>
      </c>
      <c r="L60" s="3">
        <f t="shared" si="0"/>
        <v>1.8521899999999967</v>
      </c>
      <c r="M60" s="3">
        <f t="shared" si="1"/>
        <v>2.7235799999999983</v>
      </c>
      <c r="N60" s="3">
        <f t="shared" si="2"/>
        <v>3.1620699999999999</v>
      </c>
      <c r="O60" s="3">
        <f t="shared" si="3"/>
        <v>3.4625199999999978</v>
      </c>
      <c r="P60" s="3">
        <f t="shared" si="4"/>
        <v>0.87139000000000166</v>
      </c>
      <c r="Q60" s="3">
        <f t="shared" si="5"/>
        <v>1.3098800000000033</v>
      </c>
      <c r="R60" s="3">
        <f t="shared" si="6"/>
        <v>1.6103300000000011</v>
      </c>
      <c r="S60" s="3">
        <f t="shared" si="7"/>
        <v>0.4384900000000016</v>
      </c>
      <c r="T60" s="3">
        <f t="shared" si="8"/>
        <v>0.73893999999999949</v>
      </c>
      <c r="U60" s="3">
        <f t="shared" si="9"/>
        <v>0.30044999999999789</v>
      </c>
    </row>
    <row r="61" spans="1:21" x14ac:dyDescent="0.25">
      <c r="A61" s="3">
        <v>1.2376625032188301E+18</v>
      </c>
      <c r="B61" s="3">
        <v>236.05607000000001</v>
      </c>
      <c r="C61" s="3">
        <v>36.111181999999999</v>
      </c>
      <c r="D61" s="3">
        <v>6.5796610000000005E-2</v>
      </c>
      <c r="E61" s="3">
        <v>0.82800640368256817</v>
      </c>
      <c r="F61" s="3">
        <v>19738.983</v>
      </c>
      <c r="G61" s="3">
        <v>18.766639999999999</v>
      </c>
      <c r="H61" s="3">
        <v>16.894480000000001</v>
      </c>
      <c r="I61" s="3">
        <v>16.028310000000001</v>
      </c>
      <c r="J61" s="3">
        <v>15.616020000000001</v>
      </c>
      <c r="K61" s="3">
        <v>15.29453</v>
      </c>
      <c r="L61" s="3">
        <f t="shared" si="0"/>
        <v>1.8721599999999974</v>
      </c>
      <c r="M61" s="3">
        <f t="shared" si="1"/>
        <v>2.7383299999999977</v>
      </c>
      <c r="N61" s="3">
        <f t="shared" si="2"/>
        <v>3.1506199999999982</v>
      </c>
      <c r="O61" s="3">
        <f t="shared" si="3"/>
        <v>3.4721099999999989</v>
      </c>
      <c r="P61" s="3">
        <f t="shared" si="4"/>
        <v>0.86617000000000033</v>
      </c>
      <c r="Q61" s="3">
        <f t="shared" si="5"/>
        <v>1.2784600000000008</v>
      </c>
      <c r="R61" s="3">
        <f t="shared" si="6"/>
        <v>1.5999500000000015</v>
      </c>
      <c r="S61" s="3">
        <f t="shared" si="7"/>
        <v>0.41229000000000049</v>
      </c>
      <c r="T61" s="3">
        <f t="shared" si="8"/>
        <v>0.73378000000000121</v>
      </c>
      <c r="U61" s="3">
        <f t="shared" si="9"/>
        <v>0.32149000000000072</v>
      </c>
    </row>
    <row r="62" spans="1:21" x14ac:dyDescent="0.25">
      <c r="A62" s="3">
        <v>1.2376625032189E+18</v>
      </c>
      <c r="B62" s="3">
        <v>236.24889999999999</v>
      </c>
      <c r="C62" s="3">
        <v>35.988132999999998</v>
      </c>
      <c r="D62" s="3">
        <v>6.5869510000000006E-2</v>
      </c>
      <c r="E62" s="3">
        <v>0.65486079174816869</v>
      </c>
      <c r="F62" s="3">
        <v>19760.853000000003</v>
      </c>
      <c r="G62" s="3">
        <v>19.97101</v>
      </c>
      <c r="H62" s="3">
        <v>18.080089999999998</v>
      </c>
      <c r="I62" s="3">
        <v>17.18178</v>
      </c>
      <c r="J62" s="3">
        <v>16.7638</v>
      </c>
      <c r="K62" s="3">
        <v>16.403880000000001</v>
      </c>
      <c r="L62" s="3">
        <f t="shared" si="0"/>
        <v>1.8909200000000013</v>
      </c>
      <c r="M62" s="3">
        <f t="shared" si="1"/>
        <v>2.7892299999999999</v>
      </c>
      <c r="N62" s="3">
        <f t="shared" si="2"/>
        <v>3.2072099999999999</v>
      </c>
      <c r="O62" s="3">
        <f t="shared" si="3"/>
        <v>3.5671299999999988</v>
      </c>
      <c r="P62" s="3">
        <f t="shared" si="4"/>
        <v>0.89830999999999861</v>
      </c>
      <c r="Q62" s="3">
        <f t="shared" si="5"/>
        <v>1.3162899999999986</v>
      </c>
      <c r="R62" s="3">
        <f t="shared" si="6"/>
        <v>1.6762099999999975</v>
      </c>
      <c r="S62" s="3">
        <f t="shared" si="7"/>
        <v>0.41798000000000002</v>
      </c>
      <c r="T62" s="3">
        <f t="shared" si="8"/>
        <v>0.77789999999999893</v>
      </c>
      <c r="U62" s="3">
        <f t="shared" si="9"/>
        <v>0.35991999999999891</v>
      </c>
    </row>
    <row r="63" spans="1:21" x14ac:dyDescent="0.25">
      <c r="A63" s="3">
        <v>1.2376625032189701E+18</v>
      </c>
      <c r="B63" s="3">
        <v>236.45294999999999</v>
      </c>
      <c r="C63" s="3">
        <v>35.954416000000002</v>
      </c>
      <c r="D63" s="3">
        <v>6.5956790000000001E-2</v>
      </c>
      <c r="E63" s="3">
        <v>1.2312122679418309</v>
      </c>
      <c r="F63" s="3">
        <v>19787.037</v>
      </c>
      <c r="G63" s="3">
        <v>19.50337</v>
      </c>
      <c r="H63" s="3">
        <v>17.582419999999999</v>
      </c>
      <c r="I63" s="3">
        <v>16.671600000000002</v>
      </c>
      <c r="J63" s="3">
        <v>16.244389999999999</v>
      </c>
      <c r="K63" s="3">
        <v>15.8995</v>
      </c>
      <c r="L63" s="3">
        <f t="shared" si="0"/>
        <v>1.9209500000000013</v>
      </c>
      <c r="M63" s="3">
        <f t="shared" si="1"/>
        <v>2.8317699999999988</v>
      </c>
      <c r="N63" s="3">
        <f t="shared" si="2"/>
        <v>3.2589800000000011</v>
      </c>
      <c r="O63" s="3">
        <f t="shared" si="3"/>
        <v>3.6038700000000006</v>
      </c>
      <c r="P63" s="3">
        <f t="shared" si="4"/>
        <v>0.91081999999999752</v>
      </c>
      <c r="Q63" s="3">
        <f t="shared" si="5"/>
        <v>1.3380299999999998</v>
      </c>
      <c r="R63" s="3">
        <f t="shared" si="6"/>
        <v>1.6829199999999993</v>
      </c>
      <c r="S63" s="3">
        <f t="shared" si="7"/>
        <v>0.42721000000000231</v>
      </c>
      <c r="T63" s="3">
        <f t="shared" si="8"/>
        <v>0.77210000000000178</v>
      </c>
      <c r="U63" s="3">
        <f t="shared" si="9"/>
        <v>0.34488999999999947</v>
      </c>
    </row>
    <row r="64" spans="1:21" x14ac:dyDescent="0.25">
      <c r="A64" s="3">
        <v>1.2376625032187E+18</v>
      </c>
      <c r="B64" s="3">
        <v>235.78942000000001</v>
      </c>
      <c r="C64" s="3">
        <v>36.296126999999998</v>
      </c>
      <c r="D64" s="3">
        <v>6.6005069999999999E-2</v>
      </c>
      <c r="E64" s="3">
        <v>2.2287939765540172</v>
      </c>
      <c r="F64" s="3">
        <v>19801.521000000001</v>
      </c>
      <c r="G64" s="3">
        <v>20.10482</v>
      </c>
      <c r="H64" s="3">
        <v>18.336169999999999</v>
      </c>
      <c r="I64" s="3">
        <v>17.53866</v>
      </c>
      <c r="J64" s="3">
        <v>17.180219999999998</v>
      </c>
      <c r="K64" s="3">
        <v>16.92257</v>
      </c>
      <c r="L64" s="3">
        <f t="shared" si="0"/>
        <v>1.7686500000000009</v>
      </c>
      <c r="M64" s="3">
        <f t="shared" si="1"/>
        <v>2.56616</v>
      </c>
      <c r="N64" s="3">
        <f t="shared" si="2"/>
        <v>2.9246000000000016</v>
      </c>
      <c r="O64" s="3">
        <f t="shared" si="3"/>
        <v>3.1822499999999998</v>
      </c>
      <c r="P64" s="3">
        <f t="shared" si="4"/>
        <v>0.79750999999999905</v>
      </c>
      <c r="Q64" s="3">
        <f t="shared" si="5"/>
        <v>1.1559500000000007</v>
      </c>
      <c r="R64" s="3">
        <f t="shared" si="6"/>
        <v>1.4135999999999989</v>
      </c>
      <c r="S64" s="3">
        <f t="shared" si="7"/>
        <v>0.35844000000000165</v>
      </c>
      <c r="T64" s="3">
        <f t="shared" si="8"/>
        <v>0.6160899999999998</v>
      </c>
      <c r="U64" s="3">
        <f t="shared" si="9"/>
        <v>0.25764999999999816</v>
      </c>
    </row>
    <row r="65" spans="1:21" x14ac:dyDescent="0.25">
      <c r="A65" s="3">
        <v>1.2376625032189701E+18</v>
      </c>
      <c r="B65" s="3">
        <v>236.43817000000001</v>
      </c>
      <c r="C65" s="3">
        <v>35.865676000000001</v>
      </c>
      <c r="D65" s="3">
        <v>6.6037529999999997E-2</v>
      </c>
      <c r="E65" s="3">
        <v>1.5604547415987065</v>
      </c>
      <c r="F65" s="3">
        <v>19811.258999999998</v>
      </c>
      <c r="G65" s="3">
        <v>19.192229999999999</v>
      </c>
      <c r="H65" s="3">
        <v>17.255759999999999</v>
      </c>
      <c r="I65" s="3">
        <v>16.374359999999999</v>
      </c>
      <c r="J65" s="3">
        <v>15.94496</v>
      </c>
      <c r="K65" s="3">
        <v>15.607279999999999</v>
      </c>
      <c r="L65" s="3">
        <f t="shared" si="0"/>
        <v>1.9364699999999999</v>
      </c>
      <c r="M65" s="3">
        <f t="shared" si="1"/>
        <v>2.8178699999999992</v>
      </c>
      <c r="N65" s="3">
        <f t="shared" si="2"/>
        <v>3.2472699999999985</v>
      </c>
      <c r="O65" s="3">
        <f t="shared" si="3"/>
        <v>3.5849499999999992</v>
      </c>
      <c r="P65" s="3">
        <f t="shared" si="4"/>
        <v>0.8813999999999993</v>
      </c>
      <c r="Q65" s="3">
        <f t="shared" si="5"/>
        <v>1.3107999999999986</v>
      </c>
      <c r="R65" s="3">
        <f t="shared" si="6"/>
        <v>1.6484799999999993</v>
      </c>
      <c r="S65" s="3">
        <f t="shared" si="7"/>
        <v>0.42939999999999934</v>
      </c>
      <c r="T65" s="3">
        <f t="shared" si="8"/>
        <v>0.76707999999999998</v>
      </c>
      <c r="U65" s="3">
        <f t="shared" si="9"/>
        <v>0.33768000000000065</v>
      </c>
    </row>
    <row r="66" spans="1:21" x14ac:dyDescent="0.25">
      <c r="A66" s="3">
        <v>1.2376624736909299E+18</v>
      </c>
      <c r="B66" s="3">
        <v>236.33320000000001</v>
      </c>
      <c r="C66" s="3">
        <v>36.342984999999999</v>
      </c>
      <c r="D66" s="3">
        <v>6.6088040000000001E-2</v>
      </c>
      <c r="E66" s="3">
        <v>1.31617220983831</v>
      </c>
      <c r="F66" s="3">
        <v>19826.412</v>
      </c>
      <c r="G66" s="3">
        <v>19.738289999999999</v>
      </c>
      <c r="H66" s="3">
        <v>17.79487</v>
      </c>
      <c r="I66" s="3">
        <v>16.8965</v>
      </c>
      <c r="J66" s="3">
        <v>16.478919999999999</v>
      </c>
      <c r="K66" s="3">
        <v>16.128530000000001</v>
      </c>
      <c r="L66" s="3">
        <f t="shared" ref="L66:L129" si="10">G66-H66</f>
        <v>1.9434199999999997</v>
      </c>
      <c r="M66" s="3">
        <f t="shared" ref="M66:M129" si="11">G66-I66</f>
        <v>2.8417899999999996</v>
      </c>
      <c r="N66" s="3">
        <f t="shared" ref="N66:N129" si="12">G66-J66</f>
        <v>3.2593700000000005</v>
      </c>
      <c r="O66" s="3">
        <f t="shared" ref="O66:O129" si="13">G66-K66</f>
        <v>3.6097599999999979</v>
      </c>
      <c r="P66" s="3">
        <f t="shared" ref="P66:P129" si="14">H66-I66</f>
        <v>0.89836999999999989</v>
      </c>
      <c r="Q66" s="3">
        <f t="shared" ref="Q66:Q129" si="15">H66-J66</f>
        <v>1.3159500000000008</v>
      </c>
      <c r="R66" s="3">
        <f t="shared" ref="R66:R129" si="16">H66-K66</f>
        <v>1.6663399999999982</v>
      </c>
      <c r="S66" s="3">
        <f t="shared" ref="S66:S129" si="17">I66-J66</f>
        <v>0.41758000000000095</v>
      </c>
      <c r="T66" s="3">
        <f t="shared" ref="T66:T129" si="18">I66-K66</f>
        <v>0.76796999999999827</v>
      </c>
      <c r="U66" s="3">
        <f t="shared" ref="U66:U129" si="19">J66-K66</f>
        <v>0.35038999999999731</v>
      </c>
    </row>
    <row r="67" spans="1:21" x14ac:dyDescent="0.25">
      <c r="A67" s="3">
        <v>1.2376625037557701E+18</v>
      </c>
      <c r="B67" s="3">
        <v>236.55311</v>
      </c>
      <c r="C67" s="3">
        <v>36.306319999999999</v>
      </c>
      <c r="D67" s="3">
        <v>6.6127720000000001E-2</v>
      </c>
      <c r="E67" s="3">
        <v>1.7079492580961837</v>
      </c>
      <c r="F67" s="3">
        <v>19838.315999999999</v>
      </c>
      <c r="G67" s="3">
        <v>20.311610000000002</v>
      </c>
      <c r="H67" s="3">
        <v>18.623799999999999</v>
      </c>
      <c r="I67" s="3">
        <v>17.809059999999999</v>
      </c>
      <c r="J67" s="3">
        <v>17.45514</v>
      </c>
      <c r="K67" s="3">
        <v>17.221900000000002</v>
      </c>
      <c r="L67" s="3">
        <f t="shared" si="10"/>
        <v>1.6878100000000025</v>
      </c>
      <c r="M67" s="3">
        <f t="shared" si="11"/>
        <v>2.5025500000000029</v>
      </c>
      <c r="N67" s="3">
        <f t="shared" si="12"/>
        <v>2.8564700000000016</v>
      </c>
      <c r="O67" s="3">
        <f t="shared" si="13"/>
        <v>3.0897100000000002</v>
      </c>
      <c r="P67" s="3">
        <f t="shared" si="14"/>
        <v>0.81474000000000046</v>
      </c>
      <c r="Q67" s="3">
        <f t="shared" si="15"/>
        <v>1.1686599999999991</v>
      </c>
      <c r="R67" s="3">
        <f t="shared" si="16"/>
        <v>1.4018999999999977</v>
      </c>
      <c r="S67" s="3">
        <f t="shared" si="17"/>
        <v>0.35391999999999868</v>
      </c>
      <c r="T67" s="3">
        <f t="shared" si="18"/>
        <v>0.58715999999999724</v>
      </c>
      <c r="U67" s="3">
        <f t="shared" si="19"/>
        <v>0.23323999999999856</v>
      </c>
    </row>
    <row r="68" spans="1:21" x14ac:dyDescent="0.25">
      <c r="A68" s="3">
        <v>1.2376625032188301E+18</v>
      </c>
      <c r="B68" s="3">
        <v>236.24598</v>
      </c>
      <c r="C68" s="3">
        <v>36.109456999999999</v>
      </c>
      <c r="D68" s="3">
        <v>6.6295129999999994E-2</v>
      </c>
      <c r="E68" s="3">
        <v>1.5960336475342366E-5</v>
      </c>
      <c r="F68" s="3">
        <v>19888.538999999997</v>
      </c>
      <c r="G68" s="3">
        <v>16.82002</v>
      </c>
      <c r="H68" s="3">
        <v>14.60749</v>
      </c>
      <c r="I68" s="3">
        <v>13.686450000000001</v>
      </c>
      <c r="J68" s="3">
        <v>13.25071</v>
      </c>
      <c r="K68" s="3">
        <v>12.931050000000001</v>
      </c>
      <c r="L68" s="3">
        <f t="shared" si="10"/>
        <v>2.2125299999999992</v>
      </c>
      <c r="M68" s="3">
        <f t="shared" si="11"/>
        <v>3.1335699999999989</v>
      </c>
      <c r="N68" s="3">
        <f t="shared" si="12"/>
        <v>3.5693099999999998</v>
      </c>
      <c r="O68" s="3">
        <f t="shared" si="13"/>
        <v>3.8889699999999987</v>
      </c>
      <c r="P68" s="3">
        <f t="shared" si="14"/>
        <v>0.92103999999999964</v>
      </c>
      <c r="Q68" s="3">
        <f t="shared" si="15"/>
        <v>1.3567800000000005</v>
      </c>
      <c r="R68" s="3">
        <f t="shared" si="16"/>
        <v>1.6764399999999995</v>
      </c>
      <c r="S68" s="3">
        <f t="shared" si="17"/>
        <v>0.4357400000000009</v>
      </c>
      <c r="T68" s="3">
        <f t="shared" si="18"/>
        <v>0.75539999999999985</v>
      </c>
      <c r="U68" s="3">
        <f t="shared" si="19"/>
        <v>0.31965999999999894</v>
      </c>
    </row>
    <row r="69" spans="1:21" x14ac:dyDescent="0.25">
      <c r="A69" s="3">
        <v>1.23766146598626E+18</v>
      </c>
      <c r="B69" s="3">
        <v>236.36339000000001</v>
      </c>
      <c r="C69" s="3">
        <v>35.81127</v>
      </c>
      <c r="D69" s="3">
        <v>6.6331390000000004E-2</v>
      </c>
      <c r="E69" s="3">
        <v>1.6889331721481895</v>
      </c>
      <c r="F69" s="3">
        <v>19899.417000000001</v>
      </c>
      <c r="G69" s="3">
        <v>19.733329999999999</v>
      </c>
      <c r="H69" s="3">
        <v>17.780180000000001</v>
      </c>
      <c r="I69" s="3">
        <v>16.901140000000002</v>
      </c>
      <c r="J69" s="3">
        <v>16.489830000000001</v>
      </c>
      <c r="K69" s="3">
        <v>16.192129999999999</v>
      </c>
      <c r="L69" s="3">
        <f t="shared" si="10"/>
        <v>1.9531499999999973</v>
      </c>
      <c r="M69" s="3">
        <f t="shared" si="11"/>
        <v>2.8321899999999971</v>
      </c>
      <c r="N69" s="3">
        <f t="shared" si="12"/>
        <v>3.2434999999999974</v>
      </c>
      <c r="O69" s="3">
        <f t="shared" si="13"/>
        <v>3.5411999999999999</v>
      </c>
      <c r="P69" s="3">
        <f t="shared" si="14"/>
        <v>0.87903999999999982</v>
      </c>
      <c r="Q69" s="3">
        <f t="shared" si="15"/>
        <v>1.2903500000000001</v>
      </c>
      <c r="R69" s="3">
        <f t="shared" si="16"/>
        <v>1.5880500000000026</v>
      </c>
      <c r="S69" s="3">
        <f t="shared" si="17"/>
        <v>0.41131000000000029</v>
      </c>
      <c r="T69" s="3">
        <f t="shared" si="18"/>
        <v>0.7090100000000028</v>
      </c>
      <c r="U69" s="3">
        <f t="shared" si="19"/>
        <v>0.29770000000000252</v>
      </c>
    </row>
    <row r="70" spans="1:21" x14ac:dyDescent="0.25">
      <c r="A70" s="3">
        <v>1.2376624736908001E+18</v>
      </c>
      <c r="B70" s="3">
        <v>236.01835</v>
      </c>
      <c r="C70" s="3">
        <v>36.347510999999997</v>
      </c>
      <c r="D70" s="3">
        <v>6.6398659999999998E-2</v>
      </c>
      <c r="E70" s="3">
        <v>1.6224108235642953</v>
      </c>
      <c r="F70" s="3">
        <v>19919.597999999998</v>
      </c>
      <c r="G70" s="3">
        <v>19.070550000000001</v>
      </c>
      <c r="H70" s="3">
        <v>17.201419999999999</v>
      </c>
      <c r="I70" s="3">
        <v>16.34714</v>
      </c>
      <c r="J70" s="3">
        <v>15.93017</v>
      </c>
      <c r="K70" s="3">
        <v>15.602399999999999</v>
      </c>
      <c r="L70" s="3">
        <f t="shared" si="10"/>
        <v>1.869130000000002</v>
      </c>
      <c r="M70" s="3">
        <f t="shared" si="11"/>
        <v>2.7234100000000012</v>
      </c>
      <c r="N70" s="3">
        <f t="shared" si="12"/>
        <v>3.1403800000000004</v>
      </c>
      <c r="O70" s="3">
        <f t="shared" si="13"/>
        <v>3.4681500000000014</v>
      </c>
      <c r="P70" s="3">
        <f t="shared" si="14"/>
        <v>0.85427999999999926</v>
      </c>
      <c r="Q70" s="3">
        <f t="shared" si="15"/>
        <v>1.2712499999999984</v>
      </c>
      <c r="R70" s="3">
        <f t="shared" si="16"/>
        <v>1.5990199999999994</v>
      </c>
      <c r="S70" s="3">
        <f t="shared" si="17"/>
        <v>0.41696999999999917</v>
      </c>
      <c r="T70" s="3">
        <f t="shared" si="18"/>
        <v>0.74474000000000018</v>
      </c>
      <c r="U70" s="3">
        <f t="shared" si="19"/>
        <v>0.327770000000001</v>
      </c>
    </row>
    <row r="71" spans="1:21" x14ac:dyDescent="0.25">
      <c r="A71" s="3">
        <v>1.2376625032189E+18</v>
      </c>
      <c r="B71" s="3">
        <v>236.35445999999999</v>
      </c>
      <c r="C71" s="3">
        <v>36.020178999999999</v>
      </c>
      <c r="D71" s="3">
        <v>6.6449170000000002E-2</v>
      </c>
      <c r="E71" s="3">
        <v>0.67532664689993915</v>
      </c>
      <c r="F71" s="3">
        <v>19934.751</v>
      </c>
      <c r="G71" s="3">
        <v>19.424610000000001</v>
      </c>
      <c r="H71" s="3">
        <v>17.413170000000001</v>
      </c>
      <c r="I71" s="3">
        <v>16.508310000000002</v>
      </c>
      <c r="J71" s="3">
        <v>16.090050000000002</v>
      </c>
      <c r="K71" s="3">
        <v>15.74859</v>
      </c>
      <c r="L71" s="3">
        <f t="shared" si="10"/>
        <v>2.0114400000000003</v>
      </c>
      <c r="M71" s="3">
        <f t="shared" si="11"/>
        <v>2.9162999999999997</v>
      </c>
      <c r="N71" s="3">
        <f t="shared" si="12"/>
        <v>3.3345599999999997</v>
      </c>
      <c r="O71" s="3">
        <f t="shared" si="13"/>
        <v>3.6760200000000012</v>
      </c>
      <c r="P71" s="3">
        <f t="shared" si="14"/>
        <v>0.90485999999999933</v>
      </c>
      <c r="Q71" s="3">
        <f t="shared" si="15"/>
        <v>1.3231199999999994</v>
      </c>
      <c r="R71" s="3">
        <f t="shared" si="16"/>
        <v>1.6645800000000008</v>
      </c>
      <c r="S71" s="3">
        <f t="shared" si="17"/>
        <v>0.41826000000000008</v>
      </c>
      <c r="T71" s="3">
        <f t="shared" si="18"/>
        <v>0.75972000000000151</v>
      </c>
      <c r="U71" s="3">
        <f t="shared" si="19"/>
        <v>0.34146000000000143</v>
      </c>
    </row>
    <row r="72" spans="1:21" x14ac:dyDescent="0.25">
      <c r="A72" s="3">
        <v>1.23766247369087E+18</v>
      </c>
      <c r="B72" s="3">
        <v>236.21849</v>
      </c>
      <c r="C72" s="3">
        <v>36.333888000000002</v>
      </c>
      <c r="D72" s="3">
        <v>6.6489409999999999E-2</v>
      </c>
      <c r="E72" s="3">
        <v>1.2170209198502453</v>
      </c>
      <c r="F72" s="3">
        <v>19946.823</v>
      </c>
      <c r="G72" s="3">
        <v>19.00338</v>
      </c>
      <c r="H72" s="3">
        <v>17.487970000000001</v>
      </c>
      <c r="I72" s="3">
        <v>16.690930000000002</v>
      </c>
      <c r="J72" s="3">
        <v>16.285039999999999</v>
      </c>
      <c r="K72" s="3">
        <v>15.969810000000001</v>
      </c>
      <c r="L72" s="3">
        <f t="shared" si="10"/>
        <v>1.5154099999999993</v>
      </c>
      <c r="M72" s="3">
        <f t="shared" si="11"/>
        <v>2.3124499999999983</v>
      </c>
      <c r="N72" s="3">
        <f t="shared" si="12"/>
        <v>2.7183400000000013</v>
      </c>
      <c r="O72" s="3">
        <f t="shared" si="13"/>
        <v>3.0335699999999992</v>
      </c>
      <c r="P72" s="3">
        <f t="shared" si="14"/>
        <v>0.79703999999999908</v>
      </c>
      <c r="Q72" s="3">
        <f t="shared" si="15"/>
        <v>1.2029300000000021</v>
      </c>
      <c r="R72" s="3">
        <f t="shared" si="16"/>
        <v>1.51816</v>
      </c>
      <c r="S72" s="3">
        <f t="shared" si="17"/>
        <v>0.40589000000000297</v>
      </c>
      <c r="T72" s="3">
        <f t="shared" si="18"/>
        <v>0.72112000000000087</v>
      </c>
      <c r="U72" s="3">
        <f t="shared" si="19"/>
        <v>0.3152299999999979</v>
      </c>
    </row>
    <row r="73" spans="1:21" x14ac:dyDescent="0.25">
      <c r="A73" s="3">
        <v>1.2376614659861299E+18</v>
      </c>
      <c r="B73" s="3">
        <v>235.9846</v>
      </c>
      <c r="C73" s="3">
        <v>35.897812000000002</v>
      </c>
      <c r="D73" s="3">
        <v>6.6573939999999998E-2</v>
      </c>
      <c r="E73" s="3">
        <v>1.6145050256873967</v>
      </c>
      <c r="F73" s="3">
        <v>19972.182000000001</v>
      </c>
      <c r="G73" s="3">
        <v>19.43242</v>
      </c>
      <c r="H73" s="3">
        <v>17.555260000000001</v>
      </c>
      <c r="I73" s="3">
        <v>16.715029999999999</v>
      </c>
      <c r="J73" s="3">
        <v>16.329229999999999</v>
      </c>
      <c r="K73" s="3">
        <v>16.037890000000001</v>
      </c>
      <c r="L73" s="3">
        <f t="shared" si="10"/>
        <v>1.8771599999999999</v>
      </c>
      <c r="M73" s="3">
        <f t="shared" si="11"/>
        <v>2.7173900000000017</v>
      </c>
      <c r="N73" s="3">
        <f t="shared" si="12"/>
        <v>3.1031900000000014</v>
      </c>
      <c r="O73" s="3">
        <f t="shared" si="13"/>
        <v>3.3945299999999996</v>
      </c>
      <c r="P73" s="3">
        <f t="shared" si="14"/>
        <v>0.84023000000000181</v>
      </c>
      <c r="Q73" s="3">
        <f t="shared" si="15"/>
        <v>1.2260300000000015</v>
      </c>
      <c r="R73" s="3">
        <f t="shared" si="16"/>
        <v>1.5173699999999997</v>
      </c>
      <c r="S73" s="3">
        <f t="shared" si="17"/>
        <v>0.3857999999999997</v>
      </c>
      <c r="T73" s="3">
        <f t="shared" si="18"/>
        <v>0.67713999999999785</v>
      </c>
      <c r="U73" s="3">
        <f t="shared" si="19"/>
        <v>0.29133999999999816</v>
      </c>
    </row>
    <row r="74" spans="1:21" x14ac:dyDescent="0.25">
      <c r="A74" s="3">
        <v>1.2376625032188301E+18</v>
      </c>
      <c r="B74" s="3">
        <v>236.21942000000001</v>
      </c>
      <c r="C74" s="3">
        <v>36.215575000000001</v>
      </c>
      <c r="D74" s="3">
        <v>6.6674170000000005E-2</v>
      </c>
      <c r="E74" s="3">
        <v>0.58422039092362565</v>
      </c>
      <c r="F74" s="3">
        <v>20002.251</v>
      </c>
      <c r="G74" s="3">
        <v>18.575810000000001</v>
      </c>
      <c r="H74" s="3">
        <v>16.571570000000001</v>
      </c>
      <c r="I74" s="3">
        <v>15.716989999999999</v>
      </c>
      <c r="J74" s="3">
        <v>15.32292</v>
      </c>
      <c r="K74" s="3">
        <v>15.02988</v>
      </c>
      <c r="L74" s="3">
        <f t="shared" si="10"/>
        <v>2.0042399999999994</v>
      </c>
      <c r="M74" s="3">
        <f t="shared" si="11"/>
        <v>2.8588200000000015</v>
      </c>
      <c r="N74" s="3">
        <f t="shared" si="12"/>
        <v>3.2528900000000007</v>
      </c>
      <c r="O74" s="3">
        <f t="shared" si="13"/>
        <v>3.5459300000000002</v>
      </c>
      <c r="P74" s="3">
        <f t="shared" si="14"/>
        <v>0.85458000000000212</v>
      </c>
      <c r="Q74" s="3">
        <f t="shared" si="15"/>
        <v>1.2486500000000014</v>
      </c>
      <c r="R74" s="3">
        <f t="shared" si="16"/>
        <v>1.5416900000000009</v>
      </c>
      <c r="S74" s="3">
        <f t="shared" si="17"/>
        <v>0.39406999999999925</v>
      </c>
      <c r="T74" s="3">
        <f t="shared" si="18"/>
        <v>0.68710999999999878</v>
      </c>
      <c r="U74" s="3">
        <f t="shared" si="19"/>
        <v>0.29303999999999952</v>
      </c>
    </row>
    <row r="75" spans="1:21" x14ac:dyDescent="0.25">
      <c r="A75" s="3">
        <v>1.23766233786351E+18</v>
      </c>
      <c r="B75" s="3">
        <v>235.67094</v>
      </c>
      <c r="C75" s="3">
        <v>35.869135999999997</v>
      </c>
      <c r="D75" s="3">
        <v>6.6760009999999995E-2</v>
      </c>
      <c r="E75" s="3">
        <v>2.8260906389152534</v>
      </c>
      <c r="F75" s="3">
        <v>20028.002999999997</v>
      </c>
      <c r="G75" s="3">
        <v>20.00423</v>
      </c>
      <c r="H75" s="3">
        <v>18.369330000000001</v>
      </c>
      <c r="I75" s="3">
        <v>17.54861</v>
      </c>
      <c r="J75" s="3">
        <v>17.15652</v>
      </c>
      <c r="K75" s="3">
        <v>16.851279999999999</v>
      </c>
      <c r="L75" s="3">
        <f t="shared" si="10"/>
        <v>1.6348999999999982</v>
      </c>
      <c r="M75" s="3">
        <f t="shared" si="11"/>
        <v>2.4556199999999997</v>
      </c>
      <c r="N75" s="3">
        <f t="shared" si="12"/>
        <v>2.8477099999999993</v>
      </c>
      <c r="O75" s="3">
        <f t="shared" si="13"/>
        <v>3.1529500000000006</v>
      </c>
      <c r="P75" s="3">
        <f t="shared" si="14"/>
        <v>0.82072000000000145</v>
      </c>
      <c r="Q75" s="3">
        <f t="shared" si="15"/>
        <v>1.2128100000000011</v>
      </c>
      <c r="R75" s="3">
        <f t="shared" si="16"/>
        <v>1.5180500000000023</v>
      </c>
      <c r="S75" s="3">
        <f t="shared" si="17"/>
        <v>0.39208999999999961</v>
      </c>
      <c r="T75" s="3">
        <f t="shared" si="18"/>
        <v>0.69733000000000089</v>
      </c>
      <c r="U75" s="3">
        <f t="shared" si="19"/>
        <v>0.30524000000000129</v>
      </c>
    </row>
    <row r="76" spans="1:21" x14ac:dyDescent="0.25">
      <c r="A76" s="3">
        <v>1.23766247369087E+18</v>
      </c>
      <c r="B76" s="3">
        <v>236.14635000000001</v>
      </c>
      <c r="C76" s="3">
        <v>36.440747000000002</v>
      </c>
      <c r="D76" s="3">
        <v>6.6768380000000002E-2</v>
      </c>
      <c r="E76" s="3">
        <v>1.8395910870557817</v>
      </c>
      <c r="F76" s="3">
        <v>20030.513999999999</v>
      </c>
      <c r="G76" s="3">
        <v>19.09018</v>
      </c>
      <c r="H76" s="3">
        <v>17.174810000000001</v>
      </c>
      <c r="I76" s="3">
        <v>16.25515</v>
      </c>
      <c r="J76" s="3">
        <v>15.827389999999999</v>
      </c>
      <c r="K76" s="3">
        <v>15.463699999999999</v>
      </c>
      <c r="L76" s="3">
        <f t="shared" si="10"/>
        <v>1.9153699999999994</v>
      </c>
      <c r="M76" s="3">
        <f t="shared" si="11"/>
        <v>2.8350299999999997</v>
      </c>
      <c r="N76" s="3">
        <f t="shared" si="12"/>
        <v>3.2627900000000007</v>
      </c>
      <c r="O76" s="3">
        <f t="shared" si="13"/>
        <v>3.6264800000000008</v>
      </c>
      <c r="P76" s="3">
        <f t="shared" si="14"/>
        <v>0.91966000000000037</v>
      </c>
      <c r="Q76" s="3">
        <f t="shared" si="15"/>
        <v>1.3474200000000014</v>
      </c>
      <c r="R76" s="3">
        <f t="shared" si="16"/>
        <v>1.7111100000000015</v>
      </c>
      <c r="S76" s="3">
        <f t="shared" si="17"/>
        <v>0.42776000000000103</v>
      </c>
      <c r="T76" s="3">
        <f t="shared" si="18"/>
        <v>0.7914500000000011</v>
      </c>
      <c r="U76" s="3">
        <f t="shared" si="19"/>
        <v>0.36369000000000007</v>
      </c>
    </row>
    <row r="77" spans="1:21" x14ac:dyDescent="0.25">
      <c r="A77" s="3">
        <v>1.2376625032189E+18</v>
      </c>
      <c r="B77" s="3">
        <v>236.31521000000001</v>
      </c>
      <c r="C77" s="3">
        <v>36.017164000000001</v>
      </c>
      <c r="D77" s="3">
        <v>6.683443E-2</v>
      </c>
      <c r="E77" s="3">
        <v>0.58247897651460845</v>
      </c>
      <c r="F77" s="3">
        <v>20050.329000000002</v>
      </c>
      <c r="G77" s="3">
        <v>19.983699999999999</v>
      </c>
      <c r="H77" s="3">
        <v>17.998139999999999</v>
      </c>
      <c r="I77" s="3">
        <v>17.094470000000001</v>
      </c>
      <c r="J77" s="3">
        <v>16.67887</v>
      </c>
      <c r="K77" s="3">
        <v>16.35013</v>
      </c>
      <c r="L77" s="3">
        <f t="shared" si="10"/>
        <v>1.9855599999999995</v>
      </c>
      <c r="M77" s="3">
        <f t="shared" si="11"/>
        <v>2.8892299999999977</v>
      </c>
      <c r="N77" s="3">
        <f t="shared" si="12"/>
        <v>3.304829999999999</v>
      </c>
      <c r="O77" s="3">
        <f t="shared" si="13"/>
        <v>3.6335699999999989</v>
      </c>
      <c r="P77" s="3">
        <f t="shared" si="14"/>
        <v>0.9036699999999982</v>
      </c>
      <c r="Q77" s="3">
        <f t="shared" si="15"/>
        <v>1.3192699999999995</v>
      </c>
      <c r="R77" s="3">
        <f t="shared" si="16"/>
        <v>1.6480099999999993</v>
      </c>
      <c r="S77" s="3">
        <f t="shared" si="17"/>
        <v>0.4156000000000013</v>
      </c>
      <c r="T77" s="3">
        <f t="shared" si="18"/>
        <v>0.74434000000000111</v>
      </c>
      <c r="U77" s="3">
        <f t="shared" si="19"/>
        <v>0.32873999999999981</v>
      </c>
    </row>
    <row r="78" spans="1:21" x14ac:dyDescent="0.25">
      <c r="A78" s="3">
        <v>1.2376624736908001E+18</v>
      </c>
      <c r="B78" s="3">
        <v>236.14118999999999</v>
      </c>
      <c r="C78" s="3">
        <v>36.477392999999999</v>
      </c>
      <c r="D78" s="3">
        <v>6.6917630000000006E-2</v>
      </c>
      <c r="E78" s="3">
        <v>2.0372055541738385</v>
      </c>
      <c r="F78" s="3">
        <v>20075.289000000001</v>
      </c>
      <c r="G78" s="3">
        <v>18.492010000000001</v>
      </c>
      <c r="H78" s="3">
        <v>16.635269999999998</v>
      </c>
      <c r="I78" s="3">
        <v>15.74442</v>
      </c>
      <c r="J78" s="3">
        <v>15.32687</v>
      </c>
      <c r="K78" s="3">
        <v>14.973269999999999</v>
      </c>
      <c r="L78" s="3">
        <f t="shared" si="10"/>
        <v>1.8567400000000021</v>
      </c>
      <c r="M78" s="3">
        <f t="shared" si="11"/>
        <v>2.7475900000000006</v>
      </c>
      <c r="N78" s="3">
        <f t="shared" si="12"/>
        <v>3.165140000000001</v>
      </c>
      <c r="O78" s="3">
        <f t="shared" si="13"/>
        <v>3.5187400000000011</v>
      </c>
      <c r="P78" s="3">
        <f t="shared" si="14"/>
        <v>0.89084999999999859</v>
      </c>
      <c r="Q78" s="3">
        <f t="shared" si="15"/>
        <v>1.3083999999999989</v>
      </c>
      <c r="R78" s="3">
        <f t="shared" si="16"/>
        <v>1.661999999999999</v>
      </c>
      <c r="S78" s="3">
        <f t="shared" si="17"/>
        <v>0.41755000000000031</v>
      </c>
      <c r="T78" s="3">
        <f t="shared" si="18"/>
        <v>0.77115000000000045</v>
      </c>
      <c r="U78" s="3">
        <f t="shared" si="19"/>
        <v>0.35360000000000014</v>
      </c>
    </row>
    <row r="79" spans="1:21" x14ac:dyDescent="0.25">
      <c r="A79" s="3">
        <v>1.2376625032189E+18</v>
      </c>
      <c r="B79" s="3">
        <v>236.36476999999999</v>
      </c>
      <c r="C79" s="3">
        <v>36.013185</v>
      </c>
      <c r="D79" s="3">
        <v>6.6954180000000002E-2</v>
      </c>
      <c r="E79" s="3">
        <v>0.73380658689833778</v>
      </c>
      <c r="F79" s="3">
        <v>20086.254000000001</v>
      </c>
      <c r="G79" s="3">
        <v>19.02289</v>
      </c>
      <c r="H79" s="3">
        <v>17.0349</v>
      </c>
      <c r="I79" s="3">
        <v>16.090800000000002</v>
      </c>
      <c r="J79" s="3">
        <v>15.651149999999999</v>
      </c>
      <c r="K79" s="3">
        <v>15.28769</v>
      </c>
      <c r="L79" s="3">
        <f t="shared" si="10"/>
        <v>1.9879899999999999</v>
      </c>
      <c r="M79" s="3">
        <f t="shared" si="11"/>
        <v>2.9320899999999988</v>
      </c>
      <c r="N79" s="3">
        <f t="shared" si="12"/>
        <v>3.3717400000000008</v>
      </c>
      <c r="O79" s="3">
        <f t="shared" si="13"/>
        <v>3.7352000000000007</v>
      </c>
      <c r="P79" s="3">
        <f t="shared" si="14"/>
        <v>0.94409999999999883</v>
      </c>
      <c r="Q79" s="3">
        <f t="shared" si="15"/>
        <v>1.3837500000000009</v>
      </c>
      <c r="R79" s="3">
        <f t="shared" si="16"/>
        <v>1.7472100000000008</v>
      </c>
      <c r="S79" s="3">
        <f t="shared" si="17"/>
        <v>0.43965000000000209</v>
      </c>
      <c r="T79" s="3">
        <f t="shared" si="18"/>
        <v>0.80311000000000199</v>
      </c>
      <c r="U79" s="3">
        <f t="shared" si="19"/>
        <v>0.36345999999999989</v>
      </c>
    </row>
    <row r="80" spans="1:21" x14ac:dyDescent="0.25">
      <c r="A80" s="3">
        <v>1.23766250321903E+18</v>
      </c>
      <c r="B80" s="3">
        <v>236.59724</v>
      </c>
      <c r="C80" s="3">
        <v>35.946224000000001</v>
      </c>
      <c r="D80" s="3">
        <v>6.7003170000000001E-2</v>
      </c>
      <c r="E80" s="3">
        <v>1.768084354335518</v>
      </c>
      <c r="F80" s="3">
        <v>20100.951000000001</v>
      </c>
      <c r="G80" s="3">
        <v>20.425940000000001</v>
      </c>
      <c r="H80" s="3">
        <v>18.579049999999999</v>
      </c>
      <c r="I80" s="3">
        <v>17.734369999999998</v>
      </c>
      <c r="J80" s="3">
        <v>17.347560000000001</v>
      </c>
      <c r="K80" s="3">
        <v>17.04147</v>
      </c>
      <c r="L80" s="3">
        <f t="shared" si="10"/>
        <v>1.8468900000000019</v>
      </c>
      <c r="M80" s="3">
        <f t="shared" si="11"/>
        <v>2.6915700000000022</v>
      </c>
      <c r="N80" s="3">
        <f t="shared" si="12"/>
        <v>3.0783799999999992</v>
      </c>
      <c r="O80" s="3">
        <f t="shared" si="13"/>
        <v>3.3844700000000003</v>
      </c>
      <c r="P80" s="3">
        <f t="shared" si="14"/>
        <v>0.84468000000000032</v>
      </c>
      <c r="Q80" s="3">
        <f t="shared" si="15"/>
        <v>1.2314899999999973</v>
      </c>
      <c r="R80" s="3">
        <f t="shared" si="16"/>
        <v>1.5375799999999984</v>
      </c>
      <c r="S80" s="3">
        <f t="shared" si="17"/>
        <v>0.38680999999999699</v>
      </c>
      <c r="T80" s="3">
        <f t="shared" si="18"/>
        <v>0.69289999999999807</v>
      </c>
      <c r="U80" s="3">
        <f t="shared" si="19"/>
        <v>0.30609000000000108</v>
      </c>
    </row>
    <row r="81" spans="1:21" x14ac:dyDescent="0.25">
      <c r="A81" s="3">
        <v>1.2376625032188301E+18</v>
      </c>
      <c r="B81" s="3">
        <v>236.08357000000001</v>
      </c>
      <c r="C81" s="3">
        <v>36.118487999999999</v>
      </c>
      <c r="D81" s="3">
        <v>6.7073629999999995E-2</v>
      </c>
      <c r="E81" s="3">
        <v>0.70970282895518888</v>
      </c>
      <c r="F81" s="3">
        <v>20122.089</v>
      </c>
      <c r="G81" s="3">
        <v>18.871130000000001</v>
      </c>
      <c r="H81" s="3">
        <v>16.974150000000002</v>
      </c>
      <c r="I81" s="3">
        <v>16.0791</v>
      </c>
      <c r="J81" s="3">
        <v>15.66963</v>
      </c>
      <c r="K81" s="3">
        <v>15.355399999999999</v>
      </c>
      <c r="L81" s="3">
        <f t="shared" si="10"/>
        <v>1.8969799999999992</v>
      </c>
      <c r="M81" s="3">
        <f t="shared" si="11"/>
        <v>2.7920300000000005</v>
      </c>
      <c r="N81" s="3">
        <f t="shared" si="12"/>
        <v>3.2015000000000011</v>
      </c>
      <c r="O81" s="3">
        <f t="shared" si="13"/>
        <v>3.5157300000000014</v>
      </c>
      <c r="P81" s="3">
        <f t="shared" si="14"/>
        <v>0.89505000000000123</v>
      </c>
      <c r="Q81" s="3">
        <f t="shared" si="15"/>
        <v>1.3045200000000019</v>
      </c>
      <c r="R81" s="3">
        <f t="shared" si="16"/>
        <v>1.6187500000000021</v>
      </c>
      <c r="S81" s="3">
        <f t="shared" si="17"/>
        <v>0.40947000000000067</v>
      </c>
      <c r="T81" s="3">
        <f t="shared" si="18"/>
        <v>0.7237000000000009</v>
      </c>
      <c r="U81" s="3">
        <f t="shared" si="19"/>
        <v>0.31423000000000023</v>
      </c>
    </row>
    <row r="82" spans="1:21" x14ac:dyDescent="0.25">
      <c r="A82" s="3">
        <v>1.2376624736910001E+18</v>
      </c>
      <c r="B82" s="3">
        <v>236.43284</v>
      </c>
      <c r="C82" s="3">
        <v>36.130147999999998</v>
      </c>
      <c r="D82" s="3">
        <v>6.7119040000000005E-2</v>
      </c>
      <c r="E82" s="3">
        <v>0.82217386121224878</v>
      </c>
      <c r="F82" s="3">
        <v>20135.712000000003</v>
      </c>
      <c r="G82" s="3">
        <v>18.57535</v>
      </c>
      <c r="H82" s="3">
        <v>16.688490000000002</v>
      </c>
      <c r="I82" s="3">
        <v>15.818960000000001</v>
      </c>
      <c r="J82" s="3">
        <v>15.42126</v>
      </c>
      <c r="K82" s="3">
        <v>15.10192</v>
      </c>
      <c r="L82" s="3">
        <f t="shared" si="10"/>
        <v>1.8868599999999986</v>
      </c>
      <c r="M82" s="3">
        <f t="shared" si="11"/>
        <v>2.7563899999999997</v>
      </c>
      <c r="N82" s="3">
        <f t="shared" si="12"/>
        <v>3.1540900000000001</v>
      </c>
      <c r="O82" s="3">
        <f t="shared" si="13"/>
        <v>3.4734300000000005</v>
      </c>
      <c r="P82" s="3">
        <f t="shared" si="14"/>
        <v>0.86953000000000102</v>
      </c>
      <c r="Q82" s="3">
        <f t="shared" si="15"/>
        <v>1.2672300000000014</v>
      </c>
      <c r="R82" s="3">
        <f t="shared" si="16"/>
        <v>1.5865700000000018</v>
      </c>
      <c r="S82" s="3">
        <f t="shared" si="17"/>
        <v>0.39770000000000039</v>
      </c>
      <c r="T82" s="3">
        <f t="shared" si="18"/>
        <v>0.71704000000000079</v>
      </c>
      <c r="U82" s="3">
        <f t="shared" si="19"/>
        <v>0.3193400000000004</v>
      </c>
    </row>
    <row r="83" spans="1:21" x14ac:dyDescent="0.25">
      <c r="A83" s="3">
        <v>1.2376625037557701E+18</v>
      </c>
      <c r="B83" s="3">
        <v>236.58447000000001</v>
      </c>
      <c r="C83" s="3">
        <v>36.317391000000001</v>
      </c>
      <c r="D83" s="3">
        <v>6.7139190000000001E-2</v>
      </c>
      <c r="E83" s="3">
        <v>1.852345487697002</v>
      </c>
      <c r="F83" s="3">
        <v>20141.757000000001</v>
      </c>
      <c r="G83" s="3">
        <v>20.338049999999999</v>
      </c>
      <c r="H83" s="3">
        <v>18.524840000000001</v>
      </c>
      <c r="I83" s="3">
        <v>17.702529999999999</v>
      </c>
      <c r="J83" s="3">
        <v>17.30153</v>
      </c>
      <c r="K83" s="3">
        <v>17.03312</v>
      </c>
      <c r="L83" s="3">
        <f t="shared" si="10"/>
        <v>1.813209999999998</v>
      </c>
      <c r="M83" s="3">
        <f t="shared" si="11"/>
        <v>2.6355199999999996</v>
      </c>
      <c r="N83" s="3">
        <f t="shared" si="12"/>
        <v>3.0365199999999994</v>
      </c>
      <c r="O83" s="3">
        <f t="shared" si="13"/>
        <v>3.3049299999999988</v>
      </c>
      <c r="P83" s="3">
        <f t="shared" si="14"/>
        <v>0.82231000000000165</v>
      </c>
      <c r="Q83" s="3">
        <f t="shared" si="15"/>
        <v>1.2233100000000015</v>
      </c>
      <c r="R83" s="3">
        <f t="shared" si="16"/>
        <v>1.4917200000000008</v>
      </c>
      <c r="S83" s="3">
        <f t="shared" si="17"/>
        <v>0.4009999999999998</v>
      </c>
      <c r="T83" s="3">
        <f t="shared" si="18"/>
        <v>0.66940999999999917</v>
      </c>
      <c r="U83" s="3">
        <f t="shared" si="19"/>
        <v>0.26840999999999937</v>
      </c>
    </row>
    <row r="84" spans="1:21" x14ac:dyDescent="0.25">
      <c r="A84" s="3">
        <v>1.2376625032189701E+18</v>
      </c>
      <c r="B84" s="3">
        <v>236.51518999999999</v>
      </c>
      <c r="C84" s="3">
        <v>35.948939000000003</v>
      </c>
      <c r="D84" s="3">
        <v>6.7181210000000005E-2</v>
      </c>
      <c r="E84" s="3">
        <v>1.4597160279211154</v>
      </c>
      <c r="F84" s="3">
        <v>20154.363000000001</v>
      </c>
      <c r="G84" s="3">
        <v>19.420290000000001</v>
      </c>
      <c r="H84" s="3">
        <v>17.467780000000001</v>
      </c>
      <c r="I84" s="3">
        <v>16.579470000000001</v>
      </c>
      <c r="J84" s="3">
        <v>16.171610000000001</v>
      </c>
      <c r="K84" s="3">
        <v>15.85515</v>
      </c>
      <c r="L84" s="3">
        <f t="shared" si="10"/>
        <v>1.9525100000000002</v>
      </c>
      <c r="M84" s="3">
        <f t="shared" si="11"/>
        <v>2.8408200000000008</v>
      </c>
      <c r="N84" s="3">
        <f t="shared" si="12"/>
        <v>3.2486800000000002</v>
      </c>
      <c r="O84" s="3">
        <f t="shared" si="13"/>
        <v>3.5651400000000013</v>
      </c>
      <c r="P84" s="3">
        <f t="shared" si="14"/>
        <v>0.8883100000000006</v>
      </c>
      <c r="Q84" s="3">
        <f t="shared" si="15"/>
        <v>1.29617</v>
      </c>
      <c r="R84" s="3">
        <f t="shared" si="16"/>
        <v>1.6126300000000011</v>
      </c>
      <c r="S84" s="3">
        <f t="shared" si="17"/>
        <v>0.40785999999999945</v>
      </c>
      <c r="T84" s="3">
        <f t="shared" si="18"/>
        <v>0.72432000000000052</v>
      </c>
      <c r="U84" s="3">
        <f t="shared" si="19"/>
        <v>0.31646000000000107</v>
      </c>
    </row>
    <row r="85" spans="1:21" x14ac:dyDescent="0.25">
      <c r="A85" s="3">
        <v>1.23766247369074E+18</v>
      </c>
      <c r="B85" s="3">
        <v>235.96458999999999</v>
      </c>
      <c r="C85" s="3">
        <v>36.526887000000002</v>
      </c>
      <c r="D85" s="3">
        <v>6.7256919999999998E-2</v>
      </c>
      <c r="E85" s="3">
        <v>2.5635172120681364</v>
      </c>
      <c r="F85" s="3">
        <v>20177.076000000001</v>
      </c>
      <c r="G85" s="3">
        <v>16.66347</v>
      </c>
      <c r="H85" s="3">
        <v>15.888820000000001</v>
      </c>
      <c r="I85" s="3">
        <v>15.387829999999999</v>
      </c>
      <c r="J85" s="3">
        <v>14.97279</v>
      </c>
      <c r="K85" s="3">
        <v>14.80983</v>
      </c>
      <c r="L85" s="3">
        <f t="shared" si="10"/>
        <v>0.77464999999999939</v>
      </c>
      <c r="M85" s="3">
        <f t="shared" si="11"/>
        <v>1.275640000000001</v>
      </c>
      <c r="N85" s="3">
        <f t="shared" si="12"/>
        <v>1.6906800000000004</v>
      </c>
      <c r="O85" s="3">
        <f t="shared" si="13"/>
        <v>1.8536400000000004</v>
      </c>
      <c r="P85" s="3">
        <f t="shared" si="14"/>
        <v>0.5009900000000016</v>
      </c>
      <c r="Q85" s="3">
        <f t="shared" si="15"/>
        <v>0.91603000000000101</v>
      </c>
      <c r="R85" s="3">
        <f t="shared" si="16"/>
        <v>1.078990000000001</v>
      </c>
      <c r="S85" s="3">
        <f t="shared" si="17"/>
        <v>0.41503999999999941</v>
      </c>
      <c r="T85" s="3">
        <f t="shared" si="18"/>
        <v>0.5779999999999994</v>
      </c>
      <c r="U85" s="3">
        <f t="shared" si="19"/>
        <v>0.16295999999999999</v>
      </c>
    </row>
    <row r="86" spans="1:21" x14ac:dyDescent="0.25">
      <c r="A86" s="3">
        <v>1.23766247369074E+18</v>
      </c>
      <c r="B86" s="3">
        <v>235.87022999999999</v>
      </c>
      <c r="C86" s="3">
        <v>36.612698999999999</v>
      </c>
      <c r="D86" s="3">
        <v>6.7274340000000002E-2</v>
      </c>
      <c r="E86" s="3">
        <v>3.1689324243093551</v>
      </c>
      <c r="F86" s="3">
        <v>20182.302</v>
      </c>
      <c r="G86" s="3">
        <v>19.674689999999998</v>
      </c>
      <c r="H86" s="3">
        <v>17.824539999999999</v>
      </c>
      <c r="I86" s="3">
        <v>16.994589999999999</v>
      </c>
      <c r="J86" s="3">
        <v>16.58933</v>
      </c>
      <c r="K86" s="3">
        <v>16.288209999999999</v>
      </c>
      <c r="L86" s="3">
        <f t="shared" si="10"/>
        <v>1.8501499999999993</v>
      </c>
      <c r="M86" s="3">
        <f t="shared" si="11"/>
        <v>2.6800999999999995</v>
      </c>
      <c r="N86" s="3">
        <f t="shared" si="12"/>
        <v>3.0853599999999979</v>
      </c>
      <c r="O86" s="3">
        <f t="shared" si="13"/>
        <v>3.3864799999999988</v>
      </c>
      <c r="P86" s="3">
        <f t="shared" si="14"/>
        <v>0.82995000000000019</v>
      </c>
      <c r="Q86" s="3">
        <f t="shared" si="15"/>
        <v>1.2352099999999986</v>
      </c>
      <c r="R86" s="3">
        <f t="shared" si="16"/>
        <v>1.5363299999999995</v>
      </c>
      <c r="S86" s="3">
        <f t="shared" si="17"/>
        <v>0.4052599999999984</v>
      </c>
      <c r="T86" s="3">
        <f t="shared" si="18"/>
        <v>0.70637999999999934</v>
      </c>
      <c r="U86" s="3">
        <f t="shared" si="19"/>
        <v>0.30112000000000094</v>
      </c>
    </row>
    <row r="87" spans="1:21" x14ac:dyDescent="0.25">
      <c r="A87" s="3">
        <v>1.23766247369074E+18</v>
      </c>
      <c r="B87" s="3">
        <v>235.96593999999999</v>
      </c>
      <c r="C87" s="3">
        <v>36.560442999999999</v>
      </c>
      <c r="D87" s="3">
        <v>6.7340609999999995E-2</v>
      </c>
      <c r="E87" s="3">
        <v>2.7212771313963042</v>
      </c>
      <c r="F87" s="3">
        <v>20202.182999999997</v>
      </c>
      <c r="G87" s="3">
        <v>19.875789999999999</v>
      </c>
      <c r="H87" s="3">
        <v>18.026979999999998</v>
      </c>
      <c r="I87" s="3">
        <v>17.13795</v>
      </c>
      <c r="J87" s="3">
        <v>16.7364</v>
      </c>
      <c r="K87" s="3">
        <v>16.42549</v>
      </c>
      <c r="L87" s="3">
        <f t="shared" si="10"/>
        <v>1.8488100000000003</v>
      </c>
      <c r="M87" s="3">
        <f t="shared" si="11"/>
        <v>2.7378399999999985</v>
      </c>
      <c r="N87" s="3">
        <f t="shared" si="12"/>
        <v>3.1393899999999988</v>
      </c>
      <c r="O87" s="3">
        <f t="shared" si="13"/>
        <v>3.4502999999999986</v>
      </c>
      <c r="P87" s="3">
        <f t="shared" si="14"/>
        <v>0.88902999999999821</v>
      </c>
      <c r="Q87" s="3">
        <f t="shared" si="15"/>
        <v>1.2905799999999985</v>
      </c>
      <c r="R87" s="3">
        <f t="shared" si="16"/>
        <v>1.6014899999999983</v>
      </c>
      <c r="S87" s="3">
        <f t="shared" si="17"/>
        <v>0.4015500000000003</v>
      </c>
      <c r="T87" s="3">
        <f t="shared" si="18"/>
        <v>0.71246000000000009</v>
      </c>
      <c r="U87" s="3">
        <f t="shared" si="19"/>
        <v>0.3109099999999998</v>
      </c>
    </row>
    <row r="88" spans="1:21" x14ac:dyDescent="0.25">
      <c r="A88" s="3">
        <v>1.2376624736909299E+18</v>
      </c>
      <c r="B88" s="3">
        <v>236.32599999999999</v>
      </c>
      <c r="C88" s="3">
        <v>36.213644000000002</v>
      </c>
      <c r="D88" s="3">
        <v>6.7534540000000004E-2</v>
      </c>
      <c r="E88" s="3">
        <v>0.66154725601913977</v>
      </c>
      <c r="F88" s="3">
        <v>20260.362000000001</v>
      </c>
      <c r="G88" s="3">
        <v>19.768180000000001</v>
      </c>
      <c r="H88" s="3">
        <v>17.860700000000001</v>
      </c>
      <c r="I88" s="3">
        <v>16.979479999999999</v>
      </c>
      <c r="J88" s="3">
        <v>16.56202</v>
      </c>
      <c r="K88" s="3">
        <v>16.256170000000001</v>
      </c>
      <c r="L88" s="3">
        <f t="shared" si="10"/>
        <v>1.9074799999999996</v>
      </c>
      <c r="M88" s="3">
        <f t="shared" si="11"/>
        <v>2.7887000000000022</v>
      </c>
      <c r="N88" s="3">
        <f t="shared" si="12"/>
        <v>3.2061600000000006</v>
      </c>
      <c r="O88" s="3">
        <f t="shared" si="13"/>
        <v>3.5120100000000001</v>
      </c>
      <c r="P88" s="3">
        <f t="shared" si="14"/>
        <v>0.88122000000000256</v>
      </c>
      <c r="Q88" s="3">
        <f t="shared" si="15"/>
        <v>1.2986800000000009</v>
      </c>
      <c r="R88" s="3">
        <f t="shared" si="16"/>
        <v>1.6045300000000005</v>
      </c>
      <c r="S88" s="3">
        <f t="shared" si="17"/>
        <v>0.41745999999999839</v>
      </c>
      <c r="T88" s="3">
        <f t="shared" si="18"/>
        <v>0.7233099999999979</v>
      </c>
      <c r="U88" s="3">
        <f t="shared" si="19"/>
        <v>0.30584999999999951</v>
      </c>
    </row>
    <row r="89" spans="1:21" x14ac:dyDescent="0.25">
      <c r="A89" s="3">
        <v>1.2376625032187699E+18</v>
      </c>
      <c r="B89" s="3">
        <v>236.09370999999999</v>
      </c>
      <c r="C89" s="3">
        <v>36.178286</v>
      </c>
      <c r="D89" s="3">
        <v>6.7626790000000006E-2</v>
      </c>
      <c r="E89" s="3">
        <v>0.76044491802252312</v>
      </c>
      <c r="F89" s="3">
        <v>20288.037</v>
      </c>
      <c r="G89" s="3">
        <v>19.320139999999999</v>
      </c>
      <c r="H89" s="3">
        <v>17.52129</v>
      </c>
      <c r="I89" s="3">
        <v>16.6433</v>
      </c>
      <c r="J89" s="3">
        <v>16.242249999999999</v>
      </c>
      <c r="K89" s="3">
        <v>15.94863</v>
      </c>
      <c r="L89" s="3">
        <f t="shared" si="10"/>
        <v>1.7988499999999981</v>
      </c>
      <c r="M89" s="3">
        <f t="shared" si="11"/>
        <v>2.6768399999999986</v>
      </c>
      <c r="N89" s="3">
        <f t="shared" si="12"/>
        <v>3.07789</v>
      </c>
      <c r="O89" s="3">
        <f t="shared" si="13"/>
        <v>3.3715099999999989</v>
      </c>
      <c r="P89" s="3">
        <f t="shared" si="14"/>
        <v>0.87799000000000049</v>
      </c>
      <c r="Q89" s="3">
        <f t="shared" si="15"/>
        <v>1.279040000000002</v>
      </c>
      <c r="R89" s="3">
        <f t="shared" si="16"/>
        <v>1.5726600000000008</v>
      </c>
      <c r="S89" s="3">
        <f t="shared" si="17"/>
        <v>0.40105000000000146</v>
      </c>
      <c r="T89" s="3">
        <f t="shared" si="18"/>
        <v>0.69467000000000034</v>
      </c>
      <c r="U89" s="3">
        <f t="shared" si="19"/>
        <v>0.29361999999999888</v>
      </c>
    </row>
    <row r="90" spans="1:21" x14ac:dyDescent="0.25">
      <c r="A90" s="3">
        <v>1.2376625032188301E+18</v>
      </c>
      <c r="B90" s="3">
        <v>236.11035000000001</v>
      </c>
      <c r="C90" s="3">
        <v>36.119973000000002</v>
      </c>
      <c r="D90" s="3">
        <v>6.7648449999999999E-2</v>
      </c>
      <c r="E90" s="3">
        <v>0.59399050664315445</v>
      </c>
      <c r="F90" s="3">
        <v>20294.535</v>
      </c>
      <c r="G90" s="3">
        <v>19.996469999999999</v>
      </c>
      <c r="H90" s="3">
        <v>18.115349999999999</v>
      </c>
      <c r="I90" s="3">
        <v>17.2151</v>
      </c>
      <c r="J90" s="3">
        <v>16.794409999999999</v>
      </c>
      <c r="K90" s="3">
        <v>16.45692</v>
      </c>
      <c r="L90" s="3">
        <f t="shared" si="10"/>
        <v>1.8811199999999992</v>
      </c>
      <c r="M90" s="3">
        <f t="shared" si="11"/>
        <v>2.781369999999999</v>
      </c>
      <c r="N90" s="3">
        <f t="shared" si="12"/>
        <v>3.2020599999999995</v>
      </c>
      <c r="O90" s="3">
        <f t="shared" si="13"/>
        <v>3.5395499999999984</v>
      </c>
      <c r="P90" s="3">
        <f t="shared" si="14"/>
        <v>0.90024999999999977</v>
      </c>
      <c r="Q90" s="3">
        <f t="shared" si="15"/>
        <v>1.3209400000000002</v>
      </c>
      <c r="R90" s="3">
        <f t="shared" si="16"/>
        <v>1.6584299999999992</v>
      </c>
      <c r="S90" s="3">
        <f t="shared" si="17"/>
        <v>0.42069000000000045</v>
      </c>
      <c r="T90" s="3">
        <f t="shared" si="18"/>
        <v>0.75817999999999941</v>
      </c>
      <c r="U90" s="3">
        <f t="shared" si="19"/>
        <v>0.33748999999999896</v>
      </c>
    </row>
    <row r="91" spans="1:21" x14ac:dyDescent="0.25">
      <c r="A91" s="3">
        <v>1.23766250321903E+18</v>
      </c>
      <c r="B91" s="3">
        <v>236.61057</v>
      </c>
      <c r="C91" s="3">
        <v>35.901086999999997</v>
      </c>
      <c r="D91" s="3">
        <v>6.7894540000000003E-2</v>
      </c>
      <c r="E91" s="3">
        <v>1.9487999619048335</v>
      </c>
      <c r="F91" s="3">
        <v>20368.362000000001</v>
      </c>
      <c r="G91" s="3">
        <v>19.99746</v>
      </c>
      <c r="H91" s="3">
        <v>18.307790000000001</v>
      </c>
      <c r="I91" s="3">
        <v>17.463979999999999</v>
      </c>
      <c r="J91" s="3">
        <v>17.066040000000001</v>
      </c>
      <c r="K91" s="3">
        <v>16.785830000000001</v>
      </c>
      <c r="L91" s="3">
        <f t="shared" si="10"/>
        <v>1.6896699999999996</v>
      </c>
      <c r="M91" s="3">
        <f t="shared" si="11"/>
        <v>2.5334800000000008</v>
      </c>
      <c r="N91" s="3">
        <f t="shared" si="12"/>
        <v>2.9314199999999992</v>
      </c>
      <c r="O91" s="3">
        <f t="shared" si="13"/>
        <v>3.2116299999999995</v>
      </c>
      <c r="P91" s="3">
        <f t="shared" si="14"/>
        <v>0.84381000000000128</v>
      </c>
      <c r="Q91" s="3">
        <f t="shared" si="15"/>
        <v>1.2417499999999997</v>
      </c>
      <c r="R91" s="3">
        <f t="shared" si="16"/>
        <v>1.52196</v>
      </c>
      <c r="S91" s="3">
        <f t="shared" si="17"/>
        <v>0.39793999999999841</v>
      </c>
      <c r="T91" s="3">
        <f t="shared" si="18"/>
        <v>0.6781499999999987</v>
      </c>
      <c r="U91" s="3">
        <f t="shared" si="19"/>
        <v>0.28021000000000029</v>
      </c>
    </row>
    <row r="92" spans="1:21" x14ac:dyDescent="0.25">
      <c r="A92" s="3">
        <v>1.2376614659861299E+18</v>
      </c>
      <c r="B92" s="3">
        <v>235.94979000000001</v>
      </c>
      <c r="C92" s="3">
        <v>35.964848000000003</v>
      </c>
      <c r="D92" s="3">
        <v>6.8176280000000006E-2</v>
      </c>
      <c r="E92" s="3">
        <v>1.5098383949662031</v>
      </c>
      <c r="F92" s="3">
        <v>20452.884000000002</v>
      </c>
      <c r="G92" s="3">
        <v>18.46125</v>
      </c>
      <c r="H92" s="3">
        <v>17.373049999999999</v>
      </c>
      <c r="I92" s="3">
        <v>16.932849999999998</v>
      </c>
      <c r="J92" s="3">
        <v>16.602679999999999</v>
      </c>
      <c r="K92" s="3">
        <v>16.476800000000001</v>
      </c>
      <c r="L92" s="3">
        <f t="shared" si="10"/>
        <v>1.0882000000000005</v>
      </c>
      <c r="M92" s="3">
        <f t="shared" si="11"/>
        <v>1.5284000000000013</v>
      </c>
      <c r="N92" s="3">
        <f t="shared" si="12"/>
        <v>1.8585700000000003</v>
      </c>
      <c r="O92" s="3">
        <f t="shared" si="13"/>
        <v>1.9844499999999989</v>
      </c>
      <c r="P92" s="3">
        <f t="shared" si="14"/>
        <v>0.44020000000000081</v>
      </c>
      <c r="Q92" s="3">
        <f t="shared" si="15"/>
        <v>0.77036999999999978</v>
      </c>
      <c r="R92" s="3">
        <f t="shared" si="16"/>
        <v>0.89624999999999844</v>
      </c>
      <c r="S92" s="3">
        <f t="shared" si="17"/>
        <v>0.33016999999999896</v>
      </c>
      <c r="T92" s="3">
        <f t="shared" si="18"/>
        <v>0.45604999999999762</v>
      </c>
      <c r="U92" s="3">
        <f t="shared" si="19"/>
        <v>0.12587999999999866</v>
      </c>
    </row>
    <row r="93" spans="1:21" x14ac:dyDescent="0.25">
      <c r="A93" s="3">
        <v>1.2376625037558999E+18</v>
      </c>
      <c r="B93" s="3">
        <v>236.80717999999999</v>
      </c>
      <c r="C93" s="3">
        <v>36.161382000000003</v>
      </c>
      <c r="D93" s="3">
        <v>6.8195469999999994E-2</v>
      </c>
      <c r="E93" s="3">
        <v>2.4619321178881228</v>
      </c>
      <c r="F93" s="3">
        <v>20458.641</v>
      </c>
      <c r="G93" s="3">
        <v>20.42456</v>
      </c>
      <c r="H93" s="3">
        <v>18.481249999999999</v>
      </c>
      <c r="I93" s="3">
        <v>17.68561</v>
      </c>
      <c r="J93" s="3">
        <v>17.328389999999999</v>
      </c>
      <c r="K93" s="3">
        <v>17.064520000000002</v>
      </c>
      <c r="L93" s="3">
        <f t="shared" si="10"/>
        <v>1.9433100000000003</v>
      </c>
      <c r="M93" s="3">
        <f t="shared" si="11"/>
        <v>2.7389499999999991</v>
      </c>
      <c r="N93" s="3">
        <f t="shared" si="12"/>
        <v>3.0961700000000008</v>
      </c>
      <c r="O93" s="3">
        <f t="shared" si="13"/>
        <v>3.3600399999999979</v>
      </c>
      <c r="P93" s="3">
        <f t="shared" si="14"/>
        <v>0.79563999999999879</v>
      </c>
      <c r="Q93" s="3">
        <f t="shared" si="15"/>
        <v>1.1528600000000004</v>
      </c>
      <c r="R93" s="3">
        <f t="shared" si="16"/>
        <v>1.4167299999999976</v>
      </c>
      <c r="S93" s="3">
        <f t="shared" si="17"/>
        <v>0.35722000000000165</v>
      </c>
      <c r="T93" s="3">
        <f t="shared" si="18"/>
        <v>0.62108999999999881</v>
      </c>
      <c r="U93" s="3">
        <f t="shared" si="19"/>
        <v>0.26386999999999716</v>
      </c>
    </row>
    <row r="94" spans="1:21" x14ac:dyDescent="0.25">
      <c r="A94" s="3">
        <v>1.23766247369074E+18</v>
      </c>
      <c r="B94" s="3">
        <v>235.99565000000001</v>
      </c>
      <c r="C94" s="3">
        <v>36.567264999999999</v>
      </c>
      <c r="D94" s="3">
        <v>6.846621E-2</v>
      </c>
      <c r="E94" s="3">
        <v>2.6996296684349255</v>
      </c>
      <c r="F94" s="3">
        <v>20539.863000000001</v>
      </c>
      <c r="G94" s="3">
        <v>19.35012</v>
      </c>
      <c r="H94" s="3">
        <v>17.983080000000001</v>
      </c>
      <c r="I94" s="3">
        <v>17.352709999999998</v>
      </c>
      <c r="J94" s="3">
        <v>16.99728</v>
      </c>
      <c r="K94" s="3">
        <v>16.79036</v>
      </c>
      <c r="L94" s="3">
        <f t="shared" si="10"/>
        <v>1.3670399999999994</v>
      </c>
      <c r="M94" s="3">
        <f t="shared" si="11"/>
        <v>1.9974100000000021</v>
      </c>
      <c r="N94" s="3">
        <f t="shared" si="12"/>
        <v>2.3528400000000005</v>
      </c>
      <c r="O94" s="3">
        <f t="shared" si="13"/>
        <v>2.5597600000000007</v>
      </c>
      <c r="P94" s="3">
        <f t="shared" si="14"/>
        <v>0.63037000000000276</v>
      </c>
      <c r="Q94" s="3">
        <f t="shared" si="15"/>
        <v>0.98580000000000112</v>
      </c>
      <c r="R94" s="3">
        <f t="shared" si="16"/>
        <v>1.1927200000000013</v>
      </c>
      <c r="S94" s="3">
        <f t="shared" si="17"/>
        <v>0.35542999999999836</v>
      </c>
      <c r="T94" s="3">
        <f t="shared" si="18"/>
        <v>0.56234999999999857</v>
      </c>
      <c r="U94" s="3">
        <f t="shared" si="19"/>
        <v>0.20692000000000021</v>
      </c>
    </row>
    <row r="95" spans="1:21" x14ac:dyDescent="0.25">
      <c r="A95" s="3">
        <v>1.2376624736908001E+18</v>
      </c>
      <c r="B95" s="3">
        <v>236.03367</v>
      </c>
      <c r="C95" s="3">
        <v>36.556773</v>
      </c>
      <c r="D95" s="3">
        <v>6.8495280000000006E-2</v>
      </c>
      <c r="E95" s="3">
        <v>2.5844001972309258</v>
      </c>
      <c r="F95" s="3">
        <v>20548.584000000003</v>
      </c>
      <c r="G95" s="3">
        <v>17.964590000000001</v>
      </c>
      <c r="H95" s="3">
        <v>16.2136</v>
      </c>
      <c r="I95" s="3">
        <v>15.390890000000001</v>
      </c>
      <c r="J95" s="3">
        <v>15.009230000000001</v>
      </c>
      <c r="K95" s="3">
        <v>14.696619999999999</v>
      </c>
      <c r="L95" s="3">
        <f t="shared" si="10"/>
        <v>1.7509900000000016</v>
      </c>
      <c r="M95" s="3">
        <f t="shared" si="11"/>
        <v>2.5737000000000005</v>
      </c>
      <c r="N95" s="3">
        <f t="shared" si="12"/>
        <v>2.9553600000000007</v>
      </c>
      <c r="O95" s="3">
        <f t="shared" si="13"/>
        <v>3.2679700000000018</v>
      </c>
      <c r="P95" s="3">
        <f t="shared" si="14"/>
        <v>0.82270999999999894</v>
      </c>
      <c r="Q95" s="3">
        <f t="shared" si="15"/>
        <v>1.2043699999999991</v>
      </c>
      <c r="R95" s="3">
        <f t="shared" si="16"/>
        <v>1.5169800000000002</v>
      </c>
      <c r="S95" s="3">
        <f t="shared" si="17"/>
        <v>0.38166000000000011</v>
      </c>
      <c r="T95" s="3">
        <f t="shared" si="18"/>
        <v>0.69427000000000127</v>
      </c>
      <c r="U95" s="3">
        <f t="shared" si="19"/>
        <v>0.31261000000000116</v>
      </c>
    </row>
    <row r="96" spans="1:21" x14ac:dyDescent="0.25">
      <c r="A96" s="3">
        <v>1.2376624731539999E+18</v>
      </c>
      <c r="B96" s="3">
        <v>235.94121000000001</v>
      </c>
      <c r="C96" s="3">
        <v>36.107756999999999</v>
      </c>
      <c r="D96" s="3">
        <v>6.8518010000000004E-2</v>
      </c>
      <c r="E96" s="3">
        <v>1.3287770152613074</v>
      </c>
      <c r="F96" s="3">
        <v>20555.403000000002</v>
      </c>
      <c r="G96" s="3">
        <v>18.73978</v>
      </c>
      <c r="H96" s="3">
        <v>16.921029999999998</v>
      </c>
      <c r="I96" s="3">
        <v>16.10388</v>
      </c>
      <c r="J96" s="3">
        <v>15.726139999999999</v>
      </c>
      <c r="K96" s="3">
        <v>15.4337</v>
      </c>
      <c r="L96" s="3">
        <f t="shared" si="10"/>
        <v>1.8187500000000014</v>
      </c>
      <c r="M96" s="3">
        <f t="shared" si="11"/>
        <v>2.6358999999999995</v>
      </c>
      <c r="N96" s="3">
        <f t="shared" si="12"/>
        <v>3.0136400000000005</v>
      </c>
      <c r="O96" s="3">
        <f t="shared" si="13"/>
        <v>3.3060799999999997</v>
      </c>
      <c r="P96" s="3">
        <f t="shared" si="14"/>
        <v>0.81714999999999804</v>
      </c>
      <c r="Q96" s="3">
        <f t="shared" si="15"/>
        <v>1.1948899999999991</v>
      </c>
      <c r="R96" s="3">
        <f t="shared" si="16"/>
        <v>1.4873299999999983</v>
      </c>
      <c r="S96" s="3">
        <f t="shared" si="17"/>
        <v>0.37774000000000107</v>
      </c>
      <c r="T96" s="3">
        <f t="shared" si="18"/>
        <v>0.67018000000000022</v>
      </c>
      <c r="U96" s="3">
        <f t="shared" si="19"/>
        <v>0.29243999999999915</v>
      </c>
    </row>
    <row r="97" spans="1:21" x14ac:dyDescent="0.25">
      <c r="A97" s="3">
        <v>1.2376625032187699E+18</v>
      </c>
      <c r="B97" s="3">
        <v>236.0421</v>
      </c>
      <c r="C97" s="3">
        <v>36.258574000000003</v>
      </c>
      <c r="D97" s="3">
        <v>6.8584859999999997E-2</v>
      </c>
      <c r="E97" s="3">
        <v>1.1983817949049209</v>
      </c>
      <c r="F97" s="3">
        <v>20575.457999999999</v>
      </c>
      <c r="G97" s="3">
        <v>19.974150000000002</v>
      </c>
      <c r="H97" s="3">
        <v>18.351579999999998</v>
      </c>
      <c r="I97" s="3">
        <v>17.504480000000001</v>
      </c>
      <c r="J97" s="3">
        <v>17.0745</v>
      </c>
      <c r="K97" s="3">
        <v>16.702069999999999</v>
      </c>
      <c r="L97" s="3">
        <f t="shared" si="10"/>
        <v>1.6225700000000032</v>
      </c>
      <c r="M97" s="3">
        <f t="shared" si="11"/>
        <v>2.4696700000000007</v>
      </c>
      <c r="N97" s="3">
        <f t="shared" si="12"/>
        <v>2.8996500000000012</v>
      </c>
      <c r="O97" s="3">
        <f t="shared" si="13"/>
        <v>3.2720800000000025</v>
      </c>
      <c r="P97" s="3">
        <f t="shared" si="14"/>
        <v>0.84709999999999752</v>
      </c>
      <c r="Q97" s="3">
        <f t="shared" si="15"/>
        <v>1.277079999999998</v>
      </c>
      <c r="R97" s="3">
        <f t="shared" si="16"/>
        <v>1.6495099999999994</v>
      </c>
      <c r="S97" s="3">
        <f t="shared" si="17"/>
        <v>0.42998000000000047</v>
      </c>
      <c r="T97" s="3">
        <f t="shared" si="18"/>
        <v>0.80241000000000184</v>
      </c>
      <c r="U97" s="3">
        <f t="shared" si="19"/>
        <v>0.37243000000000137</v>
      </c>
    </row>
    <row r="98" spans="1:21" x14ac:dyDescent="0.25">
      <c r="A98" s="3">
        <v>1.2376625032188301E+18</v>
      </c>
      <c r="B98" s="3">
        <v>236.21589</v>
      </c>
      <c r="C98" s="3">
        <v>36.166634999999999</v>
      </c>
      <c r="D98" s="3">
        <v>6.8595450000000002E-2</v>
      </c>
      <c r="E98" s="3">
        <v>0.33525437214035148</v>
      </c>
      <c r="F98" s="3">
        <v>20578.635000000002</v>
      </c>
      <c r="G98" s="3">
        <v>19.09057</v>
      </c>
      <c r="H98" s="3">
        <v>17.242709999999999</v>
      </c>
      <c r="I98" s="3">
        <v>16.34496</v>
      </c>
      <c r="J98" s="3">
        <v>15.90724</v>
      </c>
      <c r="K98" s="3">
        <v>15.57906</v>
      </c>
      <c r="L98" s="3">
        <f t="shared" si="10"/>
        <v>1.8478600000000007</v>
      </c>
      <c r="M98" s="3">
        <f t="shared" si="11"/>
        <v>2.7456099999999992</v>
      </c>
      <c r="N98" s="3">
        <f t="shared" si="12"/>
        <v>3.1833299999999998</v>
      </c>
      <c r="O98" s="3">
        <f t="shared" si="13"/>
        <v>3.5115099999999995</v>
      </c>
      <c r="P98" s="3">
        <f t="shared" si="14"/>
        <v>0.89774999999999849</v>
      </c>
      <c r="Q98" s="3">
        <f t="shared" si="15"/>
        <v>1.335469999999999</v>
      </c>
      <c r="R98" s="3">
        <f t="shared" si="16"/>
        <v>1.6636499999999987</v>
      </c>
      <c r="S98" s="3">
        <f t="shared" si="17"/>
        <v>0.43772000000000055</v>
      </c>
      <c r="T98" s="3">
        <f t="shared" si="18"/>
        <v>0.76590000000000025</v>
      </c>
      <c r="U98" s="3">
        <f t="shared" si="19"/>
        <v>0.32817999999999969</v>
      </c>
    </row>
    <row r="99" spans="1:21" x14ac:dyDescent="0.25">
      <c r="A99" s="3">
        <v>1.23766247369074E+18</v>
      </c>
      <c r="B99" s="3">
        <v>236.01264</v>
      </c>
      <c r="C99" s="3">
        <v>36.597296999999998</v>
      </c>
      <c r="D99" s="3">
        <v>6.8684869999999995E-2</v>
      </c>
      <c r="E99" s="3">
        <v>2.8212471416323228</v>
      </c>
      <c r="F99" s="3">
        <v>20605.460999999999</v>
      </c>
      <c r="G99" s="3">
        <v>18.202089999999998</v>
      </c>
      <c r="H99" s="3">
        <v>16.38552</v>
      </c>
      <c r="I99" s="3">
        <v>15.5588</v>
      </c>
      <c r="J99" s="3">
        <v>15.18113</v>
      </c>
      <c r="K99" s="3">
        <v>14.879060000000001</v>
      </c>
      <c r="L99" s="3">
        <f t="shared" si="10"/>
        <v>1.8165699999999987</v>
      </c>
      <c r="M99" s="3">
        <f t="shared" si="11"/>
        <v>2.6432899999999986</v>
      </c>
      <c r="N99" s="3">
        <f t="shared" si="12"/>
        <v>3.0209599999999988</v>
      </c>
      <c r="O99" s="3">
        <f t="shared" si="13"/>
        <v>3.3230299999999975</v>
      </c>
      <c r="P99" s="3">
        <f t="shared" si="14"/>
        <v>0.8267199999999999</v>
      </c>
      <c r="Q99" s="3">
        <f t="shared" si="15"/>
        <v>1.2043900000000001</v>
      </c>
      <c r="R99" s="3">
        <f t="shared" si="16"/>
        <v>1.5064599999999988</v>
      </c>
      <c r="S99" s="3">
        <f t="shared" si="17"/>
        <v>0.37767000000000017</v>
      </c>
      <c r="T99" s="3">
        <f t="shared" si="18"/>
        <v>0.6797399999999989</v>
      </c>
      <c r="U99" s="3">
        <f t="shared" si="19"/>
        <v>0.30206999999999873</v>
      </c>
    </row>
    <row r="100" spans="1:21" x14ac:dyDescent="0.25">
      <c r="A100" s="3">
        <v>1.23766247315426E+18</v>
      </c>
      <c r="B100" s="3">
        <v>236.56117</v>
      </c>
      <c r="C100" s="3">
        <v>35.739919</v>
      </c>
      <c r="D100" s="3">
        <v>6.869741E-2</v>
      </c>
      <c r="E100" s="3">
        <v>2.4236896200359808</v>
      </c>
      <c r="F100" s="3">
        <v>20609.223000000002</v>
      </c>
      <c r="G100" s="3">
        <v>18.996980000000001</v>
      </c>
      <c r="H100" s="3">
        <v>17.72148</v>
      </c>
      <c r="I100" s="3">
        <v>17.081689999999998</v>
      </c>
      <c r="J100" s="3">
        <v>16.718</v>
      </c>
      <c r="K100" s="3">
        <v>16.481999999999999</v>
      </c>
      <c r="L100" s="3">
        <f t="shared" si="10"/>
        <v>1.275500000000001</v>
      </c>
      <c r="M100" s="3">
        <f t="shared" si="11"/>
        <v>1.9152900000000024</v>
      </c>
      <c r="N100" s="3">
        <f t="shared" si="12"/>
        <v>2.2789800000000007</v>
      </c>
      <c r="O100" s="3">
        <f t="shared" si="13"/>
        <v>2.5149800000000013</v>
      </c>
      <c r="P100" s="3">
        <f t="shared" si="14"/>
        <v>0.63979000000000141</v>
      </c>
      <c r="Q100" s="3">
        <f t="shared" si="15"/>
        <v>1.0034799999999997</v>
      </c>
      <c r="R100" s="3">
        <f t="shared" si="16"/>
        <v>1.2394800000000004</v>
      </c>
      <c r="S100" s="3">
        <f t="shared" si="17"/>
        <v>0.36368999999999829</v>
      </c>
      <c r="T100" s="3">
        <f t="shared" si="18"/>
        <v>0.59968999999999895</v>
      </c>
      <c r="U100" s="3">
        <f t="shared" si="19"/>
        <v>0.23600000000000065</v>
      </c>
    </row>
    <row r="101" spans="1:21" x14ac:dyDescent="0.25">
      <c r="A101" s="3">
        <v>1.2376614659863301E+18</v>
      </c>
      <c r="B101" s="3">
        <v>236.32719</v>
      </c>
      <c r="C101" s="3">
        <v>35.705584000000002</v>
      </c>
      <c r="D101" s="3">
        <v>6.8698999999999996E-2</v>
      </c>
      <c r="E101" s="3">
        <v>2.2082528838550757</v>
      </c>
      <c r="F101" s="3">
        <v>20609.699999999997</v>
      </c>
      <c r="G101" s="3">
        <v>19.936879999999999</v>
      </c>
      <c r="H101" s="3">
        <v>18.340029999999999</v>
      </c>
      <c r="I101" s="3">
        <v>17.570229999999999</v>
      </c>
      <c r="J101" s="3">
        <v>17.19903</v>
      </c>
      <c r="K101" s="3">
        <v>16.891870000000001</v>
      </c>
      <c r="L101" s="3">
        <f t="shared" si="10"/>
        <v>1.5968499999999999</v>
      </c>
      <c r="M101" s="3">
        <f t="shared" si="11"/>
        <v>2.3666499999999999</v>
      </c>
      <c r="N101" s="3">
        <f t="shared" si="12"/>
        <v>2.7378499999999981</v>
      </c>
      <c r="O101" s="3">
        <f t="shared" si="13"/>
        <v>3.0450099999999978</v>
      </c>
      <c r="P101" s="3">
        <f t="shared" si="14"/>
        <v>0.76980000000000004</v>
      </c>
      <c r="Q101" s="3">
        <f t="shared" si="15"/>
        <v>1.1409999999999982</v>
      </c>
      <c r="R101" s="3">
        <f t="shared" si="16"/>
        <v>1.4481599999999979</v>
      </c>
      <c r="S101" s="3">
        <f t="shared" si="17"/>
        <v>0.3711999999999982</v>
      </c>
      <c r="T101" s="3">
        <f t="shared" si="18"/>
        <v>0.67835999999999785</v>
      </c>
      <c r="U101" s="3">
        <f t="shared" si="19"/>
        <v>0.30715999999999966</v>
      </c>
    </row>
    <row r="102" spans="1:21" x14ac:dyDescent="0.25">
      <c r="A102" s="3">
        <v>1.2376625032189E+18</v>
      </c>
      <c r="B102" s="3">
        <v>236.34595999999999</v>
      </c>
      <c r="C102" s="3">
        <v>36.106417999999998</v>
      </c>
      <c r="D102" s="3">
        <v>6.8745210000000001E-2</v>
      </c>
      <c r="E102" s="3">
        <v>0.43620623965546879</v>
      </c>
      <c r="F102" s="3">
        <v>20623.563000000002</v>
      </c>
      <c r="G102" s="3">
        <v>18.99652</v>
      </c>
      <c r="H102" s="3">
        <v>17.053540000000002</v>
      </c>
      <c r="I102" s="3">
        <v>16.14873</v>
      </c>
      <c r="J102" s="3">
        <v>15.73401</v>
      </c>
      <c r="K102" s="3">
        <v>15.43038</v>
      </c>
      <c r="L102" s="3">
        <f t="shared" si="10"/>
        <v>1.9429799999999986</v>
      </c>
      <c r="M102" s="3">
        <f t="shared" si="11"/>
        <v>2.8477899999999998</v>
      </c>
      <c r="N102" s="3">
        <f t="shared" si="12"/>
        <v>3.2625100000000007</v>
      </c>
      <c r="O102" s="3">
        <f t="shared" si="13"/>
        <v>3.5661400000000008</v>
      </c>
      <c r="P102" s="3">
        <f t="shared" si="14"/>
        <v>0.90481000000000122</v>
      </c>
      <c r="Q102" s="3">
        <f t="shared" si="15"/>
        <v>1.3195300000000021</v>
      </c>
      <c r="R102" s="3">
        <f t="shared" si="16"/>
        <v>1.6231600000000022</v>
      </c>
      <c r="S102" s="3">
        <f t="shared" si="17"/>
        <v>0.41472000000000087</v>
      </c>
      <c r="T102" s="3">
        <f t="shared" si="18"/>
        <v>0.71835000000000093</v>
      </c>
      <c r="U102" s="3">
        <f t="shared" si="19"/>
        <v>0.30363000000000007</v>
      </c>
    </row>
    <row r="103" spans="1:21" x14ac:dyDescent="0.25">
      <c r="A103" s="3">
        <v>1.2376624736910001E+18</v>
      </c>
      <c r="B103" s="3">
        <v>236.36196000000001</v>
      </c>
      <c r="C103" s="3">
        <v>36.155037</v>
      </c>
      <c r="D103" s="3">
        <v>6.8889779999999998E-2</v>
      </c>
      <c r="E103" s="3">
        <v>0.56215857671187697</v>
      </c>
      <c r="F103" s="3">
        <v>20666.934000000001</v>
      </c>
      <c r="G103" s="3">
        <v>19.351669999999999</v>
      </c>
      <c r="H103" s="3">
        <v>17.530329999999999</v>
      </c>
      <c r="I103" s="3">
        <v>16.699190000000002</v>
      </c>
      <c r="J103" s="3">
        <v>16.311050000000002</v>
      </c>
      <c r="K103" s="3">
        <v>16.013770000000001</v>
      </c>
      <c r="L103" s="3">
        <f t="shared" si="10"/>
        <v>1.8213399999999993</v>
      </c>
      <c r="M103" s="3">
        <f t="shared" si="11"/>
        <v>2.6524799999999971</v>
      </c>
      <c r="N103" s="3">
        <f t="shared" si="12"/>
        <v>3.040619999999997</v>
      </c>
      <c r="O103" s="3">
        <f t="shared" si="13"/>
        <v>3.3378999999999976</v>
      </c>
      <c r="P103" s="3">
        <f t="shared" si="14"/>
        <v>0.83113999999999777</v>
      </c>
      <c r="Q103" s="3">
        <f t="shared" si="15"/>
        <v>1.2192799999999977</v>
      </c>
      <c r="R103" s="3">
        <f t="shared" si="16"/>
        <v>1.5165599999999984</v>
      </c>
      <c r="S103" s="3">
        <f t="shared" si="17"/>
        <v>0.38813999999999993</v>
      </c>
      <c r="T103" s="3">
        <f t="shared" si="18"/>
        <v>0.68542000000000058</v>
      </c>
      <c r="U103" s="3">
        <f t="shared" si="19"/>
        <v>0.29728000000000065</v>
      </c>
    </row>
    <row r="104" spans="1:21" x14ac:dyDescent="0.25">
      <c r="A104" s="3">
        <v>1.23766247315406E+18</v>
      </c>
      <c r="B104" s="3">
        <v>236.03241</v>
      </c>
      <c r="C104" s="3">
        <v>36.017156</v>
      </c>
      <c r="D104" s="3">
        <v>6.8977289999999997E-2</v>
      </c>
      <c r="E104" s="3">
        <v>1.0564641747642374</v>
      </c>
      <c r="F104" s="3">
        <v>20693.186999999998</v>
      </c>
      <c r="G104" s="3">
        <v>20.215199999999999</v>
      </c>
      <c r="H104" s="3">
        <v>18.42408</v>
      </c>
      <c r="I104" s="3">
        <v>17.549959999999999</v>
      </c>
      <c r="J104" s="3">
        <v>17.076440000000002</v>
      </c>
      <c r="K104" s="3">
        <v>16.764320000000001</v>
      </c>
      <c r="L104" s="3">
        <f t="shared" si="10"/>
        <v>1.7911199999999994</v>
      </c>
      <c r="M104" s="3">
        <f t="shared" si="11"/>
        <v>2.6652400000000007</v>
      </c>
      <c r="N104" s="3">
        <f t="shared" si="12"/>
        <v>3.1387599999999978</v>
      </c>
      <c r="O104" s="3">
        <f t="shared" si="13"/>
        <v>3.4508799999999979</v>
      </c>
      <c r="P104" s="3">
        <f t="shared" si="14"/>
        <v>0.87412000000000134</v>
      </c>
      <c r="Q104" s="3">
        <f t="shared" si="15"/>
        <v>1.3476399999999984</v>
      </c>
      <c r="R104" s="3">
        <f t="shared" si="16"/>
        <v>1.6597599999999986</v>
      </c>
      <c r="S104" s="3">
        <f t="shared" si="17"/>
        <v>0.47351999999999705</v>
      </c>
      <c r="T104" s="3">
        <f t="shared" si="18"/>
        <v>0.78563999999999723</v>
      </c>
      <c r="U104" s="3">
        <f t="shared" si="19"/>
        <v>0.31212000000000018</v>
      </c>
    </row>
    <row r="105" spans="1:21" x14ac:dyDescent="0.25">
      <c r="A105" s="3">
        <v>1.2376614659861299E+18</v>
      </c>
      <c r="B105" s="3">
        <v>235.89382000000001</v>
      </c>
      <c r="C105" s="3">
        <v>35.877684000000002</v>
      </c>
      <c r="D105" s="3">
        <v>6.9098850000000003E-2</v>
      </c>
      <c r="E105" s="3">
        <v>1.9820989003807117</v>
      </c>
      <c r="F105" s="3">
        <v>20729.655000000002</v>
      </c>
      <c r="G105" s="3">
        <v>18.544239999999999</v>
      </c>
      <c r="H105" s="3">
        <v>17.128440000000001</v>
      </c>
      <c r="I105" s="3">
        <v>16.460920000000002</v>
      </c>
      <c r="J105" s="3">
        <v>16.072150000000001</v>
      </c>
      <c r="K105" s="3">
        <v>15.81006</v>
      </c>
      <c r="L105" s="3">
        <f t="shared" si="10"/>
        <v>1.4157999999999973</v>
      </c>
      <c r="M105" s="3">
        <f t="shared" si="11"/>
        <v>2.083319999999997</v>
      </c>
      <c r="N105" s="3">
        <f t="shared" si="12"/>
        <v>2.4720899999999979</v>
      </c>
      <c r="O105" s="3">
        <f t="shared" si="13"/>
        <v>2.7341799999999985</v>
      </c>
      <c r="P105" s="3">
        <f t="shared" si="14"/>
        <v>0.66751999999999967</v>
      </c>
      <c r="Q105" s="3">
        <f t="shared" si="15"/>
        <v>1.0562900000000006</v>
      </c>
      <c r="R105" s="3">
        <f t="shared" si="16"/>
        <v>1.3183800000000012</v>
      </c>
      <c r="S105" s="3">
        <f t="shared" si="17"/>
        <v>0.38877000000000095</v>
      </c>
      <c r="T105" s="3">
        <f t="shared" si="18"/>
        <v>0.65086000000000155</v>
      </c>
      <c r="U105" s="3">
        <f t="shared" si="19"/>
        <v>0.2620900000000006</v>
      </c>
    </row>
    <row r="106" spans="1:21" x14ac:dyDescent="0.25">
      <c r="A106" s="3">
        <v>1.2376625032189E+18</v>
      </c>
      <c r="B106" s="3">
        <v>236.28028</v>
      </c>
      <c r="C106" s="3">
        <v>36.090775999999998</v>
      </c>
      <c r="D106" s="3">
        <v>6.9101659999999995E-2</v>
      </c>
      <c r="E106" s="3">
        <v>0.18037073474107862</v>
      </c>
      <c r="F106" s="3">
        <v>20730.498</v>
      </c>
      <c r="G106" s="3">
        <v>19.030889999999999</v>
      </c>
      <c r="H106" s="3">
        <v>17.141100000000002</v>
      </c>
      <c r="I106" s="3">
        <v>16.208729999999999</v>
      </c>
      <c r="J106" s="3">
        <v>15.76389</v>
      </c>
      <c r="K106" s="3">
        <v>15.42578</v>
      </c>
      <c r="L106" s="3">
        <f t="shared" si="10"/>
        <v>1.8897899999999979</v>
      </c>
      <c r="M106" s="3">
        <f t="shared" si="11"/>
        <v>2.8221600000000002</v>
      </c>
      <c r="N106" s="3">
        <f t="shared" si="12"/>
        <v>3.2669999999999995</v>
      </c>
      <c r="O106" s="3">
        <f t="shared" si="13"/>
        <v>3.6051099999999998</v>
      </c>
      <c r="P106" s="3">
        <f t="shared" si="14"/>
        <v>0.93237000000000236</v>
      </c>
      <c r="Q106" s="3">
        <f t="shared" si="15"/>
        <v>1.3772100000000016</v>
      </c>
      <c r="R106" s="3">
        <f t="shared" si="16"/>
        <v>1.715320000000002</v>
      </c>
      <c r="S106" s="3">
        <f t="shared" si="17"/>
        <v>0.44483999999999924</v>
      </c>
      <c r="T106" s="3">
        <f t="shared" si="18"/>
        <v>0.78294999999999959</v>
      </c>
      <c r="U106" s="3">
        <f t="shared" si="19"/>
        <v>0.33811000000000035</v>
      </c>
    </row>
    <row r="107" spans="1:21" x14ac:dyDescent="0.25">
      <c r="A107" s="3">
        <v>1.2376623378635799E+18</v>
      </c>
      <c r="B107" s="3">
        <v>235.88793999999999</v>
      </c>
      <c r="C107" s="3">
        <v>35.759864999999998</v>
      </c>
      <c r="D107" s="3">
        <v>6.9166039999999998E-2</v>
      </c>
      <c r="E107" s="3">
        <v>2.4508866402239757</v>
      </c>
      <c r="F107" s="3">
        <v>20749.811999999998</v>
      </c>
      <c r="G107" s="3">
        <v>19.256969999999999</v>
      </c>
      <c r="H107" s="3">
        <v>17.347950000000001</v>
      </c>
      <c r="I107" s="3">
        <v>16.477550000000001</v>
      </c>
      <c r="J107" s="3">
        <v>16.08006</v>
      </c>
      <c r="K107" s="3">
        <v>15.789910000000001</v>
      </c>
      <c r="L107" s="3">
        <f t="shared" si="10"/>
        <v>1.9090199999999982</v>
      </c>
      <c r="M107" s="3">
        <f t="shared" si="11"/>
        <v>2.7794199999999982</v>
      </c>
      <c r="N107" s="3">
        <f t="shared" si="12"/>
        <v>3.1769099999999995</v>
      </c>
      <c r="O107" s="3">
        <f t="shared" si="13"/>
        <v>3.4670599999999983</v>
      </c>
      <c r="P107" s="3">
        <f t="shared" si="14"/>
        <v>0.87040000000000006</v>
      </c>
      <c r="Q107" s="3">
        <f t="shared" si="15"/>
        <v>1.2678900000000013</v>
      </c>
      <c r="R107" s="3">
        <f t="shared" si="16"/>
        <v>1.5580400000000001</v>
      </c>
      <c r="S107" s="3">
        <f t="shared" si="17"/>
        <v>0.39749000000000123</v>
      </c>
      <c r="T107" s="3">
        <f t="shared" si="18"/>
        <v>0.68764000000000003</v>
      </c>
      <c r="U107" s="3">
        <f t="shared" si="19"/>
        <v>0.2901499999999988</v>
      </c>
    </row>
    <row r="108" spans="1:21" x14ac:dyDescent="0.25">
      <c r="A108" s="3">
        <v>1.2376614659863301E+18</v>
      </c>
      <c r="B108" s="3">
        <v>236.30957000000001</v>
      </c>
      <c r="C108" s="3">
        <v>35.697831999999998</v>
      </c>
      <c r="D108" s="3">
        <v>6.9270659999999998E-2</v>
      </c>
      <c r="E108" s="3">
        <v>2.2386950062963855</v>
      </c>
      <c r="F108" s="3">
        <v>20781.198</v>
      </c>
      <c r="G108" s="3">
        <v>18.01606</v>
      </c>
      <c r="H108" s="3">
        <v>16.09929</v>
      </c>
      <c r="I108" s="3">
        <v>15.19774</v>
      </c>
      <c r="J108" s="3">
        <v>14.768940000000001</v>
      </c>
      <c r="K108" s="3">
        <v>14.463229999999999</v>
      </c>
      <c r="L108" s="3">
        <f t="shared" si="10"/>
        <v>1.9167699999999996</v>
      </c>
      <c r="M108" s="3">
        <f t="shared" si="11"/>
        <v>2.8183199999999999</v>
      </c>
      <c r="N108" s="3">
        <f t="shared" si="12"/>
        <v>3.2471199999999989</v>
      </c>
      <c r="O108" s="3">
        <f t="shared" si="13"/>
        <v>3.5528300000000002</v>
      </c>
      <c r="P108" s="3">
        <f t="shared" si="14"/>
        <v>0.9015500000000003</v>
      </c>
      <c r="Q108" s="3">
        <f t="shared" si="15"/>
        <v>1.3303499999999993</v>
      </c>
      <c r="R108" s="3">
        <f t="shared" si="16"/>
        <v>1.6360600000000005</v>
      </c>
      <c r="S108" s="3">
        <f t="shared" si="17"/>
        <v>0.42879999999999896</v>
      </c>
      <c r="T108" s="3">
        <f t="shared" si="18"/>
        <v>0.73451000000000022</v>
      </c>
      <c r="U108" s="3">
        <f t="shared" si="19"/>
        <v>0.30571000000000126</v>
      </c>
    </row>
    <row r="109" spans="1:21" x14ac:dyDescent="0.25">
      <c r="A109" s="3">
        <v>1.2376624736909299E+18</v>
      </c>
      <c r="B109" s="3">
        <v>236.19955999999999</v>
      </c>
      <c r="C109" s="3">
        <v>36.264617999999999</v>
      </c>
      <c r="D109" s="3">
        <v>6.9475839999999997E-2</v>
      </c>
      <c r="E109" s="3">
        <v>0.86136950659901601</v>
      </c>
      <c r="F109" s="3">
        <v>20842.752</v>
      </c>
      <c r="G109" s="3">
        <v>20.21707</v>
      </c>
      <c r="H109" s="3">
        <v>18.49025</v>
      </c>
      <c r="I109" s="3">
        <v>17.647670000000002</v>
      </c>
      <c r="J109" s="3">
        <v>17.2561</v>
      </c>
      <c r="K109" s="3">
        <v>16.956479999999999</v>
      </c>
      <c r="L109" s="3">
        <f t="shared" si="10"/>
        <v>1.72682</v>
      </c>
      <c r="M109" s="3">
        <f t="shared" si="11"/>
        <v>2.5693999999999981</v>
      </c>
      <c r="N109" s="3">
        <f t="shared" si="12"/>
        <v>2.9609699999999997</v>
      </c>
      <c r="O109" s="3">
        <f t="shared" si="13"/>
        <v>3.2605900000000005</v>
      </c>
      <c r="P109" s="3">
        <f t="shared" si="14"/>
        <v>0.84257999999999811</v>
      </c>
      <c r="Q109" s="3">
        <f t="shared" si="15"/>
        <v>1.2341499999999996</v>
      </c>
      <c r="R109" s="3">
        <f t="shared" si="16"/>
        <v>1.5337700000000005</v>
      </c>
      <c r="S109" s="3">
        <f t="shared" si="17"/>
        <v>0.39157000000000153</v>
      </c>
      <c r="T109" s="3">
        <f t="shared" si="18"/>
        <v>0.69119000000000241</v>
      </c>
      <c r="U109" s="3">
        <f t="shared" si="19"/>
        <v>0.29962000000000089</v>
      </c>
    </row>
    <row r="110" spans="1:21" x14ac:dyDescent="0.25">
      <c r="A110" s="3">
        <v>1.2376625032188301E+18</v>
      </c>
      <c r="B110" s="3">
        <v>236.20070000000001</v>
      </c>
      <c r="C110" s="3">
        <v>36.100549000000001</v>
      </c>
      <c r="D110" s="3">
        <v>6.9494669999999995E-2</v>
      </c>
      <c r="E110" s="3">
        <v>0.20319326236465482</v>
      </c>
      <c r="F110" s="3">
        <v>20848.400999999998</v>
      </c>
      <c r="G110" s="3">
        <v>20.169840000000001</v>
      </c>
      <c r="H110" s="3">
        <v>18.233059999999998</v>
      </c>
      <c r="I110" s="3">
        <v>17.330100000000002</v>
      </c>
      <c r="J110" s="3">
        <v>16.886859999999999</v>
      </c>
      <c r="K110" s="3">
        <v>16.575589999999998</v>
      </c>
      <c r="L110" s="3">
        <f t="shared" si="10"/>
        <v>1.9367800000000024</v>
      </c>
      <c r="M110" s="3">
        <f t="shared" si="11"/>
        <v>2.839739999999999</v>
      </c>
      <c r="N110" s="3">
        <f t="shared" si="12"/>
        <v>3.282980000000002</v>
      </c>
      <c r="O110" s="3">
        <f t="shared" si="13"/>
        <v>3.5942500000000024</v>
      </c>
      <c r="P110" s="3">
        <f t="shared" si="14"/>
        <v>0.90295999999999665</v>
      </c>
      <c r="Q110" s="3">
        <f t="shared" si="15"/>
        <v>1.3461999999999996</v>
      </c>
      <c r="R110" s="3">
        <f t="shared" si="16"/>
        <v>1.65747</v>
      </c>
      <c r="S110" s="3">
        <f t="shared" si="17"/>
        <v>0.44324000000000296</v>
      </c>
      <c r="T110" s="3">
        <f t="shared" si="18"/>
        <v>0.75451000000000334</v>
      </c>
      <c r="U110" s="3">
        <f t="shared" si="19"/>
        <v>0.31127000000000038</v>
      </c>
    </row>
    <row r="111" spans="1:21" x14ac:dyDescent="0.25">
      <c r="A111" s="3">
        <v>1.23766247315406E+18</v>
      </c>
      <c r="B111" s="3">
        <v>236.11779000000001</v>
      </c>
      <c r="C111" s="3">
        <v>35.985916000000003</v>
      </c>
      <c r="D111" s="3">
        <v>6.9518380000000005E-2</v>
      </c>
      <c r="E111" s="3">
        <v>0.8702454854165339</v>
      </c>
      <c r="F111" s="3">
        <v>20855.514000000003</v>
      </c>
      <c r="G111" s="3">
        <v>20.03585</v>
      </c>
      <c r="H111" s="3">
        <v>18.51587</v>
      </c>
      <c r="I111" s="3">
        <v>17.880659999999999</v>
      </c>
      <c r="J111" s="3">
        <v>17.614049999999999</v>
      </c>
      <c r="K111" s="3">
        <v>17.38843</v>
      </c>
      <c r="L111" s="3">
        <f t="shared" si="10"/>
        <v>1.5199800000000003</v>
      </c>
      <c r="M111" s="3">
        <f t="shared" si="11"/>
        <v>2.155190000000001</v>
      </c>
      <c r="N111" s="3">
        <f t="shared" si="12"/>
        <v>2.4218000000000011</v>
      </c>
      <c r="O111" s="3">
        <f t="shared" si="13"/>
        <v>2.6474200000000003</v>
      </c>
      <c r="P111" s="3">
        <f t="shared" si="14"/>
        <v>0.63521000000000072</v>
      </c>
      <c r="Q111" s="3">
        <f t="shared" si="15"/>
        <v>0.90182000000000073</v>
      </c>
      <c r="R111" s="3">
        <f t="shared" si="16"/>
        <v>1.12744</v>
      </c>
      <c r="S111" s="3">
        <f t="shared" si="17"/>
        <v>0.26661000000000001</v>
      </c>
      <c r="T111" s="3">
        <f t="shared" si="18"/>
        <v>0.49222999999999928</v>
      </c>
      <c r="U111" s="3">
        <f t="shared" si="19"/>
        <v>0.22561999999999927</v>
      </c>
    </row>
    <row r="112" spans="1:21" x14ac:dyDescent="0.25">
      <c r="A112" s="3">
        <v>1.2376624736910001E+18</v>
      </c>
      <c r="B112" s="3">
        <v>236.44767999999999</v>
      </c>
      <c r="C112" s="3">
        <v>36.254269000000001</v>
      </c>
      <c r="D112" s="3">
        <v>6.9524959999999997E-2</v>
      </c>
      <c r="E112" s="3">
        <v>1.1758136372182224</v>
      </c>
      <c r="F112" s="3">
        <v>20857.487999999998</v>
      </c>
      <c r="G112" s="3">
        <v>18.810659999999999</v>
      </c>
      <c r="H112" s="3">
        <v>17.079879999999999</v>
      </c>
      <c r="I112" s="3">
        <v>16.268049999999999</v>
      </c>
      <c r="J112" s="3">
        <v>15.902950000000001</v>
      </c>
      <c r="K112" s="3">
        <v>15.60675</v>
      </c>
      <c r="L112" s="3">
        <f t="shared" si="10"/>
        <v>1.7307799999999993</v>
      </c>
      <c r="M112" s="3">
        <f t="shared" si="11"/>
        <v>2.5426099999999998</v>
      </c>
      <c r="N112" s="3">
        <f t="shared" si="12"/>
        <v>2.907709999999998</v>
      </c>
      <c r="O112" s="3">
        <f t="shared" si="13"/>
        <v>3.2039099999999987</v>
      </c>
      <c r="P112" s="3">
        <f t="shared" si="14"/>
        <v>0.8118300000000005</v>
      </c>
      <c r="Q112" s="3">
        <f t="shared" si="15"/>
        <v>1.1769299999999987</v>
      </c>
      <c r="R112" s="3">
        <f t="shared" si="16"/>
        <v>1.4731299999999994</v>
      </c>
      <c r="S112" s="3">
        <f t="shared" si="17"/>
        <v>0.3650999999999982</v>
      </c>
      <c r="T112" s="3">
        <f t="shared" si="18"/>
        <v>0.66129999999999889</v>
      </c>
      <c r="U112" s="3">
        <f t="shared" si="19"/>
        <v>0.29620000000000068</v>
      </c>
    </row>
    <row r="113" spans="1:21" x14ac:dyDescent="0.25">
      <c r="A113" s="3">
        <v>1.2376625032188301E+18</v>
      </c>
      <c r="B113" s="3">
        <v>236.18898999999999</v>
      </c>
      <c r="C113" s="3">
        <v>36.075564999999997</v>
      </c>
      <c r="D113" s="3">
        <v>6.9587010000000005E-2</v>
      </c>
      <c r="E113" s="3">
        <v>0.30857327250369115</v>
      </c>
      <c r="F113" s="3">
        <v>20876.103000000003</v>
      </c>
      <c r="G113" s="3">
        <v>19.029789999999998</v>
      </c>
      <c r="H113" s="3">
        <v>17.014209999999999</v>
      </c>
      <c r="I113" s="3">
        <v>16.04149</v>
      </c>
      <c r="J113" s="3">
        <v>15.553430000000001</v>
      </c>
      <c r="K113" s="3">
        <v>15.176869999999999</v>
      </c>
      <c r="L113" s="3">
        <f t="shared" si="10"/>
        <v>2.0155799999999999</v>
      </c>
      <c r="M113" s="3">
        <f t="shared" si="11"/>
        <v>2.9882999999999988</v>
      </c>
      <c r="N113" s="3">
        <f t="shared" si="12"/>
        <v>3.4763599999999979</v>
      </c>
      <c r="O113" s="3">
        <f t="shared" si="13"/>
        <v>3.8529199999999992</v>
      </c>
      <c r="P113" s="3">
        <f t="shared" si="14"/>
        <v>0.97271999999999892</v>
      </c>
      <c r="Q113" s="3">
        <f t="shared" si="15"/>
        <v>1.460779999999998</v>
      </c>
      <c r="R113" s="3">
        <f t="shared" si="16"/>
        <v>1.8373399999999993</v>
      </c>
      <c r="S113" s="3">
        <f t="shared" si="17"/>
        <v>0.48805999999999905</v>
      </c>
      <c r="T113" s="3">
        <f t="shared" si="18"/>
        <v>0.86462000000000039</v>
      </c>
      <c r="U113" s="3">
        <f t="shared" si="19"/>
        <v>0.37656000000000134</v>
      </c>
    </row>
    <row r="114" spans="1:21" x14ac:dyDescent="0.25">
      <c r="A114" s="3">
        <v>1.2376625032189701E+18</v>
      </c>
      <c r="B114" s="3">
        <v>236.47274999999999</v>
      </c>
      <c r="C114" s="3">
        <v>35.867583000000003</v>
      </c>
      <c r="D114" s="3">
        <v>6.9827539999999994E-2</v>
      </c>
      <c r="E114" s="3">
        <v>1.6383709336377279</v>
      </c>
      <c r="F114" s="3">
        <v>20948.261999999999</v>
      </c>
      <c r="G114" s="3">
        <v>19.248360000000002</v>
      </c>
      <c r="H114" s="3">
        <v>17.313310000000001</v>
      </c>
      <c r="I114" s="3">
        <v>16.42398</v>
      </c>
      <c r="J114" s="3">
        <v>16.005269999999999</v>
      </c>
      <c r="K114" s="3">
        <v>15.683999999999999</v>
      </c>
      <c r="L114" s="3">
        <f t="shared" si="10"/>
        <v>1.9350500000000004</v>
      </c>
      <c r="M114" s="3">
        <f t="shared" si="11"/>
        <v>2.8243800000000014</v>
      </c>
      <c r="N114" s="3">
        <f t="shared" si="12"/>
        <v>3.2430900000000022</v>
      </c>
      <c r="O114" s="3">
        <f t="shared" si="13"/>
        <v>3.5643600000000024</v>
      </c>
      <c r="P114" s="3">
        <f t="shared" si="14"/>
        <v>0.88933000000000106</v>
      </c>
      <c r="Q114" s="3">
        <f t="shared" si="15"/>
        <v>1.3080400000000019</v>
      </c>
      <c r="R114" s="3">
        <f t="shared" si="16"/>
        <v>1.629310000000002</v>
      </c>
      <c r="S114" s="3">
        <f t="shared" si="17"/>
        <v>0.4187100000000008</v>
      </c>
      <c r="T114" s="3">
        <f t="shared" si="18"/>
        <v>0.73998000000000097</v>
      </c>
      <c r="U114" s="3">
        <f t="shared" si="19"/>
        <v>0.32127000000000017</v>
      </c>
    </row>
    <row r="115" spans="1:21" x14ac:dyDescent="0.25">
      <c r="A115" s="3">
        <v>1.2376625032188301E+18</v>
      </c>
      <c r="B115" s="3">
        <v>236.28272999999999</v>
      </c>
      <c r="C115" s="3">
        <v>36.146397999999998</v>
      </c>
      <c r="D115" s="3">
        <v>6.9879839999999999E-2</v>
      </c>
      <c r="E115" s="3">
        <v>0.25572038035970629</v>
      </c>
      <c r="F115" s="3">
        <v>20963.952000000001</v>
      </c>
      <c r="G115" s="3">
        <v>18.72795</v>
      </c>
      <c r="H115" s="3">
        <v>16.6769</v>
      </c>
      <c r="I115" s="3">
        <v>15.734220000000001</v>
      </c>
      <c r="J115" s="3">
        <v>15.28257</v>
      </c>
      <c r="K115" s="3">
        <v>14.933160000000001</v>
      </c>
      <c r="L115" s="3">
        <f t="shared" si="10"/>
        <v>2.05105</v>
      </c>
      <c r="M115" s="3">
        <f t="shared" si="11"/>
        <v>2.9937299999999993</v>
      </c>
      <c r="N115" s="3">
        <f t="shared" si="12"/>
        <v>3.4453800000000001</v>
      </c>
      <c r="O115" s="3">
        <f t="shared" si="13"/>
        <v>3.794789999999999</v>
      </c>
      <c r="P115" s="3">
        <f t="shared" si="14"/>
        <v>0.9426799999999993</v>
      </c>
      <c r="Q115" s="3">
        <f t="shared" si="15"/>
        <v>1.3943300000000001</v>
      </c>
      <c r="R115" s="3">
        <f t="shared" si="16"/>
        <v>1.743739999999999</v>
      </c>
      <c r="S115" s="3">
        <f t="shared" si="17"/>
        <v>0.45165000000000077</v>
      </c>
      <c r="T115" s="3">
        <f t="shared" si="18"/>
        <v>0.80105999999999966</v>
      </c>
      <c r="U115" s="3">
        <f t="shared" si="19"/>
        <v>0.34940999999999889</v>
      </c>
    </row>
    <row r="116" spans="1:21" x14ac:dyDescent="0.25">
      <c r="A116" s="3">
        <v>1.2376625032188301E+18</v>
      </c>
      <c r="B116" s="3">
        <v>236.16618</v>
      </c>
      <c r="C116" s="3">
        <v>36.115782000000003</v>
      </c>
      <c r="D116" s="3">
        <v>6.9903430000000003E-2</v>
      </c>
      <c r="E116" s="3">
        <v>0.34956357431281837</v>
      </c>
      <c r="F116" s="3">
        <v>20971.029000000002</v>
      </c>
      <c r="G116" s="3">
        <v>19.416</v>
      </c>
      <c r="H116" s="3">
        <v>17.53659</v>
      </c>
      <c r="I116" s="3">
        <v>16.627780000000001</v>
      </c>
      <c r="J116" s="3">
        <v>16.205459999999999</v>
      </c>
      <c r="K116" s="3">
        <v>15.890879999999999</v>
      </c>
      <c r="L116" s="3">
        <f t="shared" si="10"/>
        <v>1.87941</v>
      </c>
      <c r="M116" s="3">
        <f t="shared" si="11"/>
        <v>2.788219999999999</v>
      </c>
      <c r="N116" s="3">
        <f t="shared" si="12"/>
        <v>3.2105400000000017</v>
      </c>
      <c r="O116" s="3">
        <f t="shared" si="13"/>
        <v>3.5251200000000011</v>
      </c>
      <c r="P116" s="3">
        <f t="shared" si="14"/>
        <v>0.90880999999999901</v>
      </c>
      <c r="Q116" s="3">
        <f t="shared" si="15"/>
        <v>1.3311300000000017</v>
      </c>
      <c r="R116" s="3">
        <f t="shared" si="16"/>
        <v>1.6457100000000011</v>
      </c>
      <c r="S116" s="3">
        <f t="shared" si="17"/>
        <v>0.42232000000000269</v>
      </c>
      <c r="T116" s="3">
        <f t="shared" si="18"/>
        <v>0.73690000000000211</v>
      </c>
      <c r="U116" s="3">
        <f t="shared" si="19"/>
        <v>0.31457999999999942</v>
      </c>
    </row>
    <row r="117" spans="1:21" x14ac:dyDescent="0.25">
      <c r="A117" s="3">
        <v>1.2376625032188301E+18</v>
      </c>
      <c r="B117" s="3">
        <v>236.21960000000001</v>
      </c>
      <c r="C117" s="3">
        <v>36.069102999999998</v>
      </c>
      <c r="D117" s="3">
        <v>7.0070649999999998E-2</v>
      </c>
      <c r="E117" s="3">
        <v>0.24630149448995659</v>
      </c>
      <c r="F117" s="3">
        <v>21021.195</v>
      </c>
      <c r="G117" s="3">
        <v>19.453620000000001</v>
      </c>
      <c r="H117" s="3">
        <v>17.54589</v>
      </c>
      <c r="I117" s="3">
        <v>16.697489999999998</v>
      </c>
      <c r="J117" s="3">
        <v>16.293900000000001</v>
      </c>
      <c r="K117" s="3">
        <v>16.007940000000001</v>
      </c>
      <c r="L117" s="3">
        <f t="shared" si="10"/>
        <v>1.9077300000000008</v>
      </c>
      <c r="M117" s="3">
        <f t="shared" si="11"/>
        <v>2.7561300000000024</v>
      </c>
      <c r="N117" s="3">
        <f t="shared" si="12"/>
        <v>3.1597200000000001</v>
      </c>
      <c r="O117" s="3">
        <f t="shared" si="13"/>
        <v>3.4456799999999994</v>
      </c>
      <c r="P117" s="3">
        <f t="shared" si="14"/>
        <v>0.8484000000000016</v>
      </c>
      <c r="Q117" s="3">
        <f t="shared" si="15"/>
        <v>1.2519899999999993</v>
      </c>
      <c r="R117" s="3">
        <f t="shared" si="16"/>
        <v>1.5379499999999986</v>
      </c>
      <c r="S117" s="3">
        <f t="shared" si="17"/>
        <v>0.40358999999999767</v>
      </c>
      <c r="T117" s="3">
        <f t="shared" si="18"/>
        <v>0.689549999999997</v>
      </c>
      <c r="U117" s="3">
        <f t="shared" si="19"/>
        <v>0.28595999999999933</v>
      </c>
    </row>
    <row r="118" spans="1:21" x14ac:dyDescent="0.25">
      <c r="A118" s="3">
        <v>1.2376625037557701E+18</v>
      </c>
      <c r="B118" s="3">
        <v>236.68040999999999</v>
      </c>
      <c r="C118" s="3">
        <v>36.370685999999999</v>
      </c>
      <c r="D118" s="3">
        <v>7.0162059999999998E-2</v>
      </c>
      <c r="E118" s="3">
        <v>2.3585514216877401</v>
      </c>
      <c r="F118" s="3">
        <v>21048.617999999999</v>
      </c>
      <c r="G118" s="3">
        <v>19.16459</v>
      </c>
      <c r="H118" s="3">
        <v>17.151050000000001</v>
      </c>
      <c r="I118" s="3">
        <v>16.202390000000001</v>
      </c>
      <c r="J118" s="3">
        <v>15.662430000000001</v>
      </c>
      <c r="K118" s="3">
        <v>15.24438</v>
      </c>
      <c r="L118" s="3">
        <f t="shared" si="10"/>
        <v>2.013539999999999</v>
      </c>
      <c r="M118" s="3">
        <f t="shared" si="11"/>
        <v>2.9621999999999993</v>
      </c>
      <c r="N118" s="3">
        <f t="shared" si="12"/>
        <v>3.5021599999999999</v>
      </c>
      <c r="O118" s="3">
        <f t="shared" si="13"/>
        <v>3.9202100000000009</v>
      </c>
      <c r="P118" s="3">
        <f t="shared" si="14"/>
        <v>0.94866000000000028</v>
      </c>
      <c r="Q118" s="3">
        <f t="shared" si="15"/>
        <v>1.4886200000000009</v>
      </c>
      <c r="R118" s="3">
        <f t="shared" si="16"/>
        <v>1.9066700000000019</v>
      </c>
      <c r="S118" s="3">
        <f t="shared" si="17"/>
        <v>0.53996000000000066</v>
      </c>
      <c r="T118" s="3">
        <f t="shared" si="18"/>
        <v>0.95801000000000158</v>
      </c>
      <c r="U118" s="3">
        <f t="shared" si="19"/>
        <v>0.41805000000000092</v>
      </c>
    </row>
    <row r="119" spans="1:21" x14ac:dyDescent="0.25">
      <c r="A119" s="3">
        <v>1.2376625032189701E+18</v>
      </c>
      <c r="B119" s="3">
        <v>236.46317999999999</v>
      </c>
      <c r="C119" s="3">
        <v>35.880783000000001</v>
      </c>
      <c r="D119" s="3">
        <v>7.0235480000000003E-2</v>
      </c>
      <c r="E119" s="3">
        <v>1.5563446288721454</v>
      </c>
      <c r="F119" s="3">
        <v>21070.644</v>
      </c>
      <c r="G119" s="3">
        <v>19.312290000000001</v>
      </c>
      <c r="H119" s="3">
        <v>18.078189999999999</v>
      </c>
      <c r="I119" s="3">
        <v>17.605399999999999</v>
      </c>
      <c r="J119" s="3">
        <v>17.318390000000001</v>
      </c>
      <c r="K119" s="3">
        <v>17.158750000000001</v>
      </c>
      <c r="L119" s="3">
        <f t="shared" si="10"/>
        <v>1.2341000000000015</v>
      </c>
      <c r="M119" s="3">
        <f t="shared" si="11"/>
        <v>1.7068900000000014</v>
      </c>
      <c r="N119" s="3">
        <f t="shared" si="12"/>
        <v>1.9939</v>
      </c>
      <c r="O119" s="3">
        <f t="shared" si="13"/>
        <v>2.1535399999999996</v>
      </c>
      <c r="P119" s="3">
        <f t="shared" si="14"/>
        <v>0.47278999999999982</v>
      </c>
      <c r="Q119" s="3">
        <f t="shared" si="15"/>
        <v>0.75979999999999848</v>
      </c>
      <c r="R119" s="3">
        <f t="shared" si="16"/>
        <v>0.91943999999999804</v>
      </c>
      <c r="S119" s="3">
        <f t="shared" si="17"/>
        <v>0.28700999999999866</v>
      </c>
      <c r="T119" s="3">
        <f t="shared" si="18"/>
        <v>0.44664999999999822</v>
      </c>
      <c r="U119" s="3">
        <f t="shared" si="19"/>
        <v>0.15963999999999956</v>
      </c>
    </row>
    <row r="120" spans="1:21" x14ac:dyDescent="0.25">
      <c r="A120" s="3">
        <v>1.2376625032189E+18</v>
      </c>
      <c r="B120" s="3">
        <v>236.30726000000001</v>
      </c>
      <c r="C120" s="3">
        <v>35.975124000000001</v>
      </c>
      <c r="D120" s="3">
        <v>7.2928850000000003E-2</v>
      </c>
      <c r="E120" s="3">
        <v>0.7726821472782095</v>
      </c>
      <c r="F120" s="3">
        <v>21878.655000000002</v>
      </c>
      <c r="G120" s="3">
        <v>19.939789999999999</v>
      </c>
      <c r="H120" s="3">
        <v>18.251809999999999</v>
      </c>
      <c r="I120" s="3">
        <v>17.381019999999999</v>
      </c>
      <c r="J120" s="3">
        <v>16.975110000000001</v>
      </c>
      <c r="K120" s="3">
        <v>16.65174</v>
      </c>
      <c r="L120" s="3">
        <f t="shared" si="10"/>
        <v>1.6879799999999996</v>
      </c>
      <c r="M120" s="3">
        <f t="shared" si="11"/>
        <v>2.5587699999999991</v>
      </c>
      <c r="N120" s="3">
        <f t="shared" si="12"/>
        <v>2.9646799999999978</v>
      </c>
      <c r="O120" s="3">
        <f t="shared" si="13"/>
        <v>3.2880499999999984</v>
      </c>
      <c r="P120" s="3">
        <f t="shared" si="14"/>
        <v>0.87078999999999951</v>
      </c>
      <c r="Q120" s="3">
        <f t="shared" si="15"/>
        <v>1.2766999999999982</v>
      </c>
      <c r="R120" s="3">
        <f t="shared" si="16"/>
        <v>1.6000699999999988</v>
      </c>
      <c r="S120" s="3">
        <f t="shared" si="17"/>
        <v>0.40590999999999866</v>
      </c>
      <c r="T120" s="3">
        <f t="shared" si="18"/>
        <v>0.72927999999999926</v>
      </c>
      <c r="U120" s="3">
        <f t="shared" si="19"/>
        <v>0.3233700000000006</v>
      </c>
    </row>
    <row r="121" spans="1:21" x14ac:dyDescent="0.25">
      <c r="A121" s="3">
        <v>1.2376625032189E+18</v>
      </c>
      <c r="B121" s="3">
        <v>236.25632999999999</v>
      </c>
      <c r="C121" s="3">
        <v>35.971592999999999</v>
      </c>
      <c r="D121" s="3">
        <v>7.3039900000000005E-2</v>
      </c>
      <c r="E121" s="3">
        <v>0.74536422000131974</v>
      </c>
      <c r="F121" s="3">
        <v>21911.97</v>
      </c>
      <c r="G121" s="3">
        <v>18.829149999999998</v>
      </c>
      <c r="H121" s="3">
        <v>16.95393</v>
      </c>
      <c r="I121" s="3">
        <v>16.090769999999999</v>
      </c>
      <c r="J121" s="3">
        <v>15.69801</v>
      </c>
      <c r="K121" s="3">
        <v>15.39875</v>
      </c>
      <c r="L121" s="3">
        <f t="shared" si="10"/>
        <v>1.8752199999999988</v>
      </c>
      <c r="M121" s="3">
        <f t="shared" si="11"/>
        <v>2.7383799999999994</v>
      </c>
      <c r="N121" s="3">
        <f t="shared" si="12"/>
        <v>3.1311399999999985</v>
      </c>
      <c r="O121" s="3">
        <f t="shared" si="13"/>
        <v>3.4303999999999988</v>
      </c>
      <c r="P121" s="3">
        <f t="shared" si="14"/>
        <v>0.86316000000000059</v>
      </c>
      <c r="Q121" s="3">
        <f t="shared" si="15"/>
        <v>1.2559199999999997</v>
      </c>
      <c r="R121" s="3">
        <f t="shared" si="16"/>
        <v>1.55518</v>
      </c>
      <c r="S121" s="3">
        <f t="shared" si="17"/>
        <v>0.39275999999999911</v>
      </c>
      <c r="T121" s="3">
        <f t="shared" si="18"/>
        <v>0.69201999999999941</v>
      </c>
      <c r="U121" s="3">
        <f t="shared" si="19"/>
        <v>0.2992600000000003</v>
      </c>
    </row>
    <row r="122" spans="1:21" x14ac:dyDescent="0.25">
      <c r="A122" s="3">
        <v>1.2376624736908001E+18</v>
      </c>
      <c r="B122" s="3">
        <v>236.01910000000001</v>
      </c>
      <c r="C122" s="3">
        <v>36.502639000000002</v>
      </c>
      <c r="D122" s="3">
        <v>7.6159580000000004E-2</v>
      </c>
      <c r="E122" s="3">
        <v>2.3400040669755628</v>
      </c>
      <c r="F122" s="3">
        <v>22847.874</v>
      </c>
      <c r="G122" s="3">
        <v>20.42793</v>
      </c>
      <c r="H122" s="3">
        <v>18.22148</v>
      </c>
      <c r="I122" s="3">
        <v>17.222110000000001</v>
      </c>
      <c r="J122" s="3">
        <v>16.76634</v>
      </c>
      <c r="K122" s="3">
        <v>16.413879999999999</v>
      </c>
      <c r="L122" s="3">
        <f t="shared" si="10"/>
        <v>2.2064500000000002</v>
      </c>
      <c r="M122" s="3">
        <f t="shared" si="11"/>
        <v>3.2058199999999992</v>
      </c>
      <c r="N122" s="3">
        <f t="shared" si="12"/>
        <v>3.6615900000000003</v>
      </c>
      <c r="O122" s="3">
        <f t="shared" si="13"/>
        <v>4.014050000000001</v>
      </c>
      <c r="P122" s="3">
        <f t="shared" si="14"/>
        <v>0.99936999999999898</v>
      </c>
      <c r="Q122" s="3">
        <f t="shared" si="15"/>
        <v>1.4551400000000001</v>
      </c>
      <c r="R122" s="3">
        <f t="shared" si="16"/>
        <v>1.8076000000000008</v>
      </c>
      <c r="S122" s="3">
        <f t="shared" si="17"/>
        <v>0.45577000000000112</v>
      </c>
      <c r="T122" s="3">
        <f t="shared" si="18"/>
        <v>0.80823000000000178</v>
      </c>
      <c r="U122" s="3">
        <f t="shared" si="19"/>
        <v>0.35246000000000066</v>
      </c>
    </row>
    <row r="123" spans="1:21" x14ac:dyDescent="0.25">
      <c r="A123" s="3">
        <v>1.2376624736910001E+18</v>
      </c>
      <c r="B123" s="3">
        <v>236.33983000000001</v>
      </c>
      <c r="C123" s="3">
        <v>36.146178999999997</v>
      </c>
      <c r="D123" s="3">
        <v>7.6160549999999994E-2</v>
      </c>
      <c r="E123" s="3">
        <v>0.45453375746872671</v>
      </c>
      <c r="F123" s="3">
        <v>22848.164999999997</v>
      </c>
      <c r="G123" s="3">
        <v>19.320139999999999</v>
      </c>
      <c r="H123" s="3">
        <v>18.159479999999999</v>
      </c>
      <c r="I123" s="3">
        <v>17.72118</v>
      </c>
      <c r="J123" s="3">
        <v>17.430029999999999</v>
      </c>
      <c r="K123" s="3">
        <v>17.36083</v>
      </c>
      <c r="L123" s="3">
        <f t="shared" si="10"/>
        <v>1.16066</v>
      </c>
      <c r="M123" s="3">
        <f t="shared" si="11"/>
        <v>1.5989599999999982</v>
      </c>
      <c r="N123" s="3">
        <f t="shared" si="12"/>
        <v>1.89011</v>
      </c>
      <c r="O123" s="3">
        <f t="shared" si="13"/>
        <v>1.9593099999999986</v>
      </c>
      <c r="P123" s="3">
        <f t="shared" si="14"/>
        <v>0.43829999999999814</v>
      </c>
      <c r="Q123" s="3">
        <f t="shared" si="15"/>
        <v>0.72944999999999993</v>
      </c>
      <c r="R123" s="3">
        <f t="shared" si="16"/>
        <v>0.79864999999999853</v>
      </c>
      <c r="S123" s="3">
        <f t="shared" si="17"/>
        <v>0.2911500000000018</v>
      </c>
      <c r="T123" s="3">
        <f t="shared" si="18"/>
        <v>0.36035000000000039</v>
      </c>
      <c r="U123" s="3">
        <f t="shared" si="19"/>
        <v>6.9199999999998596E-2</v>
      </c>
    </row>
    <row r="124" spans="1:21" x14ac:dyDescent="0.25">
      <c r="A124" s="3">
        <v>1.23766247315439E+18</v>
      </c>
      <c r="B124" s="3">
        <v>236.78066000000001</v>
      </c>
      <c r="C124" s="3">
        <v>35.613542000000002</v>
      </c>
      <c r="D124" s="3">
        <v>7.661917E-2</v>
      </c>
      <c r="E124" s="3">
        <v>3.554043918311776</v>
      </c>
      <c r="F124" s="3">
        <v>22985.751</v>
      </c>
      <c r="G124" s="3">
        <v>19.763310000000001</v>
      </c>
      <c r="H124" s="3">
        <v>18.19999</v>
      </c>
      <c r="I124" s="3">
        <v>17.39357</v>
      </c>
      <c r="J124" s="3">
        <v>16.991630000000001</v>
      </c>
      <c r="K124" s="3">
        <v>16.742609999999999</v>
      </c>
      <c r="L124" s="3">
        <f t="shared" si="10"/>
        <v>1.5633200000000009</v>
      </c>
      <c r="M124" s="3">
        <f t="shared" si="11"/>
        <v>2.3697400000000002</v>
      </c>
      <c r="N124" s="3">
        <f t="shared" si="12"/>
        <v>2.7716799999999999</v>
      </c>
      <c r="O124" s="3">
        <f t="shared" si="13"/>
        <v>3.0207000000000015</v>
      </c>
      <c r="P124" s="3">
        <f t="shared" si="14"/>
        <v>0.80641999999999925</v>
      </c>
      <c r="Q124" s="3">
        <f t="shared" si="15"/>
        <v>1.208359999999999</v>
      </c>
      <c r="R124" s="3">
        <f t="shared" si="16"/>
        <v>1.4573800000000006</v>
      </c>
      <c r="S124" s="3">
        <f t="shared" si="17"/>
        <v>0.40193999999999974</v>
      </c>
      <c r="T124" s="3">
        <f t="shared" si="18"/>
        <v>0.65096000000000132</v>
      </c>
      <c r="U124" s="3">
        <f t="shared" si="19"/>
        <v>0.24902000000000157</v>
      </c>
    </row>
    <row r="125" spans="1:21" x14ac:dyDescent="0.25">
      <c r="A125" s="3">
        <v>1.2376624736908001E+18</v>
      </c>
      <c r="B125" s="3">
        <v>235.99455</v>
      </c>
      <c r="C125" s="3">
        <v>36.352677</v>
      </c>
      <c r="D125" s="3">
        <v>7.6676350000000004E-2</v>
      </c>
      <c r="E125" s="3">
        <v>1.7089792388439886</v>
      </c>
      <c r="F125" s="3">
        <v>23002.905000000002</v>
      </c>
      <c r="G125" s="3">
        <v>19.10219</v>
      </c>
      <c r="H125" s="3">
        <v>17.696370000000002</v>
      </c>
      <c r="I125" s="3">
        <v>17.106839999999998</v>
      </c>
      <c r="J125" s="3">
        <v>16.72296</v>
      </c>
      <c r="K125" s="3">
        <v>16.48978</v>
      </c>
      <c r="L125" s="3">
        <f t="shared" si="10"/>
        <v>1.4058199999999985</v>
      </c>
      <c r="M125" s="3">
        <f t="shared" si="11"/>
        <v>1.995350000000002</v>
      </c>
      <c r="N125" s="3">
        <f t="shared" si="12"/>
        <v>2.3792299999999997</v>
      </c>
      <c r="O125" s="3">
        <f t="shared" si="13"/>
        <v>2.6124100000000006</v>
      </c>
      <c r="P125" s="3">
        <f t="shared" si="14"/>
        <v>0.58953000000000344</v>
      </c>
      <c r="Q125" s="3">
        <f t="shared" si="15"/>
        <v>0.97341000000000122</v>
      </c>
      <c r="R125" s="3">
        <f t="shared" si="16"/>
        <v>1.206590000000002</v>
      </c>
      <c r="S125" s="3">
        <f t="shared" si="17"/>
        <v>0.38387999999999778</v>
      </c>
      <c r="T125" s="3">
        <f t="shared" si="18"/>
        <v>0.61705999999999861</v>
      </c>
      <c r="U125" s="3">
        <f t="shared" si="19"/>
        <v>0.23318000000000083</v>
      </c>
    </row>
    <row r="126" spans="1:21" x14ac:dyDescent="0.25">
      <c r="A126" s="3">
        <v>1.23766250375571E+18</v>
      </c>
      <c r="B126" s="3">
        <v>236.5035</v>
      </c>
      <c r="C126" s="3">
        <v>36.567419999999998</v>
      </c>
      <c r="D126" s="3">
        <v>7.6745499999999994E-2</v>
      </c>
      <c r="E126" s="3">
        <v>2.713141643829712</v>
      </c>
      <c r="F126" s="3">
        <v>23023.649999999998</v>
      </c>
      <c r="G126" s="3">
        <v>19.654599999999999</v>
      </c>
      <c r="H126" s="3">
        <v>17.66169</v>
      </c>
      <c r="I126" s="3">
        <v>16.748090000000001</v>
      </c>
      <c r="J126" s="3">
        <v>16.330590000000001</v>
      </c>
      <c r="K126" s="3">
        <v>16.046150000000001</v>
      </c>
      <c r="L126" s="3">
        <f t="shared" si="10"/>
        <v>1.9929099999999984</v>
      </c>
      <c r="M126" s="3">
        <f t="shared" si="11"/>
        <v>2.9065099999999973</v>
      </c>
      <c r="N126" s="3">
        <f t="shared" si="12"/>
        <v>3.3240099999999977</v>
      </c>
      <c r="O126" s="3">
        <f t="shared" si="13"/>
        <v>3.6084499999999977</v>
      </c>
      <c r="P126" s="3">
        <f t="shared" si="14"/>
        <v>0.91359999999999886</v>
      </c>
      <c r="Q126" s="3">
        <f t="shared" si="15"/>
        <v>1.3310999999999993</v>
      </c>
      <c r="R126" s="3">
        <f t="shared" si="16"/>
        <v>1.6155399999999993</v>
      </c>
      <c r="S126" s="3">
        <f t="shared" si="17"/>
        <v>0.41750000000000043</v>
      </c>
      <c r="T126" s="3">
        <f t="shared" si="18"/>
        <v>0.70194000000000045</v>
      </c>
      <c r="U126" s="3">
        <f t="shared" si="19"/>
        <v>0.28444000000000003</v>
      </c>
    </row>
    <row r="127" spans="1:21" x14ac:dyDescent="0.25">
      <c r="A127" s="3">
        <v>1.23766247369074E+18</v>
      </c>
      <c r="B127" s="3">
        <v>235.81650999999999</v>
      </c>
      <c r="C127" s="3">
        <v>36.460304999999998</v>
      </c>
      <c r="D127" s="3">
        <v>7.6923850000000002E-2</v>
      </c>
      <c r="E127" s="3">
        <v>2.6599106411503186</v>
      </c>
      <c r="F127" s="3">
        <v>23077.154999999999</v>
      </c>
      <c r="G127" s="3">
        <v>18.266110000000001</v>
      </c>
      <c r="H127" s="3">
        <v>16.51191</v>
      </c>
      <c r="I127" s="3">
        <v>15.65705</v>
      </c>
      <c r="J127" s="3">
        <v>15.213430000000001</v>
      </c>
      <c r="K127" s="3">
        <v>14.876939999999999</v>
      </c>
      <c r="L127" s="3">
        <f t="shared" si="10"/>
        <v>1.7542000000000009</v>
      </c>
      <c r="M127" s="3">
        <f t="shared" si="11"/>
        <v>2.6090600000000013</v>
      </c>
      <c r="N127" s="3">
        <f t="shared" si="12"/>
        <v>3.0526800000000005</v>
      </c>
      <c r="O127" s="3">
        <f t="shared" si="13"/>
        <v>3.3891700000000018</v>
      </c>
      <c r="P127" s="3">
        <f t="shared" si="14"/>
        <v>0.8548600000000004</v>
      </c>
      <c r="Q127" s="3">
        <f t="shared" si="15"/>
        <v>1.2984799999999996</v>
      </c>
      <c r="R127" s="3">
        <f t="shared" si="16"/>
        <v>1.6349700000000009</v>
      </c>
      <c r="S127" s="3">
        <f t="shared" si="17"/>
        <v>0.44361999999999924</v>
      </c>
      <c r="T127" s="3">
        <f t="shared" si="18"/>
        <v>0.78011000000000053</v>
      </c>
      <c r="U127" s="3">
        <f t="shared" si="19"/>
        <v>0.33649000000000129</v>
      </c>
    </row>
    <row r="128" spans="1:21" x14ac:dyDescent="0.25">
      <c r="A128" s="3">
        <v>1.2376625037556401E+18</v>
      </c>
      <c r="B128" s="3">
        <v>236.34941000000001</v>
      </c>
      <c r="C128" s="3">
        <v>36.446942999999997</v>
      </c>
      <c r="D128" s="3">
        <v>7.7082109999999995E-2</v>
      </c>
      <c r="E128" s="3">
        <v>1.8759963119869909</v>
      </c>
      <c r="F128" s="3">
        <v>23124.632999999998</v>
      </c>
      <c r="G128" s="3">
        <v>19.118770000000001</v>
      </c>
      <c r="H128" s="3">
        <v>17.131070000000001</v>
      </c>
      <c r="I128" s="3">
        <v>16.317869999999999</v>
      </c>
      <c r="J128" s="3">
        <v>15.925599999999999</v>
      </c>
      <c r="K128" s="3">
        <v>15.62759</v>
      </c>
      <c r="L128" s="3">
        <f t="shared" si="10"/>
        <v>1.9877000000000002</v>
      </c>
      <c r="M128" s="3">
        <f t="shared" si="11"/>
        <v>2.8009000000000022</v>
      </c>
      <c r="N128" s="3">
        <f t="shared" si="12"/>
        <v>3.1931700000000021</v>
      </c>
      <c r="O128" s="3">
        <f t="shared" si="13"/>
        <v>3.4911800000000017</v>
      </c>
      <c r="P128" s="3">
        <f t="shared" si="14"/>
        <v>0.81320000000000192</v>
      </c>
      <c r="Q128" s="3">
        <f t="shared" si="15"/>
        <v>1.2054700000000018</v>
      </c>
      <c r="R128" s="3">
        <f t="shared" si="16"/>
        <v>1.5034800000000015</v>
      </c>
      <c r="S128" s="3">
        <f t="shared" si="17"/>
        <v>0.3922699999999999</v>
      </c>
      <c r="T128" s="3">
        <f t="shared" si="18"/>
        <v>0.69027999999999956</v>
      </c>
      <c r="U128" s="3">
        <f t="shared" si="19"/>
        <v>0.29800999999999966</v>
      </c>
    </row>
    <row r="129" spans="1:21" x14ac:dyDescent="0.25">
      <c r="A129" s="3">
        <v>1.2376625032186399E+18</v>
      </c>
      <c r="B129" s="3">
        <v>235.71032</v>
      </c>
      <c r="C129" s="3">
        <v>36.468029999999999</v>
      </c>
      <c r="D129" s="3">
        <v>7.7096479999999995E-2</v>
      </c>
      <c r="E129" s="3">
        <v>3.0288125914582507</v>
      </c>
      <c r="F129" s="3">
        <v>23128.944</v>
      </c>
      <c r="G129" s="3">
        <v>19.966529999999999</v>
      </c>
      <c r="H129" s="3">
        <v>18.411010000000001</v>
      </c>
      <c r="I129" s="3">
        <v>17.594239999999999</v>
      </c>
      <c r="J129" s="3">
        <v>17.191939999999999</v>
      </c>
      <c r="K129" s="3">
        <v>16.935410000000001</v>
      </c>
      <c r="L129" s="3">
        <f t="shared" si="10"/>
        <v>1.5555199999999978</v>
      </c>
      <c r="M129" s="3">
        <f t="shared" si="11"/>
        <v>2.3722899999999996</v>
      </c>
      <c r="N129" s="3">
        <f t="shared" si="12"/>
        <v>2.7745899999999999</v>
      </c>
      <c r="O129" s="3">
        <f t="shared" si="13"/>
        <v>3.0311199999999978</v>
      </c>
      <c r="P129" s="3">
        <f t="shared" si="14"/>
        <v>0.81677000000000177</v>
      </c>
      <c r="Q129" s="3">
        <f t="shared" si="15"/>
        <v>1.2190700000000021</v>
      </c>
      <c r="R129" s="3">
        <f t="shared" si="16"/>
        <v>1.4756</v>
      </c>
      <c r="S129" s="3">
        <f t="shared" si="17"/>
        <v>0.40230000000000032</v>
      </c>
      <c r="T129" s="3">
        <f t="shared" si="18"/>
        <v>0.65882999999999825</v>
      </c>
      <c r="U129" s="3">
        <f t="shared" si="19"/>
        <v>0.25652999999999793</v>
      </c>
    </row>
    <row r="130" spans="1:21" x14ac:dyDescent="0.25">
      <c r="A130" s="3">
        <v>1.2376625032191601E+18</v>
      </c>
      <c r="B130" s="3">
        <v>236.86004</v>
      </c>
      <c r="C130" s="3">
        <v>35.613812000000003</v>
      </c>
      <c r="D130" s="3">
        <v>7.7129989999999995E-2</v>
      </c>
      <c r="E130" s="3">
        <v>3.7904958803871915</v>
      </c>
      <c r="F130" s="3">
        <v>23138.996999999999</v>
      </c>
      <c r="G130" s="3">
        <v>20.88308</v>
      </c>
      <c r="H130" s="3">
        <v>18.248539999999998</v>
      </c>
      <c r="I130" s="3">
        <v>17.100909999999999</v>
      </c>
      <c r="J130" s="3">
        <v>16.54898</v>
      </c>
      <c r="K130" s="3">
        <v>16.134</v>
      </c>
      <c r="L130" s="3">
        <f t="shared" ref="L130:L193" si="20">G130-H130</f>
        <v>2.6345400000000012</v>
      </c>
      <c r="M130" s="3">
        <f t="shared" ref="M130:M193" si="21">G130-I130</f>
        <v>3.7821700000000007</v>
      </c>
      <c r="N130" s="3">
        <f t="shared" ref="N130:N193" si="22">G130-J130</f>
        <v>4.3340999999999994</v>
      </c>
      <c r="O130" s="3">
        <f t="shared" ref="O130:O193" si="23">G130-K130</f>
        <v>4.7490799999999993</v>
      </c>
      <c r="P130" s="3">
        <f t="shared" ref="P130:P193" si="24">H130-I130</f>
        <v>1.1476299999999995</v>
      </c>
      <c r="Q130" s="3">
        <f t="shared" ref="Q130:Q193" si="25">H130-J130</f>
        <v>1.6995599999999982</v>
      </c>
      <c r="R130" s="3">
        <f t="shared" ref="R130:R193" si="26">H130-K130</f>
        <v>2.1145399999999981</v>
      </c>
      <c r="S130" s="3">
        <f t="shared" ref="S130:S193" si="27">I130-J130</f>
        <v>0.5519299999999987</v>
      </c>
      <c r="T130" s="3">
        <f t="shared" ref="T130:T193" si="28">I130-K130</f>
        <v>0.9669099999999986</v>
      </c>
      <c r="U130" s="3">
        <f t="shared" ref="U130:U193" si="29">J130-K130</f>
        <v>0.4149799999999999</v>
      </c>
    </row>
    <row r="131" spans="1:21" x14ac:dyDescent="0.25">
      <c r="A131" s="3">
        <v>1.2376624731543301E+18</v>
      </c>
      <c r="B131" s="3">
        <v>236.69871000000001</v>
      </c>
      <c r="C131" s="3">
        <v>35.664239000000002</v>
      </c>
      <c r="D131" s="3">
        <v>7.7354980000000004E-2</v>
      </c>
      <c r="E131" s="3">
        <v>3.1130488605853044</v>
      </c>
      <c r="F131" s="3">
        <v>23206.494000000002</v>
      </c>
      <c r="G131" s="3">
        <v>19.605640000000001</v>
      </c>
      <c r="H131" s="3">
        <v>18.250109999999999</v>
      </c>
      <c r="I131" s="3">
        <v>17.603020000000001</v>
      </c>
      <c r="J131" s="3">
        <v>17.246559999999999</v>
      </c>
      <c r="K131" s="3">
        <v>17.027539999999998</v>
      </c>
      <c r="L131" s="3">
        <f t="shared" si="20"/>
        <v>1.3555300000000017</v>
      </c>
      <c r="M131" s="3">
        <f t="shared" si="21"/>
        <v>2.0026200000000003</v>
      </c>
      <c r="N131" s="3">
        <f t="shared" si="22"/>
        <v>2.3590800000000023</v>
      </c>
      <c r="O131" s="3">
        <f t="shared" si="23"/>
        <v>2.5781000000000027</v>
      </c>
      <c r="P131" s="3">
        <f t="shared" si="24"/>
        <v>0.64708999999999861</v>
      </c>
      <c r="Q131" s="3">
        <f t="shared" si="25"/>
        <v>1.0035500000000006</v>
      </c>
      <c r="R131" s="3">
        <f t="shared" si="26"/>
        <v>1.222570000000001</v>
      </c>
      <c r="S131" s="3">
        <f t="shared" si="27"/>
        <v>0.356460000000002</v>
      </c>
      <c r="T131" s="3">
        <f t="shared" si="28"/>
        <v>0.57548000000000243</v>
      </c>
      <c r="U131" s="3">
        <f t="shared" si="29"/>
        <v>0.21902000000000044</v>
      </c>
    </row>
    <row r="132" spans="1:21" x14ac:dyDescent="0.25">
      <c r="A132" s="3">
        <v>1.23766233786351E+18</v>
      </c>
      <c r="B132" s="3">
        <v>235.68944999999999</v>
      </c>
      <c r="C132" s="3">
        <v>35.818849999999998</v>
      </c>
      <c r="D132" s="3">
        <v>7.7530189999999999E-2</v>
      </c>
      <c r="E132" s="3">
        <v>2.8928810943798795</v>
      </c>
      <c r="F132" s="3">
        <v>23259.057000000001</v>
      </c>
      <c r="G132" s="3">
        <v>19.13937</v>
      </c>
      <c r="H132" s="3">
        <v>17.89453</v>
      </c>
      <c r="I132" s="3">
        <v>17.3155</v>
      </c>
      <c r="J132" s="3">
        <v>16.927399999999999</v>
      </c>
      <c r="K132" s="3">
        <v>16.734690000000001</v>
      </c>
      <c r="L132" s="3">
        <f t="shared" si="20"/>
        <v>1.2448399999999999</v>
      </c>
      <c r="M132" s="3">
        <f t="shared" si="21"/>
        <v>1.8238699999999994</v>
      </c>
      <c r="N132" s="3">
        <f t="shared" si="22"/>
        <v>2.2119700000000009</v>
      </c>
      <c r="O132" s="3">
        <f t="shared" si="23"/>
        <v>2.404679999999999</v>
      </c>
      <c r="P132" s="3">
        <f t="shared" si="24"/>
        <v>0.57902999999999949</v>
      </c>
      <c r="Q132" s="3">
        <f t="shared" si="25"/>
        <v>0.96713000000000093</v>
      </c>
      <c r="R132" s="3">
        <f t="shared" si="26"/>
        <v>1.1598399999999991</v>
      </c>
      <c r="S132" s="3">
        <f t="shared" si="27"/>
        <v>0.38810000000000144</v>
      </c>
      <c r="T132" s="3">
        <f t="shared" si="28"/>
        <v>0.5808099999999996</v>
      </c>
      <c r="U132" s="3">
        <f t="shared" si="29"/>
        <v>0.19270999999999816</v>
      </c>
    </row>
    <row r="133" spans="1:21" x14ac:dyDescent="0.25">
      <c r="A133" s="3">
        <v>1.2376625032188301E+18</v>
      </c>
      <c r="B133" s="3">
        <v>236.07399000000001</v>
      </c>
      <c r="C133" s="3">
        <v>36.047853000000003</v>
      </c>
      <c r="D133" s="3">
        <v>7.7739509999999998E-2</v>
      </c>
      <c r="E133" s="3">
        <v>0.82050295352315894</v>
      </c>
      <c r="F133" s="3">
        <v>23321.852999999999</v>
      </c>
      <c r="G133" s="3">
        <v>18.690930000000002</v>
      </c>
      <c r="H133" s="3">
        <v>17.663910000000001</v>
      </c>
      <c r="I133" s="3">
        <v>17.259689999999999</v>
      </c>
      <c r="J133" s="3">
        <v>16.928820000000002</v>
      </c>
      <c r="K133" s="3">
        <v>16.824179999999998</v>
      </c>
      <c r="L133" s="3">
        <f t="shared" si="20"/>
        <v>1.0270200000000003</v>
      </c>
      <c r="M133" s="3">
        <f t="shared" si="21"/>
        <v>1.4312400000000025</v>
      </c>
      <c r="N133" s="3">
        <f t="shared" si="22"/>
        <v>1.7621099999999998</v>
      </c>
      <c r="O133" s="3">
        <f t="shared" si="23"/>
        <v>1.8667500000000032</v>
      </c>
      <c r="P133" s="3">
        <f t="shared" si="24"/>
        <v>0.40422000000000224</v>
      </c>
      <c r="Q133" s="3">
        <f t="shared" si="25"/>
        <v>0.73508999999999958</v>
      </c>
      <c r="R133" s="3">
        <f t="shared" si="26"/>
        <v>0.83973000000000297</v>
      </c>
      <c r="S133" s="3">
        <f t="shared" si="27"/>
        <v>0.33086999999999733</v>
      </c>
      <c r="T133" s="3">
        <f t="shared" si="28"/>
        <v>0.43551000000000073</v>
      </c>
      <c r="U133" s="3">
        <f t="shared" si="29"/>
        <v>0.1046400000000034</v>
      </c>
    </row>
    <row r="134" spans="1:21" x14ac:dyDescent="0.25">
      <c r="A134" s="3">
        <v>1.2376614659862001E+18</v>
      </c>
      <c r="B134" s="3">
        <v>236.04667000000001</v>
      </c>
      <c r="C134" s="3">
        <v>35.737752999999998</v>
      </c>
      <c r="D134" s="3">
        <v>7.8103790000000006E-2</v>
      </c>
      <c r="E134" s="3">
        <v>2.186874831001814</v>
      </c>
      <c r="F134" s="3">
        <v>23431.137000000002</v>
      </c>
      <c r="G134" s="3">
        <v>20.204160000000002</v>
      </c>
      <c r="H134" s="3">
        <v>18.479839999999999</v>
      </c>
      <c r="I134" s="3">
        <v>17.570989999999998</v>
      </c>
      <c r="J134" s="3">
        <v>17.194929999999999</v>
      </c>
      <c r="K134" s="3">
        <v>16.848230000000001</v>
      </c>
      <c r="L134" s="3">
        <f t="shared" si="20"/>
        <v>1.7243200000000023</v>
      </c>
      <c r="M134" s="3">
        <f t="shared" si="21"/>
        <v>2.6331700000000033</v>
      </c>
      <c r="N134" s="3">
        <f t="shared" si="22"/>
        <v>3.0092300000000023</v>
      </c>
      <c r="O134" s="3">
        <f t="shared" si="23"/>
        <v>3.3559300000000007</v>
      </c>
      <c r="P134" s="3">
        <f t="shared" si="24"/>
        <v>0.90885000000000105</v>
      </c>
      <c r="Q134" s="3">
        <f t="shared" si="25"/>
        <v>1.28491</v>
      </c>
      <c r="R134" s="3">
        <f t="shared" si="26"/>
        <v>1.6316099999999985</v>
      </c>
      <c r="S134" s="3">
        <f t="shared" si="27"/>
        <v>0.37605999999999895</v>
      </c>
      <c r="T134" s="3">
        <f t="shared" si="28"/>
        <v>0.7227599999999974</v>
      </c>
      <c r="U134" s="3">
        <f t="shared" si="29"/>
        <v>0.34669999999999845</v>
      </c>
    </row>
    <row r="135" spans="1:21" x14ac:dyDescent="0.25">
      <c r="A135" s="3">
        <v>1.2376624736910001E+18</v>
      </c>
      <c r="B135" s="3">
        <v>236.43274</v>
      </c>
      <c r="C135" s="3">
        <v>36.196925999999998</v>
      </c>
      <c r="D135" s="3">
        <v>7.8127470000000004E-2</v>
      </c>
      <c r="E135" s="3">
        <v>0.94075725577220204</v>
      </c>
      <c r="F135" s="3">
        <v>23438.241000000002</v>
      </c>
      <c r="G135" s="3">
        <v>18.217500000000001</v>
      </c>
      <c r="H135" s="3">
        <v>16.271850000000001</v>
      </c>
      <c r="I135" s="3">
        <v>15.329409999999999</v>
      </c>
      <c r="J135" s="3">
        <v>14.90517</v>
      </c>
      <c r="K135" s="3">
        <v>14.56316</v>
      </c>
      <c r="L135" s="3">
        <f t="shared" si="20"/>
        <v>1.9456500000000005</v>
      </c>
      <c r="M135" s="3">
        <f t="shared" si="21"/>
        <v>2.8880900000000018</v>
      </c>
      <c r="N135" s="3">
        <f t="shared" si="22"/>
        <v>3.3123300000000011</v>
      </c>
      <c r="O135" s="3">
        <f t="shared" si="23"/>
        <v>3.6543400000000013</v>
      </c>
      <c r="P135" s="3">
        <f t="shared" si="24"/>
        <v>0.94244000000000128</v>
      </c>
      <c r="Q135" s="3">
        <f t="shared" si="25"/>
        <v>1.3666800000000006</v>
      </c>
      <c r="R135" s="3">
        <f t="shared" si="26"/>
        <v>1.7086900000000007</v>
      </c>
      <c r="S135" s="3">
        <f t="shared" si="27"/>
        <v>0.42423999999999928</v>
      </c>
      <c r="T135" s="3">
        <f t="shared" si="28"/>
        <v>0.76624999999999943</v>
      </c>
      <c r="U135" s="3">
        <f t="shared" si="29"/>
        <v>0.34201000000000015</v>
      </c>
    </row>
    <row r="136" spans="1:21" x14ac:dyDescent="0.25">
      <c r="A136" s="3">
        <v>1.2376625032189701E+18</v>
      </c>
      <c r="B136" s="3">
        <v>236.59008</v>
      </c>
      <c r="C136" s="3">
        <v>35.966523000000002</v>
      </c>
      <c r="D136" s="3">
        <v>7.8327850000000004E-2</v>
      </c>
      <c r="E136" s="3">
        <v>1.6881079682315121</v>
      </c>
      <c r="F136" s="3">
        <v>23498.355</v>
      </c>
      <c r="G136" s="3">
        <v>19.021889999999999</v>
      </c>
      <c r="H136" s="3">
        <v>17.718990000000002</v>
      </c>
      <c r="I136" s="3">
        <v>17.110189999999999</v>
      </c>
      <c r="J136" s="3">
        <v>16.7149</v>
      </c>
      <c r="K136" s="3">
        <v>16.540610000000001</v>
      </c>
      <c r="L136" s="3">
        <f t="shared" si="20"/>
        <v>1.3028999999999975</v>
      </c>
      <c r="M136" s="3">
        <f t="shared" si="21"/>
        <v>1.9116999999999997</v>
      </c>
      <c r="N136" s="3">
        <f t="shared" si="22"/>
        <v>2.306989999999999</v>
      </c>
      <c r="O136" s="3">
        <f t="shared" si="23"/>
        <v>2.4812799999999982</v>
      </c>
      <c r="P136" s="3">
        <f t="shared" si="24"/>
        <v>0.60880000000000223</v>
      </c>
      <c r="Q136" s="3">
        <f t="shared" si="25"/>
        <v>1.0040900000000015</v>
      </c>
      <c r="R136" s="3">
        <f t="shared" si="26"/>
        <v>1.1783800000000006</v>
      </c>
      <c r="S136" s="3">
        <f t="shared" si="27"/>
        <v>0.39528999999999925</v>
      </c>
      <c r="T136" s="3">
        <f t="shared" si="28"/>
        <v>0.56957999999999842</v>
      </c>
      <c r="U136" s="3">
        <f t="shared" si="29"/>
        <v>0.17428999999999917</v>
      </c>
    </row>
    <row r="137" spans="1:21" x14ac:dyDescent="0.25">
      <c r="A137" s="3">
        <v>1.2376625032189701E+18</v>
      </c>
      <c r="B137" s="3">
        <v>236.40135000000001</v>
      </c>
      <c r="C137" s="3">
        <v>35.955989000000002</v>
      </c>
      <c r="D137" s="3">
        <v>7.8679209999999999E-2</v>
      </c>
      <c r="E137" s="3">
        <v>1.0703534660276919</v>
      </c>
      <c r="F137" s="3">
        <v>23603.762999999999</v>
      </c>
      <c r="G137" s="3">
        <v>19.588539999999998</v>
      </c>
      <c r="H137" s="3">
        <v>17.672059999999998</v>
      </c>
      <c r="I137" s="3">
        <v>16.732589999999998</v>
      </c>
      <c r="J137" s="3">
        <v>16.30012</v>
      </c>
      <c r="K137" s="3">
        <v>15.952</v>
      </c>
      <c r="L137" s="3">
        <f t="shared" si="20"/>
        <v>1.91648</v>
      </c>
      <c r="M137" s="3">
        <f t="shared" si="21"/>
        <v>2.85595</v>
      </c>
      <c r="N137" s="3">
        <f t="shared" si="22"/>
        <v>3.2884199999999986</v>
      </c>
      <c r="O137" s="3">
        <f t="shared" si="23"/>
        <v>3.6365399999999983</v>
      </c>
      <c r="P137" s="3">
        <f t="shared" si="24"/>
        <v>0.93947000000000003</v>
      </c>
      <c r="Q137" s="3">
        <f t="shared" si="25"/>
        <v>1.3719399999999986</v>
      </c>
      <c r="R137" s="3">
        <f t="shared" si="26"/>
        <v>1.7200599999999984</v>
      </c>
      <c r="S137" s="3">
        <f t="shared" si="27"/>
        <v>0.43246999999999858</v>
      </c>
      <c r="T137" s="3">
        <f t="shared" si="28"/>
        <v>0.78058999999999834</v>
      </c>
      <c r="U137" s="3">
        <f t="shared" si="29"/>
        <v>0.34811999999999976</v>
      </c>
    </row>
    <row r="138" spans="1:21" x14ac:dyDescent="0.25">
      <c r="A138" s="3">
        <v>1.2376624731541299E+18</v>
      </c>
      <c r="B138" s="3">
        <v>236.17926</v>
      </c>
      <c r="C138" s="3">
        <v>35.961862000000004</v>
      </c>
      <c r="D138" s="3">
        <v>7.8951750000000001E-2</v>
      </c>
      <c r="E138" s="3">
        <v>0.84805508363705429</v>
      </c>
      <c r="F138" s="3">
        <v>23685.525000000001</v>
      </c>
      <c r="G138" s="3">
        <v>19.02169</v>
      </c>
      <c r="H138" s="3">
        <v>17.698049999999999</v>
      </c>
      <c r="I138" s="3">
        <v>17.183579999999999</v>
      </c>
      <c r="J138" s="3">
        <v>16.84179</v>
      </c>
      <c r="K138" s="3">
        <v>16.707080000000001</v>
      </c>
      <c r="L138" s="3">
        <f t="shared" si="20"/>
        <v>1.323640000000001</v>
      </c>
      <c r="M138" s="3">
        <f t="shared" si="21"/>
        <v>1.8381100000000004</v>
      </c>
      <c r="N138" s="3">
        <f t="shared" si="22"/>
        <v>2.1798999999999999</v>
      </c>
      <c r="O138" s="3">
        <f t="shared" si="23"/>
        <v>2.3146099999999983</v>
      </c>
      <c r="P138" s="3">
        <f t="shared" si="24"/>
        <v>0.51446999999999932</v>
      </c>
      <c r="Q138" s="3">
        <f t="shared" si="25"/>
        <v>0.85625999999999891</v>
      </c>
      <c r="R138" s="3">
        <f t="shared" si="26"/>
        <v>0.99096999999999724</v>
      </c>
      <c r="S138" s="3">
        <f t="shared" si="27"/>
        <v>0.34178999999999959</v>
      </c>
      <c r="T138" s="3">
        <f t="shared" si="28"/>
        <v>0.47649999999999793</v>
      </c>
      <c r="U138" s="3">
        <f t="shared" si="29"/>
        <v>0.13470999999999833</v>
      </c>
    </row>
    <row r="139" spans="1:21" x14ac:dyDescent="0.25">
      <c r="A139" s="3">
        <v>1.2376625037558999E+18</v>
      </c>
      <c r="B139" s="3">
        <v>236.86503999999999</v>
      </c>
      <c r="C139" s="3">
        <v>36.109698000000002</v>
      </c>
      <c r="D139" s="3">
        <v>7.9126660000000001E-2</v>
      </c>
      <c r="E139" s="3">
        <v>2.6990114823628573</v>
      </c>
      <c r="F139" s="3">
        <v>23737.998</v>
      </c>
      <c r="G139" s="3">
        <v>20.044409999999999</v>
      </c>
      <c r="H139" s="3">
        <v>18.247209999999999</v>
      </c>
      <c r="I139" s="3">
        <v>17.352699999999999</v>
      </c>
      <c r="J139" s="3">
        <v>16.961539999999999</v>
      </c>
      <c r="K139" s="3">
        <v>16.65071</v>
      </c>
      <c r="L139" s="3">
        <f t="shared" si="20"/>
        <v>1.7972000000000001</v>
      </c>
      <c r="M139" s="3">
        <f t="shared" si="21"/>
        <v>2.6917100000000005</v>
      </c>
      <c r="N139" s="3">
        <f t="shared" si="22"/>
        <v>3.0828699999999998</v>
      </c>
      <c r="O139" s="3">
        <f t="shared" si="23"/>
        <v>3.3936999999999991</v>
      </c>
      <c r="P139" s="3">
        <f t="shared" si="24"/>
        <v>0.89451000000000036</v>
      </c>
      <c r="Q139" s="3">
        <f t="shared" si="25"/>
        <v>1.2856699999999996</v>
      </c>
      <c r="R139" s="3">
        <f t="shared" si="26"/>
        <v>1.5964999999999989</v>
      </c>
      <c r="S139" s="3">
        <f t="shared" si="27"/>
        <v>0.39115999999999929</v>
      </c>
      <c r="T139" s="3">
        <f t="shared" si="28"/>
        <v>0.70198999999999856</v>
      </c>
      <c r="U139" s="3">
        <f t="shared" si="29"/>
        <v>0.31082999999999927</v>
      </c>
    </row>
    <row r="140" spans="1:21" x14ac:dyDescent="0.25">
      <c r="A140" s="3">
        <v>1.23766250321903E+18</v>
      </c>
      <c r="B140" s="3">
        <v>236.65884</v>
      </c>
      <c r="C140" s="3">
        <v>35.783759000000003</v>
      </c>
      <c r="D140" s="3">
        <v>7.9188430000000004E-2</v>
      </c>
      <c r="E140" s="3">
        <v>2.5184981384345777</v>
      </c>
      <c r="F140" s="3">
        <v>23756.529000000002</v>
      </c>
      <c r="G140" s="3">
        <v>19.46762</v>
      </c>
      <c r="H140" s="3">
        <v>17.57479</v>
      </c>
      <c r="I140" s="3">
        <v>16.690239999999999</v>
      </c>
      <c r="J140" s="3">
        <v>16.27843</v>
      </c>
      <c r="K140" s="3">
        <v>15.948119999999999</v>
      </c>
      <c r="L140" s="3">
        <f t="shared" si="20"/>
        <v>1.89283</v>
      </c>
      <c r="M140" s="3">
        <f t="shared" si="21"/>
        <v>2.7773800000000008</v>
      </c>
      <c r="N140" s="3">
        <f t="shared" si="22"/>
        <v>3.18919</v>
      </c>
      <c r="O140" s="3">
        <f t="shared" si="23"/>
        <v>3.5195000000000007</v>
      </c>
      <c r="P140" s="3">
        <f t="shared" si="24"/>
        <v>0.88455000000000084</v>
      </c>
      <c r="Q140" s="3">
        <f t="shared" si="25"/>
        <v>1.29636</v>
      </c>
      <c r="R140" s="3">
        <f t="shared" si="26"/>
        <v>1.6266700000000007</v>
      </c>
      <c r="S140" s="3">
        <f t="shared" si="27"/>
        <v>0.41180999999999912</v>
      </c>
      <c r="T140" s="3">
        <f t="shared" si="28"/>
        <v>0.74211999999999989</v>
      </c>
      <c r="U140" s="3">
        <f t="shared" si="29"/>
        <v>0.33031000000000077</v>
      </c>
    </row>
    <row r="141" spans="1:21" x14ac:dyDescent="0.25">
      <c r="A141" s="3">
        <v>1.23766146598626E+18</v>
      </c>
      <c r="B141" s="3">
        <v>236.32692</v>
      </c>
      <c r="C141" s="3">
        <v>35.785758000000001</v>
      </c>
      <c r="D141" s="3">
        <v>7.9190570000000002E-2</v>
      </c>
      <c r="E141" s="3">
        <v>1.7822930964777817</v>
      </c>
      <c r="F141" s="3">
        <v>23757.171000000002</v>
      </c>
      <c r="G141" s="3">
        <v>19.586960000000001</v>
      </c>
      <c r="H141" s="3">
        <v>17.991569999999999</v>
      </c>
      <c r="I141" s="3">
        <v>17.22757</v>
      </c>
      <c r="J141" s="3">
        <v>16.825600000000001</v>
      </c>
      <c r="K141" s="3">
        <v>16.530439999999999</v>
      </c>
      <c r="L141" s="3">
        <f t="shared" si="20"/>
        <v>1.5953900000000019</v>
      </c>
      <c r="M141" s="3">
        <f t="shared" si="21"/>
        <v>2.3593900000000012</v>
      </c>
      <c r="N141" s="3">
        <f t="shared" si="22"/>
        <v>2.7613599999999998</v>
      </c>
      <c r="O141" s="3">
        <f t="shared" si="23"/>
        <v>3.0565200000000026</v>
      </c>
      <c r="P141" s="3">
        <f t="shared" si="24"/>
        <v>0.76399999999999935</v>
      </c>
      <c r="Q141" s="3">
        <f t="shared" si="25"/>
        <v>1.165969999999998</v>
      </c>
      <c r="R141" s="3">
        <f t="shared" si="26"/>
        <v>1.4611300000000007</v>
      </c>
      <c r="S141" s="3">
        <f t="shared" si="27"/>
        <v>0.40196999999999861</v>
      </c>
      <c r="T141" s="3">
        <f t="shared" si="28"/>
        <v>0.69713000000000136</v>
      </c>
      <c r="U141" s="3">
        <f t="shared" si="29"/>
        <v>0.29516000000000275</v>
      </c>
    </row>
    <row r="142" spans="1:21" x14ac:dyDescent="0.25">
      <c r="A142" s="3">
        <v>1.23766250321903E+18</v>
      </c>
      <c r="B142" s="3">
        <v>236.62267</v>
      </c>
      <c r="C142" s="3">
        <v>35.791443000000001</v>
      </c>
      <c r="D142" s="3">
        <v>7.9249940000000005E-2</v>
      </c>
      <c r="E142" s="3">
        <v>2.3776894872294649</v>
      </c>
      <c r="F142" s="3">
        <v>23774.982</v>
      </c>
      <c r="G142" s="3">
        <v>19.021730000000002</v>
      </c>
      <c r="H142" s="3">
        <v>17.046240000000001</v>
      </c>
      <c r="I142" s="3">
        <v>16.104980000000001</v>
      </c>
      <c r="J142" s="3">
        <v>15.68003</v>
      </c>
      <c r="K142" s="3">
        <v>15.350989999999999</v>
      </c>
      <c r="L142" s="3">
        <f t="shared" si="20"/>
        <v>1.9754900000000006</v>
      </c>
      <c r="M142" s="3">
        <f t="shared" si="21"/>
        <v>2.9167500000000004</v>
      </c>
      <c r="N142" s="3">
        <f t="shared" si="22"/>
        <v>3.3417000000000012</v>
      </c>
      <c r="O142" s="3">
        <f t="shared" si="23"/>
        <v>3.6707400000000021</v>
      </c>
      <c r="P142" s="3">
        <f t="shared" si="24"/>
        <v>0.94125999999999976</v>
      </c>
      <c r="Q142" s="3">
        <f t="shared" si="25"/>
        <v>1.3662100000000006</v>
      </c>
      <c r="R142" s="3">
        <f t="shared" si="26"/>
        <v>1.6952500000000015</v>
      </c>
      <c r="S142" s="3">
        <f t="shared" si="27"/>
        <v>0.42495000000000083</v>
      </c>
      <c r="T142" s="3">
        <f t="shared" si="28"/>
        <v>0.75399000000000171</v>
      </c>
      <c r="U142" s="3">
        <f t="shared" si="29"/>
        <v>0.32904000000000089</v>
      </c>
    </row>
    <row r="143" spans="1:21" x14ac:dyDescent="0.25">
      <c r="A143" s="3">
        <v>1.2376625032191601E+18</v>
      </c>
      <c r="B143" s="3">
        <v>236.7884</v>
      </c>
      <c r="C143" s="3">
        <v>35.646155</v>
      </c>
      <c r="D143" s="3">
        <v>7.9413300000000006E-2</v>
      </c>
      <c r="E143" s="3">
        <v>3.4463360201208779</v>
      </c>
      <c r="F143" s="3">
        <v>23823.99</v>
      </c>
      <c r="G143" s="3">
        <v>17.632059999999999</v>
      </c>
      <c r="H143" s="3">
        <v>15.485670000000001</v>
      </c>
      <c r="I143" s="3">
        <v>14.502370000000001</v>
      </c>
      <c r="J143" s="3">
        <v>14.05396</v>
      </c>
      <c r="K143" s="3">
        <v>13.73014</v>
      </c>
      <c r="L143" s="3">
        <f t="shared" si="20"/>
        <v>2.1463899999999985</v>
      </c>
      <c r="M143" s="3">
        <f t="shared" si="21"/>
        <v>3.1296899999999983</v>
      </c>
      <c r="N143" s="3">
        <f t="shared" si="22"/>
        <v>3.5780999999999992</v>
      </c>
      <c r="O143" s="3">
        <f t="shared" si="23"/>
        <v>3.9019199999999987</v>
      </c>
      <c r="P143" s="3">
        <f t="shared" si="24"/>
        <v>0.98329999999999984</v>
      </c>
      <c r="Q143" s="3">
        <f t="shared" si="25"/>
        <v>1.4317100000000007</v>
      </c>
      <c r="R143" s="3">
        <f t="shared" si="26"/>
        <v>1.7555300000000003</v>
      </c>
      <c r="S143" s="3">
        <f t="shared" si="27"/>
        <v>0.44841000000000086</v>
      </c>
      <c r="T143" s="3">
        <f t="shared" si="28"/>
        <v>0.77223000000000042</v>
      </c>
      <c r="U143" s="3">
        <f t="shared" si="29"/>
        <v>0.32381999999999955</v>
      </c>
    </row>
    <row r="144" spans="1:21" x14ac:dyDescent="0.25">
      <c r="A144" s="3">
        <v>1.23766146598626E+18</v>
      </c>
      <c r="B144" s="3">
        <v>236.30838</v>
      </c>
      <c r="C144" s="3">
        <v>35.770892000000003</v>
      </c>
      <c r="D144" s="3">
        <v>7.9482280000000002E-2</v>
      </c>
      <c r="E144" s="3">
        <v>1.8473184482227261</v>
      </c>
      <c r="F144" s="3">
        <v>23844.684000000001</v>
      </c>
      <c r="G144" s="3">
        <v>19.239100000000001</v>
      </c>
      <c r="H144" s="3">
        <v>17.272410000000001</v>
      </c>
      <c r="I144" s="3">
        <v>16.30301</v>
      </c>
      <c r="J144" s="3">
        <v>15.816689999999999</v>
      </c>
      <c r="K144" s="3">
        <v>15.4399</v>
      </c>
      <c r="L144" s="3">
        <f t="shared" si="20"/>
        <v>1.9666899999999998</v>
      </c>
      <c r="M144" s="3">
        <f t="shared" si="21"/>
        <v>2.9360900000000001</v>
      </c>
      <c r="N144" s="3">
        <f t="shared" si="22"/>
        <v>3.4224100000000011</v>
      </c>
      <c r="O144" s="3">
        <f t="shared" si="23"/>
        <v>3.7992000000000008</v>
      </c>
      <c r="P144" s="3">
        <f t="shared" si="24"/>
        <v>0.96940000000000026</v>
      </c>
      <c r="Q144" s="3">
        <f t="shared" si="25"/>
        <v>1.4557200000000012</v>
      </c>
      <c r="R144" s="3">
        <f t="shared" si="26"/>
        <v>1.832510000000001</v>
      </c>
      <c r="S144" s="3">
        <f t="shared" si="27"/>
        <v>0.48632000000000097</v>
      </c>
      <c r="T144" s="3">
        <f t="shared" si="28"/>
        <v>0.86311000000000071</v>
      </c>
      <c r="U144" s="3">
        <f t="shared" si="29"/>
        <v>0.37678999999999974</v>
      </c>
    </row>
    <row r="145" spans="1:21" x14ac:dyDescent="0.25">
      <c r="A145" s="3">
        <v>1.2376625032190999E+18</v>
      </c>
      <c r="B145" s="3">
        <v>236.73812000000001</v>
      </c>
      <c r="C145" s="3">
        <v>35.655124999999998</v>
      </c>
      <c r="D145" s="3">
        <v>7.9570520000000006E-2</v>
      </c>
      <c r="E145" s="3">
        <v>3.2622503573767587</v>
      </c>
      <c r="F145" s="3">
        <v>23871.156000000003</v>
      </c>
      <c r="G145" s="3">
        <v>20.00639</v>
      </c>
      <c r="H145" s="3">
        <v>18.07349</v>
      </c>
      <c r="I145" s="3">
        <v>17.181560000000001</v>
      </c>
      <c r="J145" s="3">
        <v>16.749009999999998</v>
      </c>
      <c r="K145" s="3">
        <v>16.388449999999999</v>
      </c>
      <c r="L145" s="3">
        <f t="shared" si="20"/>
        <v>1.9329000000000001</v>
      </c>
      <c r="M145" s="3">
        <f t="shared" si="21"/>
        <v>2.8248299999999986</v>
      </c>
      <c r="N145" s="3">
        <f t="shared" si="22"/>
        <v>3.2573800000000013</v>
      </c>
      <c r="O145" s="3">
        <f t="shared" si="23"/>
        <v>3.6179400000000008</v>
      </c>
      <c r="P145" s="3">
        <f t="shared" si="24"/>
        <v>0.89192999999999856</v>
      </c>
      <c r="Q145" s="3">
        <f t="shared" si="25"/>
        <v>1.3244800000000012</v>
      </c>
      <c r="R145" s="3">
        <f t="shared" si="26"/>
        <v>1.6850400000000008</v>
      </c>
      <c r="S145" s="3">
        <f t="shared" si="27"/>
        <v>0.43255000000000265</v>
      </c>
      <c r="T145" s="3">
        <f t="shared" si="28"/>
        <v>0.7931100000000022</v>
      </c>
      <c r="U145" s="3">
        <f t="shared" si="29"/>
        <v>0.36055999999999955</v>
      </c>
    </row>
    <row r="146" spans="1:21" x14ac:dyDescent="0.25">
      <c r="A146" s="3">
        <v>1.2376625032191601E+18</v>
      </c>
      <c r="B146" s="3">
        <v>236.79683</v>
      </c>
      <c r="C146" s="3">
        <v>35.660555000000002</v>
      </c>
      <c r="D146" s="3">
        <v>8.0674369999999995E-2</v>
      </c>
      <c r="E146" s="3">
        <v>3.4161113444507643</v>
      </c>
      <c r="F146" s="3">
        <v>24202.310999999998</v>
      </c>
      <c r="G146" s="3">
        <v>20.353280000000002</v>
      </c>
      <c r="H146" s="3">
        <v>18.451910000000002</v>
      </c>
      <c r="I146" s="3">
        <v>17.54101</v>
      </c>
      <c r="J146" s="3">
        <v>17.124020000000002</v>
      </c>
      <c r="K146" s="3">
        <v>16.784510000000001</v>
      </c>
      <c r="L146" s="3">
        <f t="shared" si="20"/>
        <v>1.90137</v>
      </c>
      <c r="M146" s="3">
        <f t="shared" si="21"/>
        <v>2.8122700000000016</v>
      </c>
      <c r="N146" s="3">
        <f t="shared" si="22"/>
        <v>3.22926</v>
      </c>
      <c r="O146" s="3">
        <f t="shared" si="23"/>
        <v>3.5687700000000007</v>
      </c>
      <c r="P146" s="3">
        <f t="shared" si="24"/>
        <v>0.9109000000000016</v>
      </c>
      <c r="Q146" s="3">
        <f t="shared" si="25"/>
        <v>1.32789</v>
      </c>
      <c r="R146" s="3">
        <f t="shared" si="26"/>
        <v>1.6674000000000007</v>
      </c>
      <c r="S146" s="3">
        <f t="shared" si="27"/>
        <v>0.41698999999999842</v>
      </c>
      <c r="T146" s="3">
        <f t="shared" si="28"/>
        <v>0.75649999999999906</v>
      </c>
      <c r="U146" s="3">
        <f t="shared" si="29"/>
        <v>0.33951000000000064</v>
      </c>
    </row>
    <row r="147" spans="1:21" x14ac:dyDescent="0.25">
      <c r="A147" s="3">
        <v>1.2376625032190999E+18</v>
      </c>
      <c r="B147" s="3">
        <v>236.76319000000001</v>
      </c>
      <c r="C147" s="3">
        <v>35.650075999999999</v>
      </c>
      <c r="D147" s="3">
        <v>8.0797430000000003E-2</v>
      </c>
      <c r="E147" s="3">
        <v>3.3557098425000871</v>
      </c>
      <c r="F147" s="3">
        <v>24239.228999999999</v>
      </c>
      <c r="G147" s="3">
        <v>19.8461</v>
      </c>
      <c r="H147" s="3">
        <v>17.746749999999999</v>
      </c>
      <c r="I147" s="3">
        <v>16.821459999999998</v>
      </c>
      <c r="J147" s="3">
        <v>16.39217</v>
      </c>
      <c r="K147" s="3">
        <v>16.070129999999999</v>
      </c>
      <c r="L147" s="3">
        <f t="shared" si="20"/>
        <v>2.0993500000000012</v>
      </c>
      <c r="M147" s="3">
        <f t="shared" si="21"/>
        <v>3.0246400000000015</v>
      </c>
      <c r="N147" s="3">
        <f t="shared" si="22"/>
        <v>3.4539299999999997</v>
      </c>
      <c r="O147" s="3">
        <f t="shared" si="23"/>
        <v>3.7759700000000009</v>
      </c>
      <c r="P147" s="3">
        <f t="shared" si="24"/>
        <v>0.92529000000000039</v>
      </c>
      <c r="Q147" s="3">
        <f t="shared" si="25"/>
        <v>1.3545799999999986</v>
      </c>
      <c r="R147" s="3">
        <f t="shared" si="26"/>
        <v>1.6766199999999998</v>
      </c>
      <c r="S147" s="3">
        <f t="shared" si="27"/>
        <v>0.42928999999999817</v>
      </c>
      <c r="T147" s="3">
        <f t="shared" si="28"/>
        <v>0.75132999999999939</v>
      </c>
      <c r="U147" s="3">
        <f t="shared" si="29"/>
        <v>0.32204000000000121</v>
      </c>
    </row>
    <row r="148" spans="1:21" x14ac:dyDescent="0.25">
      <c r="A148" s="3">
        <v>1.23766247369074E+18</v>
      </c>
      <c r="B148" s="3">
        <v>235.93932000000001</v>
      </c>
      <c r="C148" s="3">
        <v>36.537877999999999</v>
      </c>
      <c r="D148" s="3">
        <v>9.3138219999999994E-2</v>
      </c>
      <c r="E148" s="3">
        <v>2.6689140204622119</v>
      </c>
      <c r="F148" s="3">
        <v>27941.465999999997</v>
      </c>
      <c r="G148" s="3">
        <v>20.411349999999999</v>
      </c>
      <c r="H148" s="3">
        <v>18.448340000000002</v>
      </c>
      <c r="I148" s="3">
        <v>17.491289999999999</v>
      </c>
      <c r="J148" s="3">
        <v>17.00095</v>
      </c>
      <c r="K148" s="3">
        <v>16.653680000000001</v>
      </c>
      <c r="L148" s="3">
        <f t="shared" si="20"/>
        <v>1.963009999999997</v>
      </c>
      <c r="M148" s="3">
        <f t="shared" si="21"/>
        <v>2.9200599999999994</v>
      </c>
      <c r="N148" s="3">
        <f t="shared" si="22"/>
        <v>3.4103999999999992</v>
      </c>
      <c r="O148" s="3">
        <f t="shared" si="23"/>
        <v>3.7576699999999974</v>
      </c>
      <c r="P148" s="3">
        <f t="shared" si="24"/>
        <v>0.9570500000000024</v>
      </c>
      <c r="Q148" s="3">
        <f t="shared" si="25"/>
        <v>1.4473900000000022</v>
      </c>
      <c r="R148" s="3">
        <f t="shared" si="26"/>
        <v>1.7946600000000004</v>
      </c>
      <c r="S148" s="3">
        <f t="shared" si="27"/>
        <v>0.49033999999999978</v>
      </c>
      <c r="T148" s="3">
        <f t="shared" si="28"/>
        <v>0.83760999999999797</v>
      </c>
      <c r="U148" s="3">
        <f t="shared" si="29"/>
        <v>0.34726999999999819</v>
      </c>
    </row>
    <row r="149" spans="1:21" x14ac:dyDescent="0.25">
      <c r="A149" s="3">
        <v>1.2376625032187E+18</v>
      </c>
      <c r="B149" s="3">
        <v>235.90908999999999</v>
      </c>
      <c r="C149" s="3">
        <v>36.285921000000002</v>
      </c>
      <c r="D149" s="3">
        <v>9.3240450000000002E-2</v>
      </c>
      <c r="E149" s="3">
        <v>1.7490764593168409</v>
      </c>
      <c r="F149" s="3">
        <v>27972.135000000002</v>
      </c>
      <c r="G149" s="3">
        <v>18.631910000000001</v>
      </c>
      <c r="H149" s="3">
        <v>17.347439999999999</v>
      </c>
      <c r="I149" s="3">
        <v>16.729330000000001</v>
      </c>
      <c r="J149" s="3">
        <v>16.36806</v>
      </c>
      <c r="K149" s="3">
        <v>16.165949999999999</v>
      </c>
      <c r="L149" s="3">
        <f t="shared" si="20"/>
        <v>1.2844700000000024</v>
      </c>
      <c r="M149" s="3">
        <f t="shared" si="21"/>
        <v>1.9025800000000004</v>
      </c>
      <c r="N149" s="3">
        <f t="shared" si="22"/>
        <v>2.2638500000000015</v>
      </c>
      <c r="O149" s="3">
        <f t="shared" si="23"/>
        <v>2.4659600000000026</v>
      </c>
      <c r="P149" s="3">
        <f t="shared" si="24"/>
        <v>0.61810999999999794</v>
      </c>
      <c r="Q149" s="3">
        <f t="shared" si="25"/>
        <v>0.97937999999999903</v>
      </c>
      <c r="R149" s="3">
        <f t="shared" si="26"/>
        <v>1.1814900000000002</v>
      </c>
      <c r="S149" s="3">
        <f t="shared" si="27"/>
        <v>0.36127000000000109</v>
      </c>
      <c r="T149" s="3">
        <f t="shared" si="28"/>
        <v>0.56338000000000221</v>
      </c>
      <c r="U149" s="3">
        <f t="shared" si="29"/>
        <v>0.20211000000000112</v>
      </c>
    </row>
    <row r="150" spans="1:21" x14ac:dyDescent="0.25">
      <c r="A150" s="3">
        <v>1.2376625032187E+18</v>
      </c>
      <c r="B150" s="3">
        <v>235.87171000000001</v>
      </c>
      <c r="C150" s="3">
        <v>36.279058999999997</v>
      </c>
      <c r="D150" s="3">
        <v>9.3569559999999996E-2</v>
      </c>
      <c r="E150" s="3">
        <v>1.8693604046939376</v>
      </c>
      <c r="F150" s="3">
        <v>28070.867999999999</v>
      </c>
      <c r="G150" s="3">
        <v>19.409510000000001</v>
      </c>
      <c r="H150" s="3">
        <v>17.493960000000001</v>
      </c>
      <c r="I150" s="3">
        <v>16.539300000000001</v>
      </c>
      <c r="J150" s="3">
        <v>16.03443</v>
      </c>
      <c r="K150" s="3">
        <v>15.64025</v>
      </c>
      <c r="L150" s="3">
        <f t="shared" si="20"/>
        <v>1.9155499999999996</v>
      </c>
      <c r="M150" s="3">
        <f t="shared" si="21"/>
        <v>2.8702100000000002</v>
      </c>
      <c r="N150" s="3">
        <f t="shared" si="22"/>
        <v>3.3750800000000005</v>
      </c>
      <c r="O150" s="3">
        <f t="shared" si="23"/>
        <v>3.7692600000000009</v>
      </c>
      <c r="P150" s="3">
        <f t="shared" si="24"/>
        <v>0.95466000000000051</v>
      </c>
      <c r="Q150" s="3">
        <f t="shared" si="25"/>
        <v>1.4595300000000009</v>
      </c>
      <c r="R150" s="3">
        <f t="shared" si="26"/>
        <v>1.8537100000000013</v>
      </c>
      <c r="S150" s="3">
        <f t="shared" si="27"/>
        <v>0.50487000000000037</v>
      </c>
      <c r="T150" s="3">
        <f t="shared" si="28"/>
        <v>0.89905000000000079</v>
      </c>
      <c r="U150" s="3">
        <f t="shared" si="29"/>
        <v>0.39418000000000042</v>
      </c>
    </row>
    <row r="151" spans="1:21" x14ac:dyDescent="0.25">
      <c r="A151" s="3">
        <v>1.2376625032187E+18</v>
      </c>
      <c r="B151" s="3">
        <v>235.89401000000001</v>
      </c>
      <c r="C151" s="3">
        <v>36.218031000000003</v>
      </c>
      <c r="D151" s="3">
        <v>0.1075565</v>
      </c>
      <c r="E151" s="3">
        <v>1.6415752631391485</v>
      </c>
      <c r="F151" s="3">
        <v>32266.95</v>
      </c>
      <c r="G151" s="3">
        <v>18.92623</v>
      </c>
      <c r="H151" s="3">
        <v>17.64284</v>
      </c>
      <c r="I151" s="3">
        <v>17.089680000000001</v>
      </c>
      <c r="J151" s="3">
        <v>16.77308</v>
      </c>
      <c r="K151" s="3">
        <v>16.63101</v>
      </c>
      <c r="L151" s="3">
        <f t="shared" si="20"/>
        <v>1.2833900000000007</v>
      </c>
      <c r="M151" s="3">
        <f t="shared" si="21"/>
        <v>1.836549999999999</v>
      </c>
      <c r="N151" s="3">
        <f t="shared" si="22"/>
        <v>2.1531500000000001</v>
      </c>
      <c r="O151" s="3">
        <f t="shared" si="23"/>
        <v>2.2952200000000005</v>
      </c>
      <c r="P151" s="3">
        <f t="shared" si="24"/>
        <v>0.55315999999999832</v>
      </c>
      <c r="Q151" s="3">
        <f t="shared" si="25"/>
        <v>0.86975999999999942</v>
      </c>
      <c r="R151" s="3">
        <f t="shared" si="26"/>
        <v>1.0118299999999998</v>
      </c>
      <c r="S151" s="3">
        <f t="shared" si="27"/>
        <v>0.3166000000000011</v>
      </c>
      <c r="T151" s="3">
        <f t="shared" si="28"/>
        <v>0.45867000000000147</v>
      </c>
      <c r="U151" s="3">
        <f t="shared" si="29"/>
        <v>0.14207000000000036</v>
      </c>
    </row>
    <row r="152" spans="1:21" x14ac:dyDescent="0.25">
      <c r="A152" s="3">
        <v>1.23766233786351E+18</v>
      </c>
      <c r="B152" s="3">
        <v>235.75324000000001</v>
      </c>
      <c r="C152" s="3">
        <v>35.804855000000003</v>
      </c>
      <c r="D152" s="3">
        <v>0.1153564</v>
      </c>
      <c r="E152" s="3">
        <v>2.7083453795506474</v>
      </c>
      <c r="F152" s="3">
        <v>34606.92</v>
      </c>
      <c r="G152" s="3">
        <v>19.460039999999999</v>
      </c>
      <c r="H152" s="3">
        <v>17.95091</v>
      </c>
      <c r="I152" s="3">
        <v>17.096360000000001</v>
      </c>
      <c r="J152" s="3">
        <v>16.59714</v>
      </c>
      <c r="K152" s="3">
        <v>16.360910000000001</v>
      </c>
      <c r="L152" s="3">
        <f t="shared" si="20"/>
        <v>1.509129999999999</v>
      </c>
      <c r="M152" s="3">
        <f t="shared" si="21"/>
        <v>2.3636799999999987</v>
      </c>
      <c r="N152" s="3">
        <f t="shared" si="22"/>
        <v>2.8628999999999998</v>
      </c>
      <c r="O152" s="3">
        <f t="shared" si="23"/>
        <v>3.0991299999999988</v>
      </c>
      <c r="P152" s="3">
        <f t="shared" si="24"/>
        <v>0.8545499999999997</v>
      </c>
      <c r="Q152" s="3">
        <f t="shared" si="25"/>
        <v>1.3537700000000008</v>
      </c>
      <c r="R152" s="3">
        <f t="shared" si="26"/>
        <v>1.5899999999999999</v>
      </c>
      <c r="S152" s="3">
        <f t="shared" si="27"/>
        <v>0.49922000000000111</v>
      </c>
      <c r="T152" s="3">
        <f t="shared" si="28"/>
        <v>0.73545000000000016</v>
      </c>
      <c r="U152" s="3">
        <f t="shared" si="29"/>
        <v>0.23622999999999905</v>
      </c>
    </row>
    <row r="153" spans="1:21" x14ac:dyDescent="0.25">
      <c r="A153" s="3">
        <v>1.23766250375584E+18</v>
      </c>
      <c r="B153" s="3">
        <v>236.7253</v>
      </c>
      <c r="C153" s="3">
        <v>36.269435000000001</v>
      </c>
      <c r="D153" s="3">
        <v>0.1156571</v>
      </c>
      <c r="E153" s="3">
        <v>2.2590873117945143</v>
      </c>
      <c r="F153" s="3">
        <v>34697.129999999997</v>
      </c>
      <c r="G153" s="3">
        <v>19.842320000000001</v>
      </c>
      <c r="H153" s="3">
        <v>18.150289999999998</v>
      </c>
      <c r="I153" s="3">
        <v>17.21433</v>
      </c>
      <c r="J153" s="3">
        <v>16.714580000000002</v>
      </c>
      <c r="K153" s="3">
        <v>16.35238</v>
      </c>
      <c r="L153" s="3">
        <f t="shared" si="20"/>
        <v>1.6920300000000026</v>
      </c>
      <c r="M153" s="3">
        <f t="shared" si="21"/>
        <v>2.6279900000000005</v>
      </c>
      <c r="N153" s="3">
        <f t="shared" si="22"/>
        <v>3.1277399999999993</v>
      </c>
      <c r="O153" s="3">
        <f t="shared" si="23"/>
        <v>3.4899400000000007</v>
      </c>
      <c r="P153" s="3">
        <f t="shared" si="24"/>
        <v>0.9359599999999979</v>
      </c>
      <c r="Q153" s="3">
        <f t="shared" si="25"/>
        <v>1.4357099999999967</v>
      </c>
      <c r="R153" s="3">
        <f t="shared" si="26"/>
        <v>1.7979099999999981</v>
      </c>
      <c r="S153" s="3">
        <f t="shared" si="27"/>
        <v>0.49974999999999881</v>
      </c>
      <c r="T153" s="3">
        <f t="shared" si="28"/>
        <v>0.86195000000000022</v>
      </c>
      <c r="U153" s="3">
        <f t="shared" si="29"/>
        <v>0.36220000000000141</v>
      </c>
    </row>
    <row r="154" spans="1:21" x14ac:dyDescent="0.25">
      <c r="A154" s="3">
        <v>1.23766247315426E+18</v>
      </c>
      <c r="B154" s="3">
        <v>236.60979</v>
      </c>
      <c r="C154" s="3">
        <v>35.714427000000001</v>
      </c>
      <c r="D154" s="3">
        <v>0.1158771</v>
      </c>
      <c r="E154" s="3">
        <v>2.6595535292716206</v>
      </c>
      <c r="F154" s="3">
        <v>34763.129999999997</v>
      </c>
      <c r="G154" s="3">
        <v>19.759509999999999</v>
      </c>
      <c r="H154" s="3">
        <v>17.746600000000001</v>
      </c>
      <c r="I154" s="3">
        <v>16.72391</v>
      </c>
      <c r="J154" s="3">
        <v>16.29514</v>
      </c>
      <c r="K154" s="3">
        <v>15.91081</v>
      </c>
      <c r="L154" s="3">
        <f t="shared" si="20"/>
        <v>2.012909999999998</v>
      </c>
      <c r="M154" s="3">
        <f t="shared" si="21"/>
        <v>3.0355999999999987</v>
      </c>
      <c r="N154" s="3">
        <f t="shared" si="22"/>
        <v>3.4643699999999988</v>
      </c>
      <c r="O154" s="3">
        <f t="shared" si="23"/>
        <v>3.8486999999999991</v>
      </c>
      <c r="P154" s="3">
        <f t="shared" si="24"/>
        <v>1.0226900000000008</v>
      </c>
      <c r="Q154" s="3">
        <f t="shared" si="25"/>
        <v>1.4514600000000009</v>
      </c>
      <c r="R154" s="3">
        <f t="shared" si="26"/>
        <v>1.8357900000000011</v>
      </c>
      <c r="S154" s="3">
        <f t="shared" si="27"/>
        <v>0.4287700000000001</v>
      </c>
      <c r="T154" s="3">
        <f t="shared" si="28"/>
        <v>0.81310000000000038</v>
      </c>
      <c r="U154" s="3">
        <f t="shared" si="29"/>
        <v>0.38433000000000028</v>
      </c>
    </row>
    <row r="155" spans="1:21" x14ac:dyDescent="0.25">
      <c r="A155" s="3">
        <v>1.2376625032190999E+18</v>
      </c>
      <c r="B155" s="3">
        <v>236.75801000000001</v>
      </c>
      <c r="C155" s="3">
        <v>35.711208999999997</v>
      </c>
      <c r="D155" s="3">
        <v>0.1160872</v>
      </c>
      <c r="E155" s="3">
        <v>3.1028895880442211</v>
      </c>
      <c r="F155" s="3">
        <v>34826.160000000003</v>
      </c>
      <c r="G155" s="3">
        <v>19.852699999999999</v>
      </c>
      <c r="H155" s="3">
        <v>17.855029999999999</v>
      </c>
      <c r="I155" s="3">
        <v>16.867789999999999</v>
      </c>
      <c r="J155" s="3">
        <v>16.463139999999999</v>
      </c>
      <c r="K155" s="3">
        <v>16.120830000000002</v>
      </c>
      <c r="L155" s="3">
        <f t="shared" si="20"/>
        <v>1.9976699999999994</v>
      </c>
      <c r="M155" s="3">
        <f t="shared" si="21"/>
        <v>2.9849099999999993</v>
      </c>
      <c r="N155" s="3">
        <f t="shared" si="22"/>
        <v>3.3895599999999995</v>
      </c>
      <c r="O155" s="3">
        <f t="shared" si="23"/>
        <v>3.7318699999999971</v>
      </c>
      <c r="P155" s="3">
        <f t="shared" si="24"/>
        <v>0.9872399999999999</v>
      </c>
      <c r="Q155" s="3">
        <f t="shared" si="25"/>
        <v>1.3918900000000001</v>
      </c>
      <c r="R155" s="3">
        <f t="shared" si="26"/>
        <v>1.7341999999999977</v>
      </c>
      <c r="S155" s="3">
        <f t="shared" si="27"/>
        <v>0.40465000000000018</v>
      </c>
      <c r="T155" s="3">
        <f t="shared" si="28"/>
        <v>0.74695999999999785</v>
      </c>
      <c r="U155" s="3">
        <f t="shared" si="29"/>
        <v>0.34230999999999767</v>
      </c>
    </row>
    <row r="156" spans="1:21" x14ac:dyDescent="0.25">
      <c r="A156" s="3">
        <v>1.2376624736911301E+18</v>
      </c>
      <c r="B156" s="3">
        <v>236.73739</v>
      </c>
      <c r="C156" s="3">
        <v>36.068503999999997</v>
      </c>
      <c r="D156" s="3">
        <v>0.1228896</v>
      </c>
      <c r="E156" s="3">
        <v>2.1543863595706703</v>
      </c>
      <c r="F156" s="3">
        <v>36866.879999999997</v>
      </c>
      <c r="G156" s="3">
        <v>18.872689999999999</v>
      </c>
      <c r="H156" s="3">
        <v>17.463090000000001</v>
      </c>
      <c r="I156" s="3">
        <v>16.65202</v>
      </c>
      <c r="J156" s="3">
        <v>16.200880000000002</v>
      </c>
      <c r="K156" s="3">
        <v>15.84618</v>
      </c>
      <c r="L156" s="3">
        <f t="shared" si="20"/>
        <v>1.4095999999999975</v>
      </c>
      <c r="M156" s="3">
        <f t="shared" si="21"/>
        <v>2.2206699999999984</v>
      </c>
      <c r="N156" s="3">
        <f t="shared" si="22"/>
        <v>2.6718099999999971</v>
      </c>
      <c r="O156" s="3">
        <f t="shared" si="23"/>
        <v>3.0265099999999983</v>
      </c>
      <c r="P156" s="3">
        <f t="shared" si="24"/>
        <v>0.81107000000000085</v>
      </c>
      <c r="Q156" s="3">
        <f t="shared" si="25"/>
        <v>1.2622099999999996</v>
      </c>
      <c r="R156" s="3">
        <f t="shared" si="26"/>
        <v>1.6169100000000007</v>
      </c>
      <c r="S156" s="3">
        <f t="shared" si="27"/>
        <v>0.45113999999999876</v>
      </c>
      <c r="T156" s="3">
        <f t="shared" si="28"/>
        <v>0.80583999999999989</v>
      </c>
      <c r="U156" s="3">
        <f t="shared" si="29"/>
        <v>0.35470000000000113</v>
      </c>
    </row>
    <row r="157" spans="1:21" x14ac:dyDescent="0.25">
      <c r="A157" s="3">
        <v>1.23766233786371E+18</v>
      </c>
      <c r="B157" s="3">
        <v>236.09461999999999</v>
      </c>
      <c r="C157" s="3">
        <v>35.624761999999997</v>
      </c>
      <c r="D157" s="3">
        <v>0.1238088</v>
      </c>
      <c r="E157" s="3">
        <v>2.6981731528931316</v>
      </c>
      <c r="F157" s="3">
        <v>37142.639999999999</v>
      </c>
      <c r="G157" s="3">
        <v>19.833680000000001</v>
      </c>
      <c r="H157" s="3">
        <v>18.497730000000001</v>
      </c>
      <c r="I157" s="3">
        <v>17.77187</v>
      </c>
      <c r="J157" s="3">
        <v>17.3827</v>
      </c>
      <c r="K157" s="3">
        <v>17.091480000000001</v>
      </c>
      <c r="L157" s="3">
        <f t="shared" si="20"/>
        <v>1.3359500000000004</v>
      </c>
      <c r="M157" s="3">
        <f t="shared" si="21"/>
        <v>2.0618100000000013</v>
      </c>
      <c r="N157" s="3">
        <f t="shared" si="22"/>
        <v>2.4509800000000013</v>
      </c>
      <c r="O157" s="3">
        <f t="shared" si="23"/>
        <v>2.7422000000000004</v>
      </c>
      <c r="P157" s="3">
        <f t="shared" si="24"/>
        <v>0.72586000000000084</v>
      </c>
      <c r="Q157" s="3">
        <f t="shared" si="25"/>
        <v>1.1150300000000009</v>
      </c>
      <c r="R157" s="3">
        <f t="shared" si="26"/>
        <v>1.40625</v>
      </c>
      <c r="S157" s="3">
        <f t="shared" si="27"/>
        <v>0.38917000000000002</v>
      </c>
      <c r="T157" s="3">
        <f t="shared" si="28"/>
        <v>0.68038999999999916</v>
      </c>
      <c r="U157" s="3">
        <f t="shared" si="29"/>
        <v>0.29121999999999915</v>
      </c>
    </row>
    <row r="158" spans="1:21" x14ac:dyDescent="0.25">
      <c r="A158" s="3">
        <v>1.2376614659861299E+18</v>
      </c>
      <c r="B158" s="3">
        <v>235.84402</v>
      </c>
      <c r="C158" s="3">
        <v>35.851506000000001</v>
      </c>
      <c r="D158" s="3">
        <v>0.1239637</v>
      </c>
      <c r="E158" s="3">
        <v>2.2403300829674615</v>
      </c>
      <c r="F158" s="3">
        <v>37189.11</v>
      </c>
      <c r="G158" s="3">
        <v>19.423580000000001</v>
      </c>
      <c r="H158" s="3">
        <v>17.523099999999999</v>
      </c>
      <c r="I158" s="3">
        <v>16.457039999999999</v>
      </c>
      <c r="J158" s="3">
        <v>16.008690000000001</v>
      </c>
      <c r="K158" s="3">
        <v>15.64297</v>
      </c>
      <c r="L158" s="3">
        <f t="shared" si="20"/>
        <v>1.9004800000000017</v>
      </c>
      <c r="M158" s="3">
        <f t="shared" si="21"/>
        <v>2.966540000000002</v>
      </c>
      <c r="N158" s="3">
        <f t="shared" si="22"/>
        <v>3.4148899999999998</v>
      </c>
      <c r="O158" s="3">
        <f t="shared" si="23"/>
        <v>3.7806100000000011</v>
      </c>
      <c r="P158" s="3">
        <f t="shared" si="24"/>
        <v>1.0660600000000002</v>
      </c>
      <c r="Q158" s="3">
        <f t="shared" si="25"/>
        <v>1.514409999999998</v>
      </c>
      <c r="R158" s="3">
        <f t="shared" si="26"/>
        <v>1.8801299999999994</v>
      </c>
      <c r="S158" s="3">
        <f t="shared" si="27"/>
        <v>0.44834999999999781</v>
      </c>
      <c r="T158" s="3">
        <f t="shared" si="28"/>
        <v>0.81406999999999918</v>
      </c>
      <c r="U158" s="3">
        <f t="shared" si="29"/>
        <v>0.36572000000000138</v>
      </c>
    </row>
    <row r="159" spans="1:21" x14ac:dyDescent="0.25">
      <c r="A159" s="3">
        <v>1.2376614659861299E+18</v>
      </c>
      <c r="B159" s="3">
        <v>235.84612000000001</v>
      </c>
      <c r="C159" s="3">
        <v>35.879350000000002</v>
      </c>
      <c r="D159" s="3">
        <v>0.1242968</v>
      </c>
      <c r="E159" s="3">
        <v>2.1424547993200704</v>
      </c>
      <c r="F159" s="3">
        <v>37289.040000000001</v>
      </c>
      <c r="G159" s="3">
        <v>20.1569</v>
      </c>
      <c r="H159" s="3">
        <v>18.543980000000001</v>
      </c>
      <c r="I159" s="3">
        <v>17.683350000000001</v>
      </c>
      <c r="J159" s="3">
        <v>17.25639</v>
      </c>
      <c r="K159" s="3">
        <v>16.92531</v>
      </c>
      <c r="L159" s="3">
        <f t="shared" si="20"/>
        <v>1.612919999999999</v>
      </c>
      <c r="M159" s="3">
        <f t="shared" si="21"/>
        <v>2.4735499999999995</v>
      </c>
      <c r="N159" s="3">
        <f t="shared" si="22"/>
        <v>2.9005100000000006</v>
      </c>
      <c r="O159" s="3">
        <f t="shared" si="23"/>
        <v>3.2315900000000006</v>
      </c>
      <c r="P159" s="3">
        <f t="shared" si="24"/>
        <v>0.86063000000000045</v>
      </c>
      <c r="Q159" s="3">
        <f t="shared" si="25"/>
        <v>1.2875900000000016</v>
      </c>
      <c r="R159" s="3">
        <f t="shared" si="26"/>
        <v>1.6186700000000016</v>
      </c>
      <c r="S159" s="3">
        <f t="shared" si="27"/>
        <v>0.42696000000000112</v>
      </c>
      <c r="T159" s="3">
        <f t="shared" si="28"/>
        <v>0.75804000000000116</v>
      </c>
      <c r="U159" s="3">
        <f t="shared" si="29"/>
        <v>0.33108000000000004</v>
      </c>
    </row>
    <row r="160" spans="1:21" x14ac:dyDescent="0.25">
      <c r="A160" s="3">
        <v>1.23766250321903E+18</v>
      </c>
      <c r="B160" s="3">
        <v>236.57581999999999</v>
      </c>
      <c r="C160" s="3">
        <v>35.837733</v>
      </c>
      <c r="D160" s="3">
        <v>0.124418</v>
      </c>
      <c r="E160" s="3">
        <v>2.0555751813901599</v>
      </c>
      <c r="F160" s="3">
        <v>37325.4</v>
      </c>
      <c r="G160" s="3">
        <v>19.635349999999999</v>
      </c>
      <c r="H160" s="3">
        <v>17.968779999999999</v>
      </c>
      <c r="I160" s="3">
        <v>16.98593</v>
      </c>
      <c r="J160" s="3">
        <v>16.574359999999999</v>
      </c>
      <c r="K160" s="3">
        <v>16.219159999999999</v>
      </c>
      <c r="L160" s="3">
        <f t="shared" si="20"/>
        <v>1.6665700000000001</v>
      </c>
      <c r="M160" s="3">
        <f t="shared" si="21"/>
        <v>2.6494199999999992</v>
      </c>
      <c r="N160" s="3">
        <f t="shared" si="22"/>
        <v>3.0609900000000003</v>
      </c>
      <c r="O160" s="3">
        <f t="shared" si="23"/>
        <v>3.4161900000000003</v>
      </c>
      <c r="P160" s="3">
        <f t="shared" si="24"/>
        <v>0.98284999999999911</v>
      </c>
      <c r="Q160" s="3">
        <f t="shared" si="25"/>
        <v>1.3944200000000002</v>
      </c>
      <c r="R160" s="3">
        <f t="shared" si="26"/>
        <v>1.7496200000000002</v>
      </c>
      <c r="S160" s="3">
        <f t="shared" si="27"/>
        <v>0.4115700000000011</v>
      </c>
      <c r="T160" s="3">
        <f t="shared" si="28"/>
        <v>0.76677000000000106</v>
      </c>
      <c r="U160" s="3">
        <f t="shared" si="29"/>
        <v>0.35519999999999996</v>
      </c>
    </row>
    <row r="161" spans="1:21" x14ac:dyDescent="0.25">
      <c r="A161" s="3">
        <v>1.23766247315393E+18</v>
      </c>
      <c r="B161" s="3">
        <v>235.74289999999999</v>
      </c>
      <c r="C161" s="3">
        <v>36.229205999999998</v>
      </c>
      <c r="D161" s="3">
        <v>0.1254054</v>
      </c>
      <c r="E161" s="3">
        <v>2.2849533963357382</v>
      </c>
      <c r="F161" s="3">
        <v>37621.620000000003</v>
      </c>
      <c r="G161" s="3">
        <v>20.711269999999999</v>
      </c>
      <c r="H161" s="3">
        <v>19.196549999999998</v>
      </c>
      <c r="I161" s="3">
        <v>18.959689999999998</v>
      </c>
      <c r="J161" s="3">
        <v>19.170069999999999</v>
      </c>
      <c r="K161" s="3">
        <v>19.67586</v>
      </c>
      <c r="L161" s="3">
        <f t="shared" si="20"/>
        <v>1.5147200000000005</v>
      </c>
      <c r="M161" s="3">
        <f t="shared" si="21"/>
        <v>1.7515800000000006</v>
      </c>
      <c r="N161" s="3">
        <f t="shared" si="22"/>
        <v>1.5411999999999999</v>
      </c>
      <c r="O161" s="3">
        <f t="shared" si="23"/>
        <v>1.0354099999999988</v>
      </c>
      <c r="P161" s="3">
        <f t="shared" si="24"/>
        <v>0.23686000000000007</v>
      </c>
      <c r="Q161" s="3">
        <f t="shared" si="25"/>
        <v>2.6479999999999393E-2</v>
      </c>
      <c r="R161" s="3">
        <f t="shared" si="26"/>
        <v>-0.47931000000000168</v>
      </c>
      <c r="S161" s="3">
        <f t="shared" si="27"/>
        <v>-0.21038000000000068</v>
      </c>
      <c r="T161" s="3">
        <f t="shared" si="28"/>
        <v>-0.71617000000000175</v>
      </c>
      <c r="U161" s="3">
        <f t="shared" si="29"/>
        <v>-0.50579000000000107</v>
      </c>
    </row>
    <row r="162" spans="1:21" x14ac:dyDescent="0.25">
      <c r="A162" s="3">
        <v>1.2376624736908001E+18</v>
      </c>
      <c r="B162" s="3">
        <v>235.98036999999999</v>
      </c>
      <c r="C162" s="3">
        <v>36.385114999999999</v>
      </c>
      <c r="D162" s="3">
        <v>0.12737989999999999</v>
      </c>
      <c r="E162" s="3">
        <v>1.8839210574851208</v>
      </c>
      <c r="F162" s="3">
        <v>38213.969999999994</v>
      </c>
      <c r="G162" s="3">
        <v>19.50817</v>
      </c>
      <c r="H162" s="3">
        <v>18.10463</v>
      </c>
      <c r="I162" s="3">
        <v>17.249459999999999</v>
      </c>
      <c r="J162" s="3">
        <v>16.803429999999999</v>
      </c>
      <c r="K162" s="3">
        <v>16.50939</v>
      </c>
      <c r="L162" s="3">
        <f t="shared" si="20"/>
        <v>1.4035399999999996</v>
      </c>
      <c r="M162" s="3">
        <f t="shared" si="21"/>
        <v>2.2587100000000007</v>
      </c>
      <c r="N162" s="3">
        <f t="shared" si="22"/>
        <v>2.704740000000001</v>
      </c>
      <c r="O162" s="3">
        <f t="shared" si="23"/>
        <v>2.99878</v>
      </c>
      <c r="P162" s="3">
        <f t="shared" si="24"/>
        <v>0.8551700000000011</v>
      </c>
      <c r="Q162" s="3">
        <f t="shared" si="25"/>
        <v>1.3012000000000015</v>
      </c>
      <c r="R162" s="3">
        <f t="shared" si="26"/>
        <v>1.5952400000000004</v>
      </c>
      <c r="S162" s="3">
        <f t="shared" si="27"/>
        <v>0.44603000000000037</v>
      </c>
      <c r="T162" s="3">
        <f t="shared" si="28"/>
        <v>0.74006999999999934</v>
      </c>
      <c r="U162" s="3">
        <f t="shared" si="29"/>
        <v>0.29403999999999897</v>
      </c>
    </row>
    <row r="163" spans="1:21" x14ac:dyDescent="0.25">
      <c r="A163" s="3">
        <v>1.2376625032187E+18</v>
      </c>
      <c r="B163" s="3">
        <v>235.88801000000001</v>
      </c>
      <c r="C163" s="3">
        <v>36.383172999999999</v>
      </c>
      <c r="D163" s="3">
        <v>0.127388</v>
      </c>
      <c r="E163" s="3">
        <v>2.1468749213319174</v>
      </c>
      <c r="F163" s="3">
        <v>38216.400000000001</v>
      </c>
      <c r="G163" s="3">
        <v>19.93216</v>
      </c>
      <c r="H163" s="3">
        <v>19.285419999999998</v>
      </c>
      <c r="I163" s="3">
        <v>18.994900000000001</v>
      </c>
      <c r="J163" s="3">
        <v>18.653030000000001</v>
      </c>
      <c r="K163" s="3">
        <v>18.990680000000001</v>
      </c>
      <c r="L163" s="3">
        <f t="shared" si="20"/>
        <v>0.6467400000000012</v>
      </c>
      <c r="M163" s="3">
        <f t="shared" si="21"/>
        <v>0.93725999999999843</v>
      </c>
      <c r="N163" s="3">
        <f t="shared" si="22"/>
        <v>1.2791299999999985</v>
      </c>
      <c r="O163" s="3">
        <f t="shared" si="23"/>
        <v>0.94147999999999854</v>
      </c>
      <c r="P163" s="3">
        <f t="shared" si="24"/>
        <v>0.29051999999999722</v>
      </c>
      <c r="Q163" s="3">
        <f t="shared" si="25"/>
        <v>0.63238999999999734</v>
      </c>
      <c r="R163" s="3">
        <f t="shared" si="26"/>
        <v>0.29473999999999734</v>
      </c>
      <c r="S163" s="3">
        <f t="shared" si="27"/>
        <v>0.34187000000000012</v>
      </c>
      <c r="T163" s="3">
        <f t="shared" si="28"/>
        <v>4.2200000000001125E-3</v>
      </c>
      <c r="U163" s="3">
        <f t="shared" si="29"/>
        <v>-0.33765000000000001</v>
      </c>
    </row>
    <row r="164" spans="1:21" x14ac:dyDescent="0.25">
      <c r="A164" s="3">
        <v>1.23766146598626E+18</v>
      </c>
      <c r="B164" s="3">
        <v>236.24325999999999</v>
      </c>
      <c r="C164" s="3">
        <v>35.63682</v>
      </c>
      <c r="D164" s="3">
        <v>0.1431992</v>
      </c>
      <c r="E164" s="3">
        <v>2.5506667572065624</v>
      </c>
      <c r="F164" s="3">
        <v>42959.76</v>
      </c>
      <c r="G164" s="3">
        <v>19.5213</v>
      </c>
      <c r="H164" s="3">
        <v>18.318930000000002</v>
      </c>
      <c r="I164" s="3">
        <v>17.645759999999999</v>
      </c>
      <c r="J164" s="3">
        <v>17.170110000000001</v>
      </c>
      <c r="K164" s="3">
        <v>16.98564</v>
      </c>
      <c r="L164" s="3">
        <f t="shared" si="20"/>
        <v>1.2023699999999984</v>
      </c>
      <c r="M164" s="3">
        <f t="shared" si="21"/>
        <v>1.8755400000000009</v>
      </c>
      <c r="N164" s="3">
        <f t="shared" si="22"/>
        <v>2.351189999999999</v>
      </c>
      <c r="O164" s="3">
        <f t="shared" si="23"/>
        <v>2.53566</v>
      </c>
      <c r="P164" s="3">
        <f t="shared" si="24"/>
        <v>0.67317000000000249</v>
      </c>
      <c r="Q164" s="3">
        <f t="shared" si="25"/>
        <v>1.1488200000000006</v>
      </c>
      <c r="R164" s="3">
        <f t="shared" si="26"/>
        <v>1.3332900000000016</v>
      </c>
      <c r="S164" s="3">
        <f t="shared" si="27"/>
        <v>0.47564999999999813</v>
      </c>
      <c r="T164" s="3">
        <f t="shared" si="28"/>
        <v>0.66011999999999915</v>
      </c>
      <c r="U164" s="3">
        <f t="shared" si="29"/>
        <v>0.18447000000000102</v>
      </c>
    </row>
    <row r="165" spans="1:21" x14ac:dyDescent="0.25">
      <c r="A165" s="3">
        <v>1.2376614659863301E+18</v>
      </c>
      <c r="B165" s="3">
        <v>236.35124999999999</v>
      </c>
      <c r="C165" s="3">
        <v>35.738518999999997</v>
      </c>
      <c r="D165" s="3">
        <v>0.14978</v>
      </c>
      <c r="E165" s="3">
        <v>2.0539774636964836</v>
      </c>
      <c r="F165" s="3">
        <v>44934</v>
      </c>
      <c r="G165" s="3">
        <v>20.265460000000001</v>
      </c>
      <c r="H165" s="3">
        <v>18.56832</v>
      </c>
      <c r="I165" s="3">
        <v>17.593409999999999</v>
      </c>
      <c r="J165" s="3">
        <v>17.11842</v>
      </c>
      <c r="K165" s="3">
        <v>16.771139999999999</v>
      </c>
      <c r="L165" s="3">
        <f t="shared" si="20"/>
        <v>1.697140000000001</v>
      </c>
      <c r="M165" s="3">
        <f t="shared" si="21"/>
        <v>2.6720500000000023</v>
      </c>
      <c r="N165" s="3">
        <f t="shared" si="22"/>
        <v>3.1470400000000005</v>
      </c>
      <c r="O165" s="3">
        <f t="shared" si="23"/>
        <v>3.4943200000000019</v>
      </c>
      <c r="P165" s="3">
        <f t="shared" si="24"/>
        <v>0.97491000000000128</v>
      </c>
      <c r="Q165" s="3">
        <f t="shared" si="25"/>
        <v>1.4498999999999995</v>
      </c>
      <c r="R165" s="3">
        <f t="shared" si="26"/>
        <v>1.7971800000000009</v>
      </c>
      <c r="S165" s="3">
        <f t="shared" si="27"/>
        <v>0.47498999999999825</v>
      </c>
      <c r="T165" s="3">
        <f t="shared" si="28"/>
        <v>0.82226999999999961</v>
      </c>
      <c r="U165" s="3">
        <f t="shared" si="29"/>
        <v>0.34728000000000137</v>
      </c>
    </row>
    <row r="166" spans="1:21" x14ac:dyDescent="0.25">
      <c r="A166" s="3">
        <v>1.23766146598626E+18</v>
      </c>
      <c r="B166" s="3">
        <v>236.34017</v>
      </c>
      <c r="C166" s="3">
        <v>35.770614999999999</v>
      </c>
      <c r="D166" s="3">
        <v>0.15014939999999999</v>
      </c>
      <c r="E166" s="3">
        <v>1.8743215613314308</v>
      </c>
      <c r="F166" s="3">
        <v>45044.82</v>
      </c>
      <c r="G166" s="3">
        <v>19.776669999999999</v>
      </c>
      <c r="H166" s="3">
        <v>17.96313</v>
      </c>
      <c r="I166" s="3">
        <v>16.890360000000001</v>
      </c>
      <c r="J166" s="3">
        <v>16.423089999999998</v>
      </c>
      <c r="K166" s="3">
        <v>16.053979999999999</v>
      </c>
      <c r="L166" s="3">
        <f t="shared" si="20"/>
        <v>1.8135399999999997</v>
      </c>
      <c r="M166" s="3">
        <f t="shared" si="21"/>
        <v>2.8863099999999982</v>
      </c>
      <c r="N166" s="3">
        <f t="shared" si="22"/>
        <v>3.3535800000000009</v>
      </c>
      <c r="O166" s="3">
        <f t="shared" si="23"/>
        <v>3.7226900000000001</v>
      </c>
      <c r="P166" s="3">
        <f t="shared" si="24"/>
        <v>1.0727699999999984</v>
      </c>
      <c r="Q166" s="3">
        <f t="shared" si="25"/>
        <v>1.5400400000000012</v>
      </c>
      <c r="R166" s="3">
        <f t="shared" si="26"/>
        <v>1.9091500000000003</v>
      </c>
      <c r="S166" s="3">
        <f t="shared" si="27"/>
        <v>0.46727000000000274</v>
      </c>
      <c r="T166" s="3">
        <f t="shared" si="28"/>
        <v>0.8363800000000019</v>
      </c>
      <c r="U166" s="3">
        <f t="shared" si="29"/>
        <v>0.36910999999999916</v>
      </c>
    </row>
    <row r="167" spans="1:21" x14ac:dyDescent="0.25">
      <c r="A167" s="3">
        <v>1.2376624731543301E+18</v>
      </c>
      <c r="B167" s="3">
        <v>236.59671</v>
      </c>
      <c r="C167" s="3">
        <v>35.684753999999998</v>
      </c>
      <c r="D167" s="3">
        <v>0.15167710000000001</v>
      </c>
      <c r="E167" s="3">
        <v>2.7575314653944485</v>
      </c>
      <c r="F167" s="3">
        <v>45503.130000000005</v>
      </c>
      <c r="G167" s="3">
        <v>20.006180000000001</v>
      </c>
      <c r="H167" s="3">
        <v>17.97054</v>
      </c>
      <c r="I167" s="3">
        <v>16.856310000000001</v>
      </c>
      <c r="J167" s="3">
        <v>16.387869999999999</v>
      </c>
      <c r="K167" s="3">
        <v>16.01585</v>
      </c>
      <c r="L167" s="3">
        <f t="shared" si="20"/>
        <v>2.0356400000000008</v>
      </c>
      <c r="M167" s="3">
        <f t="shared" si="21"/>
        <v>3.1498699999999999</v>
      </c>
      <c r="N167" s="3">
        <f t="shared" si="22"/>
        <v>3.618310000000001</v>
      </c>
      <c r="O167" s="3">
        <f t="shared" si="23"/>
        <v>3.9903300000000002</v>
      </c>
      <c r="P167" s="3">
        <f t="shared" si="24"/>
        <v>1.1142299999999992</v>
      </c>
      <c r="Q167" s="3">
        <f t="shared" si="25"/>
        <v>1.5826700000000002</v>
      </c>
      <c r="R167" s="3">
        <f t="shared" si="26"/>
        <v>1.9546899999999994</v>
      </c>
      <c r="S167" s="3">
        <f t="shared" si="27"/>
        <v>0.46844000000000108</v>
      </c>
      <c r="T167" s="3">
        <f t="shared" si="28"/>
        <v>0.84046000000000021</v>
      </c>
      <c r="U167" s="3">
        <f t="shared" si="29"/>
        <v>0.37201999999999913</v>
      </c>
    </row>
    <row r="168" spans="1:21" x14ac:dyDescent="0.25">
      <c r="A168" s="3">
        <v>1.23766233786351E+18</v>
      </c>
      <c r="B168" s="3">
        <v>235.65716</v>
      </c>
      <c r="C168" s="3">
        <v>35.904936999999997</v>
      </c>
      <c r="D168" s="3">
        <v>0.1517288</v>
      </c>
      <c r="E168" s="3">
        <v>2.7974553542546174</v>
      </c>
      <c r="F168" s="3">
        <v>45518.64</v>
      </c>
      <c r="G168" s="3">
        <v>20.01286</v>
      </c>
      <c r="H168" s="3">
        <v>18.500309999999999</v>
      </c>
      <c r="I168" s="3">
        <v>17.493819999999999</v>
      </c>
      <c r="J168" s="3">
        <v>17.027889999999999</v>
      </c>
      <c r="K168" s="3">
        <v>16.679020000000001</v>
      </c>
      <c r="L168" s="3">
        <f t="shared" si="20"/>
        <v>1.5125500000000009</v>
      </c>
      <c r="M168" s="3">
        <f t="shared" si="21"/>
        <v>2.5190400000000004</v>
      </c>
      <c r="N168" s="3">
        <f t="shared" si="22"/>
        <v>2.9849700000000006</v>
      </c>
      <c r="O168" s="3">
        <f t="shared" si="23"/>
        <v>3.3338399999999986</v>
      </c>
      <c r="P168" s="3">
        <f t="shared" si="24"/>
        <v>1.0064899999999994</v>
      </c>
      <c r="Q168" s="3">
        <f t="shared" si="25"/>
        <v>1.4724199999999996</v>
      </c>
      <c r="R168" s="3">
        <f t="shared" si="26"/>
        <v>1.8212899999999976</v>
      </c>
      <c r="S168" s="3">
        <f t="shared" si="27"/>
        <v>0.46593000000000018</v>
      </c>
      <c r="T168" s="3">
        <f t="shared" si="28"/>
        <v>0.81479999999999819</v>
      </c>
      <c r="U168" s="3">
        <f t="shared" si="29"/>
        <v>0.34886999999999802</v>
      </c>
    </row>
    <row r="169" spans="1:21" x14ac:dyDescent="0.25">
      <c r="A169" s="3">
        <v>1.23766250321903E+18</v>
      </c>
      <c r="B169" s="3">
        <v>236.48841999999999</v>
      </c>
      <c r="C169" s="3">
        <v>35.799984000000002</v>
      </c>
      <c r="D169" s="3">
        <v>0.15268960000000001</v>
      </c>
      <c r="E169" s="3">
        <v>1.9775867081972871</v>
      </c>
      <c r="F169" s="3">
        <v>45806.880000000005</v>
      </c>
      <c r="G169" s="3">
        <v>19.835920000000002</v>
      </c>
      <c r="H169" s="3">
        <v>18.407879999999999</v>
      </c>
      <c r="I169" s="3">
        <v>17.55716</v>
      </c>
      <c r="J169" s="3">
        <v>17.131930000000001</v>
      </c>
      <c r="K169" s="3">
        <v>16.863779999999998</v>
      </c>
      <c r="L169" s="3">
        <f t="shared" si="20"/>
        <v>1.4280400000000029</v>
      </c>
      <c r="M169" s="3">
        <f t="shared" si="21"/>
        <v>2.2787600000000019</v>
      </c>
      <c r="N169" s="3">
        <f t="shared" si="22"/>
        <v>2.703990000000001</v>
      </c>
      <c r="O169" s="3">
        <f t="shared" si="23"/>
        <v>2.9721400000000031</v>
      </c>
      <c r="P169" s="3">
        <f t="shared" si="24"/>
        <v>0.85071999999999903</v>
      </c>
      <c r="Q169" s="3">
        <f t="shared" si="25"/>
        <v>1.2759499999999981</v>
      </c>
      <c r="R169" s="3">
        <f t="shared" si="26"/>
        <v>1.5441000000000003</v>
      </c>
      <c r="S169" s="3">
        <f t="shared" si="27"/>
        <v>0.42522999999999911</v>
      </c>
      <c r="T169" s="3">
        <f t="shared" si="28"/>
        <v>0.69338000000000122</v>
      </c>
      <c r="U169" s="3">
        <f t="shared" si="29"/>
        <v>0.26815000000000211</v>
      </c>
    </row>
    <row r="170" spans="1:21" x14ac:dyDescent="0.25">
      <c r="A170" s="3">
        <v>1.2376625032187E+18</v>
      </c>
      <c r="B170" s="3">
        <v>235.76855</v>
      </c>
      <c r="C170" s="3">
        <v>36.286537000000003</v>
      </c>
      <c r="D170" s="3">
        <v>0.15682779999999999</v>
      </c>
      <c r="E170" s="3">
        <v>2.2882535598553626</v>
      </c>
      <c r="F170" s="3">
        <v>47048.34</v>
      </c>
      <c r="G170" s="3">
        <v>19.751290000000001</v>
      </c>
      <c r="H170" s="3">
        <v>18.13918</v>
      </c>
      <c r="I170" s="3">
        <v>17.169429999999998</v>
      </c>
      <c r="J170" s="3">
        <v>16.720140000000001</v>
      </c>
      <c r="K170" s="3">
        <v>16.355060000000002</v>
      </c>
      <c r="L170" s="3">
        <f t="shared" si="20"/>
        <v>1.6121100000000013</v>
      </c>
      <c r="M170" s="3">
        <f t="shared" si="21"/>
        <v>2.5818600000000025</v>
      </c>
      <c r="N170" s="3">
        <f t="shared" si="22"/>
        <v>3.0311500000000002</v>
      </c>
      <c r="O170" s="3">
        <f t="shared" si="23"/>
        <v>3.3962299999999992</v>
      </c>
      <c r="P170" s="3">
        <f t="shared" si="24"/>
        <v>0.96975000000000122</v>
      </c>
      <c r="Q170" s="3">
        <f t="shared" si="25"/>
        <v>1.419039999999999</v>
      </c>
      <c r="R170" s="3">
        <f t="shared" si="26"/>
        <v>1.7841199999999979</v>
      </c>
      <c r="S170" s="3">
        <f t="shared" si="27"/>
        <v>0.44928999999999775</v>
      </c>
      <c r="T170" s="3">
        <f t="shared" si="28"/>
        <v>0.81436999999999671</v>
      </c>
      <c r="U170" s="3">
        <f t="shared" si="29"/>
        <v>0.36507999999999896</v>
      </c>
    </row>
    <row r="171" spans="1:21" x14ac:dyDescent="0.25">
      <c r="A171" s="3">
        <v>1.2376614659859999E+18</v>
      </c>
      <c r="B171" s="3">
        <v>235.72713999999999</v>
      </c>
      <c r="C171" s="3">
        <v>36.146338999999998</v>
      </c>
      <c r="D171" s="3">
        <v>0.15704850000000001</v>
      </c>
      <c r="E171" s="3">
        <v>2.2702633156458782</v>
      </c>
      <c r="F171" s="3">
        <v>47114.55</v>
      </c>
      <c r="G171" s="3">
        <v>19.69406</v>
      </c>
      <c r="H171" s="3">
        <v>18.05246</v>
      </c>
      <c r="I171" s="3">
        <v>17.223040000000001</v>
      </c>
      <c r="J171" s="3">
        <v>16.89058</v>
      </c>
      <c r="K171" s="3">
        <v>16.64838</v>
      </c>
      <c r="L171" s="3">
        <f t="shared" si="20"/>
        <v>1.6416000000000004</v>
      </c>
      <c r="M171" s="3">
        <f t="shared" si="21"/>
        <v>2.4710199999999993</v>
      </c>
      <c r="N171" s="3">
        <f t="shared" si="22"/>
        <v>2.8034800000000004</v>
      </c>
      <c r="O171" s="3">
        <f t="shared" si="23"/>
        <v>3.0456800000000008</v>
      </c>
      <c r="P171" s="3">
        <f t="shared" si="24"/>
        <v>0.82941999999999894</v>
      </c>
      <c r="Q171" s="3">
        <f t="shared" si="25"/>
        <v>1.16188</v>
      </c>
      <c r="R171" s="3">
        <f t="shared" si="26"/>
        <v>1.4040800000000004</v>
      </c>
      <c r="S171" s="3">
        <f t="shared" si="27"/>
        <v>0.33246000000000109</v>
      </c>
      <c r="T171" s="3">
        <f t="shared" si="28"/>
        <v>0.5746600000000015</v>
      </c>
      <c r="U171" s="3">
        <f t="shared" si="29"/>
        <v>0.24220000000000041</v>
      </c>
    </row>
    <row r="172" spans="1:21" x14ac:dyDescent="0.25">
      <c r="A172" s="3">
        <v>1.2376624736909299E+18</v>
      </c>
      <c r="B172" s="3">
        <v>236.46118000000001</v>
      </c>
      <c r="C172" s="3">
        <v>36.303669999999997</v>
      </c>
      <c r="D172" s="3">
        <v>0.15854940000000001</v>
      </c>
      <c r="E172" s="3">
        <v>1.4058816743987843</v>
      </c>
      <c r="F172" s="3">
        <v>47564.82</v>
      </c>
      <c r="G172" s="3">
        <v>20.970079999999999</v>
      </c>
      <c r="H172" s="3">
        <v>18.543700000000001</v>
      </c>
      <c r="I172" s="3">
        <v>17.372689999999999</v>
      </c>
      <c r="J172" s="3">
        <v>16.887540000000001</v>
      </c>
      <c r="K172" s="3">
        <v>16.549250000000001</v>
      </c>
      <c r="L172" s="3">
        <f t="shared" si="20"/>
        <v>2.4263799999999982</v>
      </c>
      <c r="M172" s="3">
        <f t="shared" si="21"/>
        <v>3.5973900000000008</v>
      </c>
      <c r="N172" s="3">
        <f t="shared" si="22"/>
        <v>4.0825399999999981</v>
      </c>
      <c r="O172" s="3">
        <f t="shared" si="23"/>
        <v>4.4208299999999987</v>
      </c>
      <c r="P172" s="3">
        <f t="shared" si="24"/>
        <v>1.1710100000000025</v>
      </c>
      <c r="Q172" s="3">
        <f t="shared" si="25"/>
        <v>1.6561599999999999</v>
      </c>
      <c r="R172" s="3">
        <f t="shared" si="26"/>
        <v>1.9944500000000005</v>
      </c>
      <c r="S172" s="3">
        <f t="shared" si="27"/>
        <v>0.48514999999999731</v>
      </c>
      <c r="T172" s="3">
        <f t="shared" si="28"/>
        <v>0.82343999999999795</v>
      </c>
      <c r="U172" s="3">
        <f t="shared" si="29"/>
        <v>0.33829000000000065</v>
      </c>
    </row>
    <row r="173" spans="1:21" x14ac:dyDescent="0.25">
      <c r="A173" s="3">
        <v>1.23766247422781E+18</v>
      </c>
      <c r="B173" s="3">
        <v>236.65338</v>
      </c>
      <c r="C173" s="3">
        <v>36.537120000000002</v>
      </c>
      <c r="D173" s="3">
        <v>0.15969130000000001</v>
      </c>
      <c r="E173" s="3">
        <v>2.9093275265356713</v>
      </c>
      <c r="F173" s="3">
        <v>47907.39</v>
      </c>
      <c r="G173" s="3">
        <v>20.42577</v>
      </c>
      <c r="H173" s="3">
        <v>18.1615</v>
      </c>
      <c r="I173" s="3">
        <v>16.95346</v>
      </c>
      <c r="J173" s="3">
        <v>16.46585</v>
      </c>
      <c r="K173" s="3">
        <v>16.133839999999999</v>
      </c>
      <c r="L173" s="3">
        <f t="shared" si="20"/>
        <v>2.2642699999999998</v>
      </c>
      <c r="M173" s="3">
        <f t="shared" si="21"/>
        <v>3.4723100000000002</v>
      </c>
      <c r="N173" s="3">
        <f t="shared" si="22"/>
        <v>3.9599200000000003</v>
      </c>
      <c r="O173" s="3">
        <f t="shared" si="23"/>
        <v>4.2919300000000007</v>
      </c>
      <c r="P173" s="3">
        <f t="shared" si="24"/>
        <v>1.2080400000000004</v>
      </c>
      <c r="Q173" s="3">
        <f t="shared" si="25"/>
        <v>1.6956500000000005</v>
      </c>
      <c r="R173" s="3">
        <f t="shared" si="26"/>
        <v>2.0276600000000009</v>
      </c>
      <c r="S173" s="3">
        <f t="shared" si="27"/>
        <v>0.4876100000000001</v>
      </c>
      <c r="T173" s="3">
        <f t="shared" si="28"/>
        <v>0.81962000000000046</v>
      </c>
      <c r="U173" s="3">
        <f t="shared" si="29"/>
        <v>0.33201000000000036</v>
      </c>
    </row>
    <row r="174" spans="1:21" x14ac:dyDescent="0.25">
      <c r="A174" s="3">
        <v>1.23766247422787E+18</v>
      </c>
      <c r="B174" s="3">
        <v>236.85077999999999</v>
      </c>
      <c r="C174" s="3">
        <v>36.515898</v>
      </c>
      <c r="D174" s="3">
        <v>0.1602382</v>
      </c>
      <c r="E174" s="3">
        <v>3.4246360578295754</v>
      </c>
      <c r="F174" s="3">
        <v>48071.46</v>
      </c>
      <c r="G174" s="3">
        <v>19.90652</v>
      </c>
      <c r="H174" s="3">
        <v>18.02441</v>
      </c>
      <c r="I174" s="3">
        <v>16.8447</v>
      </c>
      <c r="J174" s="3">
        <v>16.386710000000001</v>
      </c>
      <c r="K174" s="3">
        <v>16.044139999999999</v>
      </c>
      <c r="L174" s="3">
        <f t="shared" si="20"/>
        <v>1.8821100000000008</v>
      </c>
      <c r="M174" s="3">
        <f t="shared" si="21"/>
        <v>3.0618200000000009</v>
      </c>
      <c r="N174" s="3">
        <f t="shared" si="22"/>
        <v>3.5198099999999997</v>
      </c>
      <c r="O174" s="3">
        <f t="shared" si="23"/>
        <v>3.8623800000000017</v>
      </c>
      <c r="P174" s="3">
        <f t="shared" si="24"/>
        <v>1.17971</v>
      </c>
      <c r="Q174" s="3">
        <f t="shared" si="25"/>
        <v>1.6376999999999988</v>
      </c>
      <c r="R174" s="3">
        <f t="shared" si="26"/>
        <v>1.9802700000000009</v>
      </c>
      <c r="S174" s="3">
        <f t="shared" si="27"/>
        <v>0.45798999999999879</v>
      </c>
      <c r="T174" s="3">
        <f t="shared" si="28"/>
        <v>0.80056000000000083</v>
      </c>
      <c r="U174" s="3">
        <f t="shared" si="29"/>
        <v>0.34257000000000204</v>
      </c>
    </row>
    <row r="175" spans="1:21" x14ac:dyDescent="0.25">
      <c r="A175" s="3">
        <v>1.2376624736911301E+18</v>
      </c>
      <c r="B175" s="3">
        <v>236.8605</v>
      </c>
      <c r="C175" s="3">
        <v>36.080049000000002</v>
      </c>
      <c r="D175" s="3">
        <v>0.1651205</v>
      </c>
      <c r="E175" s="3">
        <v>2.6844186145637576</v>
      </c>
      <c r="F175" s="3">
        <v>49536.15</v>
      </c>
      <c r="G175" s="3">
        <v>20.18196</v>
      </c>
      <c r="H175" s="3">
        <v>18.497869999999999</v>
      </c>
      <c r="I175" s="3">
        <v>17.472270000000002</v>
      </c>
      <c r="J175" s="3">
        <v>17.02505</v>
      </c>
      <c r="K175" s="3">
        <v>16.675529999999998</v>
      </c>
      <c r="L175" s="3">
        <f t="shared" si="20"/>
        <v>1.6840900000000012</v>
      </c>
      <c r="M175" s="3">
        <f t="shared" si="21"/>
        <v>2.7096899999999984</v>
      </c>
      <c r="N175" s="3">
        <f t="shared" si="22"/>
        <v>3.1569099999999999</v>
      </c>
      <c r="O175" s="3">
        <f t="shared" si="23"/>
        <v>3.5064300000000017</v>
      </c>
      <c r="P175" s="3">
        <f t="shared" si="24"/>
        <v>1.0255999999999972</v>
      </c>
      <c r="Q175" s="3">
        <f t="shared" si="25"/>
        <v>1.4728199999999987</v>
      </c>
      <c r="R175" s="3">
        <f t="shared" si="26"/>
        <v>1.8223400000000005</v>
      </c>
      <c r="S175" s="3">
        <f t="shared" si="27"/>
        <v>0.44722000000000151</v>
      </c>
      <c r="T175" s="3">
        <f t="shared" si="28"/>
        <v>0.79674000000000333</v>
      </c>
      <c r="U175" s="3">
        <f t="shared" si="29"/>
        <v>0.34952000000000183</v>
      </c>
    </row>
    <row r="176" spans="1:21" x14ac:dyDescent="0.25">
      <c r="A176" s="3">
        <v>1.23766146598626E+18</v>
      </c>
      <c r="B176" s="3">
        <v>236.22492</v>
      </c>
      <c r="C176" s="3">
        <v>35.850149000000002</v>
      </c>
      <c r="D176" s="3">
        <v>0.17266390000000001</v>
      </c>
      <c r="E176" s="3">
        <v>1.402388983205805</v>
      </c>
      <c r="F176" s="3">
        <v>51799.170000000006</v>
      </c>
      <c r="G176" s="3">
        <v>20.772839999999999</v>
      </c>
      <c r="H176" s="3">
        <v>18.728020000000001</v>
      </c>
      <c r="I176" s="3">
        <v>17.574000000000002</v>
      </c>
      <c r="J176" s="3">
        <v>17.10238</v>
      </c>
      <c r="K176" s="3">
        <v>16.80115</v>
      </c>
      <c r="L176" s="3">
        <f t="shared" si="20"/>
        <v>2.0448199999999979</v>
      </c>
      <c r="M176" s="3">
        <f t="shared" si="21"/>
        <v>3.198839999999997</v>
      </c>
      <c r="N176" s="3">
        <f t="shared" si="22"/>
        <v>3.6704599999999985</v>
      </c>
      <c r="O176" s="3">
        <f t="shared" si="23"/>
        <v>3.9716899999999988</v>
      </c>
      <c r="P176" s="3">
        <f t="shared" si="24"/>
        <v>1.1540199999999992</v>
      </c>
      <c r="Q176" s="3">
        <f t="shared" si="25"/>
        <v>1.6256400000000006</v>
      </c>
      <c r="R176" s="3">
        <f t="shared" si="26"/>
        <v>1.926870000000001</v>
      </c>
      <c r="S176" s="3">
        <f t="shared" si="27"/>
        <v>0.47162000000000148</v>
      </c>
      <c r="T176" s="3">
        <f t="shared" si="28"/>
        <v>0.77285000000000181</v>
      </c>
      <c r="U176" s="3">
        <f t="shared" si="29"/>
        <v>0.30123000000000033</v>
      </c>
    </row>
    <row r="177" spans="1:21" x14ac:dyDescent="0.25">
      <c r="A177" s="3">
        <v>1.2376625032189701E+18</v>
      </c>
      <c r="B177" s="3">
        <v>236.42006000000001</v>
      </c>
      <c r="C177" s="3">
        <v>35.874451999999998</v>
      </c>
      <c r="D177" s="3">
        <v>0.173148</v>
      </c>
      <c r="E177" s="3">
        <v>1.4785502634588366</v>
      </c>
      <c r="F177" s="3">
        <v>51944.4</v>
      </c>
      <c r="G177" s="3">
        <v>19.72278</v>
      </c>
      <c r="H177" s="3">
        <v>18.537269999999999</v>
      </c>
      <c r="I177" s="3">
        <v>17.812609999999999</v>
      </c>
      <c r="J177" s="3">
        <v>17.413250000000001</v>
      </c>
      <c r="K177" s="3">
        <v>17.258790000000001</v>
      </c>
      <c r="L177" s="3">
        <f t="shared" si="20"/>
        <v>1.1855100000000007</v>
      </c>
      <c r="M177" s="3">
        <f t="shared" si="21"/>
        <v>1.9101700000000008</v>
      </c>
      <c r="N177" s="3">
        <f t="shared" si="22"/>
        <v>2.3095299999999988</v>
      </c>
      <c r="O177" s="3">
        <f t="shared" si="23"/>
        <v>2.463989999999999</v>
      </c>
      <c r="P177" s="3">
        <f t="shared" si="24"/>
        <v>0.72466000000000008</v>
      </c>
      <c r="Q177" s="3">
        <f t="shared" si="25"/>
        <v>1.124019999999998</v>
      </c>
      <c r="R177" s="3">
        <f t="shared" si="26"/>
        <v>1.2784799999999983</v>
      </c>
      <c r="S177" s="3">
        <f t="shared" si="27"/>
        <v>0.39935999999999794</v>
      </c>
      <c r="T177" s="3">
        <f t="shared" si="28"/>
        <v>0.5538199999999982</v>
      </c>
      <c r="U177" s="3">
        <f t="shared" si="29"/>
        <v>0.15446000000000026</v>
      </c>
    </row>
    <row r="178" spans="1:21" x14ac:dyDescent="0.25">
      <c r="A178" s="3">
        <v>1.2376614659861299E+18</v>
      </c>
      <c r="B178" s="3">
        <v>235.86985999999999</v>
      </c>
      <c r="C178" s="3">
        <v>35.835045999999998</v>
      </c>
      <c r="D178" s="3">
        <v>0.17543890000000001</v>
      </c>
      <c r="E178" s="3">
        <v>2.2116533266085865</v>
      </c>
      <c r="F178" s="3">
        <v>52631.670000000006</v>
      </c>
      <c r="G178" s="3">
        <v>21.489280000000001</v>
      </c>
      <c r="H178" s="3">
        <v>19.10294</v>
      </c>
      <c r="I178" s="3">
        <v>17.87621</v>
      </c>
      <c r="J178" s="3">
        <v>17.401250000000001</v>
      </c>
      <c r="K178" s="3">
        <v>17.07583</v>
      </c>
      <c r="L178" s="3">
        <f t="shared" si="20"/>
        <v>2.3863400000000006</v>
      </c>
      <c r="M178" s="3">
        <f t="shared" si="21"/>
        <v>3.6130700000000004</v>
      </c>
      <c r="N178" s="3">
        <f t="shared" si="22"/>
        <v>4.0880299999999998</v>
      </c>
      <c r="O178" s="3">
        <f t="shared" si="23"/>
        <v>4.413450000000001</v>
      </c>
      <c r="P178" s="3">
        <f t="shared" si="24"/>
        <v>1.2267299999999999</v>
      </c>
      <c r="Q178" s="3">
        <f t="shared" si="25"/>
        <v>1.7016899999999993</v>
      </c>
      <c r="R178" s="3">
        <f t="shared" si="26"/>
        <v>2.0271100000000004</v>
      </c>
      <c r="S178" s="3">
        <f t="shared" si="27"/>
        <v>0.47495999999999938</v>
      </c>
      <c r="T178" s="3">
        <f t="shared" si="28"/>
        <v>0.80038000000000054</v>
      </c>
      <c r="U178" s="3">
        <f t="shared" si="29"/>
        <v>0.32542000000000115</v>
      </c>
    </row>
    <row r="179" spans="1:21" x14ac:dyDescent="0.25">
      <c r="A179" s="3">
        <v>1.2376614659861299E+18</v>
      </c>
      <c r="B179" s="3">
        <v>235.88858999999999</v>
      </c>
      <c r="C179" s="3">
        <v>35.844133999999997</v>
      </c>
      <c r="D179" s="3">
        <v>0.1773024</v>
      </c>
      <c r="E179" s="3">
        <v>2.1180677029684718</v>
      </c>
      <c r="F179" s="3">
        <v>53190.720000000001</v>
      </c>
      <c r="G179" s="3">
        <v>19.890609999999999</v>
      </c>
      <c r="H179" s="3">
        <v>18.4861</v>
      </c>
      <c r="I179" s="3">
        <v>17.579180000000001</v>
      </c>
      <c r="J179" s="3">
        <v>17.067589999999999</v>
      </c>
      <c r="K179" s="3">
        <v>16.733170000000001</v>
      </c>
      <c r="L179" s="3">
        <f t="shared" si="20"/>
        <v>1.4045099999999984</v>
      </c>
      <c r="M179" s="3">
        <f t="shared" si="21"/>
        <v>2.3114299999999979</v>
      </c>
      <c r="N179" s="3">
        <f t="shared" si="22"/>
        <v>2.8230199999999996</v>
      </c>
      <c r="O179" s="3">
        <f t="shared" si="23"/>
        <v>3.1574399999999976</v>
      </c>
      <c r="P179" s="3">
        <f t="shared" si="24"/>
        <v>0.9069199999999995</v>
      </c>
      <c r="Q179" s="3">
        <f t="shared" si="25"/>
        <v>1.4185100000000013</v>
      </c>
      <c r="R179" s="3">
        <f t="shared" si="26"/>
        <v>1.7529299999999992</v>
      </c>
      <c r="S179" s="3">
        <f t="shared" si="27"/>
        <v>0.51159000000000177</v>
      </c>
      <c r="T179" s="3">
        <f t="shared" si="28"/>
        <v>0.84600999999999971</v>
      </c>
      <c r="U179" s="3">
        <f t="shared" si="29"/>
        <v>0.33441999999999794</v>
      </c>
    </row>
    <row r="180" spans="1:21" x14ac:dyDescent="0.25">
      <c r="A180" s="3">
        <v>1.2376624736911301E+18</v>
      </c>
      <c r="B180" s="3">
        <v>236.72726</v>
      </c>
      <c r="C180" s="3">
        <v>35.990147999999998</v>
      </c>
      <c r="D180" s="3">
        <v>0.18636659999999999</v>
      </c>
      <c r="E180" s="3">
        <v>2.1963844382053503</v>
      </c>
      <c r="F180" s="3">
        <v>55909.979999999996</v>
      </c>
      <c r="G180" s="3">
        <v>21.089860000000002</v>
      </c>
      <c r="H180" s="3">
        <v>19.047239999999999</v>
      </c>
      <c r="I180" s="3">
        <v>17.771650000000001</v>
      </c>
      <c r="J180" s="3">
        <v>17.270720000000001</v>
      </c>
      <c r="K180" s="3">
        <v>16.905190000000001</v>
      </c>
      <c r="L180" s="3">
        <f t="shared" si="20"/>
        <v>2.042620000000003</v>
      </c>
      <c r="M180" s="3">
        <f t="shared" si="21"/>
        <v>3.3182100000000005</v>
      </c>
      <c r="N180" s="3">
        <f t="shared" si="22"/>
        <v>3.8191400000000009</v>
      </c>
      <c r="O180" s="3">
        <f t="shared" si="23"/>
        <v>4.1846700000000006</v>
      </c>
      <c r="P180" s="3">
        <f t="shared" si="24"/>
        <v>1.2755899999999976</v>
      </c>
      <c r="Q180" s="3">
        <f t="shared" si="25"/>
        <v>1.7765199999999979</v>
      </c>
      <c r="R180" s="3">
        <f t="shared" si="26"/>
        <v>2.1420499999999976</v>
      </c>
      <c r="S180" s="3">
        <f t="shared" si="27"/>
        <v>0.50093000000000032</v>
      </c>
      <c r="T180" s="3">
        <f t="shared" si="28"/>
        <v>0.86646000000000001</v>
      </c>
      <c r="U180" s="3">
        <f t="shared" si="29"/>
        <v>0.36552999999999969</v>
      </c>
    </row>
    <row r="181" spans="1:21" x14ac:dyDescent="0.25">
      <c r="A181" s="3">
        <v>1.2376625032187699E+18</v>
      </c>
      <c r="B181" s="3">
        <v>236.03922</v>
      </c>
      <c r="C181" s="3">
        <v>36.191927999999997</v>
      </c>
      <c r="D181" s="3">
        <v>0.1880058</v>
      </c>
      <c r="E181" s="3">
        <v>1.0048747931224973</v>
      </c>
      <c r="F181" s="3">
        <v>56401.74</v>
      </c>
      <c r="G181" s="3">
        <v>21.319019999999998</v>
      </c>
      <c r="H181" s="3">
        <v>18.801120000000001</v>
      </c>
      <c r="I181" s="3">
        <v>17.460909999999998</v>
      </c>
      <c r="J181" s="3">
        <v>16.95627</v>
      </c>
      <c r="K181" s="3">
        <v>16.558420000000002</v>
      </c>
      <c r="L181" s="3">
        <f t="shared" si="20"/>
        <v>2.5178999999999974</v>
      </c>
      <c r="M181" s="3">
        <f t="shared" si="21"/>
        <v>3.8581099999999999</v>
      </c>
      <c r="N181" s="3">
        <f t="shared" si="22"/>
        <v>4.3627499999999984</v>
      </c>
      <c r="O181" s="3">
        <f t="shared" si="23"/>
        <v>4.7605999999999966</v>
      </c>
      <c r="P181" s="3">
        <f t="shared" si="24"/>
        <v>1.3402100000000026</v>
      </c>
      <c r="Q181" s="3">
        <f t="shared" si="25"/>
        <v>1.844850000000001</v>
      </c>
      <c r="R181" s="3">
        <f t="shared" si="26"/>
        <v>2.2426999999999992</v>
      </c>
      <c r="S181" s="3">
        <f t="shared" si="27"/>
        <v>0.50463999999999842</v>
      </c>
      <c r="T181" s="3">
        <f t="shared" si="28"/>
        <v>0.90248999999999668</v>
      </c>
      <c r="U181" s="3">
        <f t="shared" si="29"/>
        <v>0.39784999999999826</v>
      </c>
    </row>
    <row r="182" spans="1:21" x14ac:dyDescent="0.25">
      <c r="A182" s="3">
        <v>1.2376625032187699E+18</v>
      </c>
      <c r="B182" s="3">
        <v>236.02067</v>
      </c>
      <c r="C182" s="3">
        <v>36.177900000000001</v>
      </c>
      <c r="D182" s="3">
        <v>0.18837670000000001</v>
      </c>
      <c r="E182" s="3">
        <v>1.0490382158435836</v>
      </c>
      <c r="F182" s="3">
        <v>56513.01</v>
      </c>
      <c r="G182" s="3">
        <v>22.762029999999999</v>
      </c>
      <c r="H182" s="3">
        <v>20.720020000000002</v>
      </c>
      <c r="I182" s="3">
        <v>19.500440000000001</v>
      </c>
      <c r="J182" s="3">
        <v>19.013649999999998</v>
      </c>
      <c r="K182" s="3">
        <v>18.736170000000001</v>
      </c>
      <c r="L182" s="3">
        <f t="shared" si="20"/>
        <v>2.0420099999999977</v>
      </c>
      <c r="M182" s="3">
        <f t="shared" si="21"/>
        <v>3.2615899999999982</v>
      </c>
      <c r="N182" s="3">
        <f t="shared" si="22"/>
        <v>3.7483800000000009</v>
      </c>
      <c r="O182" s="3">
        <f t="shared" si="23"/>
        <v>4.025859999999998</v>
      </c>
      <c r="P182" s="3">
        <f t="shared" si="24"/>
        <v>1.2195800000000006</v>
      </c>
      <c r="Q182" s="3">
        <f t="shared" si="25"/>
        <v>1.7063700000000033</v>
      </c>
      <c r="R182" s="3">
        <f t="shared" si="26"/>
        <v>1.9838500000000003</v>
      </c>
      <c r="S182" s="3">
        <f t="shared" si="27"/>
        <v>0.48679000000000272</v>
      </c>
      <c r="T182" s="3">
        <f t="shared" si="28"/>
        <v>0.76426999999999978</v>
      </c>
      <c r="U182" s="3">
        <f t="shared" si="29"/>
        <v>0.27747999999999706</v>
      </c>
    </row>
    <row r="183" spans="1:21" x14ac:dyDescent="0.25">
      <c r="A183" s="3">
        <v>1.2376625032187699E+18</v>
      </c>
      <c r="B183" s="3">
        <v>235.99893</v>
      </c>
      <c r="C183" s="3">
        <v>36.155797999999997</v>
      </c>
      <c r="D183" s="3">
        <v>0.189142</v>
      </c>
      <c r="E183" s="3">
        <v>1.105419680516224</v>
      </c>
      <c r="F183" s="3">
        <v>56742.6</v>
      </c>
      <c r="G183" s="3">
        <v>20.96791</v>
      </c>
      <c r="H183" s="3">
        <v>19.089590000000001</v>
      </c>
      <c r="I183" s="3">
        <v>17.888539999999999</v>
      </c>
      <c r="J183" s="3">
        <v>17.402889999999999</v>
      </c>
      <c r="K183" s="3">
        <v>17.090509999999998</v>
      </c>
      <c r="L183" s="3">
        <f t="shared" si="20"/>
        <v>1.8783199999999987</v>
      </c>
      <c r="M183" s="3">
        <f t="shared" si="21"/>
        <v>3.0793700000000008</v>
      </c>
      <c r="N183" s="3">
        <f t="shared" si="22"/>
        <v>3.5650200000000005</v>
      </c>
      <c r="O183" s="3">
        <f t="shared" si="23"/>
        <v>3.8774000000000015</v>
      </c>
      <c r="P183" s="3">
        <f t="shared" si="24"/>
        <v>1.2010500000000022</v>
      </c>
      <c r="Q183" s="3">
        <f t="shared" si="25"/>
        <v>1.6867000000000019</v>
      </c>
      <c r="R183" s="3">
        <f t="shared" si="26"/>
        <v>1.9990800000000029</v>
      </c>
      <c r="S183" s="3">
        <f t="shared" si="27"/>
        <v>0.48564999999999969</v>
      </c>
      <c r="T183" s="3">
        <f t="shared" si="28"/>
        <v>0.79803000000000068</v>
      </c>
      <c r="U183" s="3">
        <f t="shared" si="29"/>
        <v>0.31238000000000099</v>
      </c>
    </row>
    <row r="184" spans="1:21" x14ac:dyDescent="0.25">
      <c r="A184" s="3">
        <v>1.2376625032187699E+18</v>
      </c>
      <c r="B184" s="3">
        <v>235.9725</v>
      </c>
      <c r="C184" s="3">
        <v>36.126925999999997</v>
      </c>
      <c r="D184" s="3">
        <v>0.18948889999999999</v>
      </c>
      <c r="E184" s="3">
        <v>1.1958994964110434</v>
      </c>
      <c r="F184" s="3">
        <v>56846.67</v>
      </c>
      <c r="G184" s="3">
        <v>21.290620000000001</v>
      </c>
      <c r="H184" s="3">
        <v>18.692679999999999</v>
      </c>
      <c r="I184" s="3">
        <v>17.442589999999999</v>
      </c>
      <c r="J184" s="3">
        <v>16.957540000000002</v>
      </c>
      <c r="K184" s="3">
        <v>16.621770000000001</v>
      </c>
      <c r="L184" s="3">
        <f t="shared" si="20"/>
        <v>2.5979400000000012</v>
      </c>
      <c r="M184" s="3">
        <f t="shared" si="21"/>
        <v>3.8480300000000014</v>
      </c>
      <c r="N184" s="3">
        <f t="shared" si="22"/>
        <v>4.3330799999999989</v>
      </c>
      <c r="O184" s="3">
        <f t="shared" si="23"/>
        <v>4.6688499999999991</v>
      </c>
      <c r="P184" s="3">
        <f t="shared" si="24"/>
        <v>1.2500900000000001</v>
      </c>
      <c r="Q184" s="3">
        <f t="shared" si="25"/>
        <v>1.7351399999999977</v>
      </c>
      <c r="R184" s="3">
        <f t="shared" si="26"/>
        <v>2.0709099999999978</v>
      </c>
      <c r="S184" s="3">
        <f t="shared" si="27"/>
        <v>0.48504999999999754</v>
      </c>
      <c r="T184" s="3">
        <f t="shared" si="28"/>
        <v>0.82081999999999766</v>
      </c>
      <c r="U184" s="3">
        <f t="shared" si="29"/>
        <v>0.33577000000000012</v>
      </c>
    </row>
    <row r="185" spans="1:21" x14ac:dyDescent="0.25">
      <c r="A185" s="3">
        <v>1.2376624736909299E+18</v>
      </c>
      <c r="B185" s="3">
        <v>236.35387</v>
      </c>
      <c r="C185" s="3">
        <v>36.378003999999997</v>
      </c>
      <c r="D185" s="3">
        <v>0.19088869999999999</v>
      </c>
      <c r="E185" s="3">
        <v>1.5233750010164839</v>
      </c>
      <c r="F185" s="3">
        <v>57266.61</v>
      </c>
      <c r="G185" s="3">
        <v>21.048590000000001</v>
      </c>
      <c r="H185" s="3">
        <v>18.818349999999999</v>
      </c>
      <c r="I185" s="3">
        <v>17.57489</v>
      </c>
      <c r="J185" s="3">
        <v>17.07497</v>
      </c>
      <c r="K185" s="3">
        <v>16.708690000000001</v>
      </c>
      <c r="L185" s="3">
        <f t="shared" si="20"/>
        <v>2.230240000000002</v>
      </c>
      <c r="M185" s="3">
        <f t="shared" si="21"/>
        <v>3.4737000000000009</v>
      </c>
      <c r="N185" s="3">
        <f t="shared" si="22"/>
        <v>3.9736200000000004</v>
      </c>
      <c r="O185" s="3">
        <f t="shared" si="23"/>
        <v>4.3399000000000001</v>
      </c>
      <c r="P185" s="3">
        <f t="shared" si="24"/>
        <v>1.2434599999999989</v>
      </c>
      <c r="Q185" s="3">
        <f t="shared" si="25"/>
        <v>1.7433799999999984</v>
      </c>
      <c r="R185" s="3">
        <f t="shared" si="26"/>
        <v>2.1096599999999981</v>
      </c>
      <c r="S185" s="3">
        <f t="shared" si="27"/>
        <v>0.49991999999999948</v>
      </c>
      <c r="T185" s="3">
        <f t="shared" si="28"/>
        <v>0.86619999999999919</v>
      </c>
      <c r="U185" s="3">
        <f t="shared" si="29"/>
        <v>0.36627999999999972</v>
      </c>
    </row>
    <row r="186" spans="1:21" x14ac:dyDescent="0.25">
      <c r="A186" s="3">
        <v>1.2376624736908001E+18</v>
      </c>
      <c r="B186" s="3">
        <v>236.07925</v>
      </c>
      <c r="C186" s="3">
        <v>36.458390000000001</v>
      </c>
      <c r="D186" s="3">
        <v>0.1909254</v>
      </c>
      <c r="E186" s="3">
        <v>2.0178659900532239</v>
      </c>
      <c r="F186" s="3">
        <v>57277.619999999995</v>
      </c>
      <c r="G186" s="3">
        <v>20.530290000000001</v>
      </c>
      <c r="H186" s="3">
        <v>18.64039</v>
      </c>
      <c r="I186" s="3">
        <v>17.444030000000001</v>
      </c>
      <c r="J186" s="3">
        <v>16.97167</v>
      </c>
      <c r="K186" s="3">
        <v>16.6312</v>
      </c>
      <c r="L186" s="3">
        <f t="shared" si="20"/>
        <v>1.8899000000000008</v>
      </c>
      <c r="M186" s="3">
        <f t="shared" si="21"/>
        <v>3.0862599999999993</v>
      </c>
      <c r="N186" s="3">
        <f t="shared" si="22"/>
        <v>3.5586200000000012</v>
      </c>
      <c r="O186" s="3">
        <f t="shared" si="23"/>
        <v>3.8990900000000011</v>
      </c>
      <c r="P186" s="3">
        <f t="shared" si="24"/>
        <v>1.1963599999999985</v>
      </c>
      <c r="Q186" s="3">
        <f t="shared" si="25"/>
        <v>1.6687200000000004</v>
      </c>
      <c r="R186" s="3">
        <f t="shared" si="26"/>
        <v>2.0091900000000003</v>
      </c>
      <c r="S186" s="3">
        <f t="shared" si="27"/>
        <v>0.47236000000000189</v>
      </c>
      <c r="T186" s="3">
        <f t="shared" si="28"/>
        <v>0.81283000000000172</v>
      </c>
      <c r="U186" s="3">
        <f t="shared" si="29"/>
        <v>0.34046999999999983</v>
      </c>
    </row>
    <row r="187" spans="1:21" x14ac:dyDescent="0.25">
      <c r="A187" s="3">
        <v>1.23766146598607E+18</v>
      </c>
      <c r="B187" s="3">
        <v>235.89439999999999</v>
      </c>
      <c r="C187" s="3">
        <v>36.051354000000003</v>
      </c>
      <c r="D187" s="3">
        <v>0.19132769999999999</v>
      </c>
      <c r="E187" s="3">
        <v>1.5651156112614781</v>
      </c>
      <c r="F187" s="3">
        <v>57398.31</v>
      </c>
      <c r="G187" s="3">
        <v>21.022490000000001</v>
      </c>
      <c r="H187" s="3">
        <v>18.796469999999999</v>
      </c>
      <c r="I187" s="3">
        <v>17.49906</v>
      </c>
      <c r="J187" s="3">
        <v>17.022790000000001</v>
      </c>
      <c r="K187" s="3">
        <v>16.702059999999999</v>
      </c>
      <c r="L187" s="3">
        <f t="shared" si="20"/>
        <v>2.2260200000000019</v>
      </c>
      <c r="M187" s="3">
        <f t="shared" si="21"/>
        <v>3.5234300000000012</v>
      </c>
      <c r="N187" s="3">
        <f t="shared" si="22"/>
        <v>3.9997000000000007</v>
      </c>
      <c r="O187" s="3">
        <f t="shared" si="23"/>
        <v>4.3204300000000018</v>
      </c>
      <c r="P187" s="3">
        <f t="shared" si="24"/>
        <v>1.2974099999999993</v>
      </c>
      <c r="Q187" s="3">
        <f t="shared" si="25"/>
        <v>1.7736799999999988</v>
      </c>
      <c r="R187" s="3">
        <f t="shared" si="26"/>
        <v>2.0944099999999999</v>
      </c>
      <c r="S187" s="3">
        <f t="shared" si="27"/>
        <v>0.47626999999999953</v>
      </c>
      <c r="T187" s="3">
        <f t="shared" si="28"/>
        <v>0.7970000000000006</v>
      </c>
      <c r="U187" s="3">
        <f t="shared" si="29"/>
        <v>0.32073000000000107</v>
      </c>
    </row>
    <row r="188" spans="1:21" x14ac:dyDescent="0.25">
      <c r="A188" s="3">
        <v>1.23766250375571E+18</v>
      </c>
      <c r="B188" s="3">
        <v>236.47656000000001</v>
      </c>
      <c r="C188" s="3">
        <v>36.460400999999997</v>
      </c>
      <c r="D188" s="3">
        <v>0.1916882</v>
      </c>
      <c r="E188" s="3">
        <v>2.1430851123092314</v>
      </c>
      <c r="F188" s="3">
        <v>57506.46</v>
      </c>
      <c r="G188" s="3">
        <v>20.635159999999999</v>
      </c>
      <c r="H188" s="3">
        <v>18.540310000000002</v>
      </c>
      <c r="I188" s="3">
        <v>17.256450000000001</v>
      </c>
      <c r="J188" s="3">
        <v>16.78434</v>
      </c>
      <c r="K188" s="3">
        <v>16.407509999999998</v>
      </c>
      <c r="L188" s="3">
        <f t="shared" si="20"/>
        <v>2.0948499999999974</v>
      </c>
      <c r="M188" s="3">
        <f t="shared" si="21"/>
        <v>3.3787099999999981</v>
      </c>
      <c r="N188" s="3">
        <f t="shared" si="22"/>
        <v>3.8508199999999988</v>
      </c>
      <c r="O188" s="3">
        <f t="shared" si="23"/>
        <v>4.2276500000000006</v>
      </c>
      <c r="P188" s="3">
        <f t="shared" si="24"/>
        <v>1.2838600000000007</v>
      </c>
      <c r="Q188" s="3">
        <f t="shared" si="25"/>
        <v>1.7559700000000014</v>
      </c>
      <c r="R188" s="3">
        <f t="shared" si="26"/>
        <v>2.1328000000000031</v>
      </c>
      <c r="S188" s="3">
        <f t="shared" si="27"/>
        <v>0.4721100000000007</v>
      </c>
      <c r="T188" s="3">
        <f t="shared" si="28"/>
        <v>0.84894000000000247</v>
      </c>
      <c r="U188" s="3">
        <f t="shared" si="29"/>
        <v>0.37683000000000177</v>
      </c>
    </row>
    <row r="189" spans="1:21" x14ac:dyDescent="0.25">
      <c r="A189" s="3">
        <v>1.2376625032187699E+18</v>
      </c>
      <c r="B189" s="3">
        <v>236.07687999999999</v>
      </c>
      <c r="C189" s="3">
        <v>36.223196999999999</v>
      </c>
      <c r="D189" s="3">
        <v>0.19289719999999999</v>
      </c>
      <c r="E189" s="3">
        <v>0.95888230612827252</v>
      </c>
      <c r="F189" s="3">
        <v>57869.159999999996</v>
      </c>
      <c r="G189" s="3">
        <v>22.139130000000002</v>
      </c>
      <c r="H189" s="3">
        <v>20.166360000000001</v>
      </c>
      <c r="I189" s="3">
        <v>18.88693</v>
      </c>
      <c r="J189" s="3">
        <v>18.392119999999998</v>
      </c>
      <c r="K189" s="3">
        <v>18.025400000000001</v>
      </c>
      <c r="L189" s="3">
        <f t="shared" si="20"/>
        <v>1.9727700000000006</v>
      </c>
      <c r="M189" s="3">
        <f t="shared" si="21"/>
        <v>3.252200000000002</v>
      </c>
      <c r="N189" s="3">
        <f t="shared" si="22"/>
        <v>3.7470100000000031</v>
      </c>
      <c r="O189" s="3">
        <f t="shared" si="23"/>
        <v>4.1137300000000003</v>
      </c>
      <c r="P189" s="3">
        <f t="shared" si="24"/>
        <v>1.2794300000000014</v>
      </c>
      <c r="Q189" s="3">
        <f t="shared" si="25"/>
        <v>1.7742400000000025</v>
      </c>
      <c r="R189" s="3">
        <f t="shared" si="26"/>
        <v>2.1409599999999998</v>
      </c>
      <c r="S189" s="3">
        <f t="shared" si="27"/>
        <v>0.49481000000000108</v>
      </c>
      <c r="T189" s="3">
        <f t="shared" si="28"/>
        <v>0.86152999999999835</v>
      </c>
      <c r="U189" s="3">
        <f t="shared" si="29"/>
        <v>0.36671999999999727</v>
      </c>
    </row>
    <row r="190" spans="1:21" x14ac:dyDescent="0.25">
      <c r="A190" s="3">
        <v>1.23766247369087E+18</v>
      </c>
      <c r="B190" s="3">
        <v>236.16148000000001</v>
      </c>
      <c r="C190" s="3">
        <v>36.254156999999999</v>
      </c>
      <c r="D190" s="3">
        <v>0.19303190000000001</v>
      </c>
      <c r="E190" s="3">
        <v>0.86324973333136412</v>
      </c>
      <c r="F190" s="3">
        <v>57909.57</v>
      </c>
      <c r="G190" s="3">
        <v>20.081199999999999</v>
      </c>
      <c r="H190" s="3">
        <v>18.417760000000001</v>
      </c>
      <c r="I190" s="3">
        <v>17.202940000000002</v>
      </c>
      <c r="J190" s="3">
        <v>16.687280000000001</v>
      </c>
      <c r="K190" s="3">
        <v>16.294899999999998</v>
      </c>
      <c r="L190" s="3">
        <f t="shared" si="20"/>
        <v>1.6634399999999978</v>
      </c>
      <c r="M190" s="3">
        <f t="shared" si="21"/>
        <v>2.8782599999999974</v>
      </c>
      <c r="N190" s="3">
        <f t="shared" si="22"/>
        <v>3.3939199999999978</v>
      </c>
      <c r="O190" s="3">
        <f t="shared" si="23"/>
        <v>3.7863000000000007</v>
      </c>
      <c r="P190" s="3">
        <f t="shared" si="24"/>
        <v>1.2148199999999996</v>
      </c>
      <c r="Q190" s="3">
        <f t="shared" si="25"/>
        <v>1.73048</v>
      </c>
      <c r="R190" s="3">
        <f t="shared" si="26"/>
        <v>2.1228600000000029</v>
      </c>
      <c r="S190" s="3">
        <f t="shared" si="27"/>
        <v>0.51566000000000045</v>
      </c>
      <c r="T190" s="3">
        <f t="shared" si="28"/>
        <v>0.90804000000000329</v>
      </c>
      <c r="U190" s="3">
        <f t="shared" si="29"/>
        <v>0.39238000000000284</v>
      </c>
    </row>
    <row r="191" spans="1:21" x14ac:dyDescent="0.25">
      <c r="A191" s="3">
        <v>1.23766247369087E+18</v>
      </c>
      <c r="B191" s="3">
        <v>236.11424</v>
      </c>
      <c r="C191" s="3">
        <v>36.372385999999999</v>
      </c>
      <c r="D191" s="3">
        <v>0.1931196</v>
      </c>
      <c r="E191" s="3">
        <v>1.5303604141681042</v>
      </c>
      <c r="F191" s="3">
        <v>57935.88</v>
      </c>
      <c r="G191" s="3">
        <v>20.737179999999999</v>
      </c>
      <c r="H191" s="3">
        <v>19.191050000000001</v>
      </c>
      <c r="I191" s="3">
        <v>17.896989999999999</v>
      </c>
      <c r="J191" s="3">
        <v>17.339569999999998</v>
      </c>
      <c r="K191" s="3">
        <v>17.014620000000001</v>
      </c>
      <c r="L191" s="3">
        <f t="shared" si="20"/>
        <v>1.546129999999998</v>
      </c>
      <c r="M191" s="3">
        <f t="shared" si="21"/>
        <v>2.8401899999999998</v>
      </c>
      <c r="N191" s="3">
        <f t="shared" si="22"/>
        <v>3.3976100000000002</v>
      </c>
      <c r="O191" s="3">
        <f t="shared" si="23"/>
        <v>3.7225599999999979</v>
      </c>
      <c r="P191" s="3">
        <f t="shared" si="24"/>
        <v>1.2940600000000018</v>
      </c>
      <c r="Q191" s="3">
        <f t="shared" si="25"/>
        <v>1.8514800000000022</v>
      </c>
      <c r="R191" s="3">
        <f t="shared" si="26"/>
        <v>2.1764299999999999</v>
      </c>
      <c r="S191" s="3">
        <f t="shared" si="27"/>
        <v>0.55742000000000047</v>
      </c>
      <c r="T191" s="3">
        <f t="shared" si="28"/>
        <v>0.8823699999999981</v>
      </c>
      <c r="U191" s="3">
        <f t="shared" si="29"/>
        <v>0.32494999999999763</v>
      </c>
    </row>
    <row r="192" spans="1:21" x14ac:dyDescent="0.25">
      <c r="A192" s="3">
        <v>1.2376625032187699E+18</v>
      </c>
      <c r="B192" s="3">
        <v>236.05531999999999</v>
      </c>
      <c r="C192" s="3">
        <v>36.223889999999997</v>
      </c>
      <c r="D192" s="3">
        <v>0.19471160000000001</v>
      </c>
      <c r="E192" s="3">
        <v>1.0350228786535185</v>
      </c>
      <c r="F192" s="3">
        <v>58413.48</v>
      </c>
      <c r="G192" s="3">
        <v>21.754989999999999</v>
      </c>
      <c r="H192" s="3">
        <v>20.181100000000001</v>
      </c>
      <c r="I192" s="3">
        <v>18.96123</v>
      </c>
      <c r="J192" s="3">
        <v>18.513909999999999</v>
      </c>
      <c r="K192" s="3">
        <v>18.179480000000002</v>
      </c>
      <c r="L192" s="3">
        <f t="shared" si="20"/>
        <v>1.5738899999999987</v>
      </c>
      <c r="M192" s="3">
        <f t="shared" si="21"/>
        <v>2.7937599999999989</v>
      </c>
      <c r="N192" s="3">
        <f t="shared" si="22"/>
        <v>3.2410800000000002</v>
      </c>
      <c r="O192" s="3">
        <f t="shared" si="23"/>
        <v>3.5755099999999977</v>
      </c>
      <c r="P192" s="3">
        <f t="shared" si="24"/>
        <v>1.2198700000000002</v>
      </c>
      <c r="Q192" s="3">
        <f t="shared" si="25"/>
        <v>1.6671900000000015</v>
      </c>
      <c r="R192" s="3">
        <f t="shared" si="26"/>
        <v>2.0016199999999991</v>
      </c>
      <c r="S192" s="3">
        <f t="shared" si="27"/>
        <v>0.44732000000000127</v>
      </c>
      <c r="T192" s="3">
        <f t="shared" si="28"/>
        <v>0.78174999999999883</v>
      </c>
      <c r="U192" s="3">
        <f t="shared" si="29"/>
        <v>0.33442999999999756</v>
      </c>
    </row>
    <row r="193" spans="1:21" x14ac:dyDescent="0.25">
      <c r="A193" s="3">
        <v>1.23766233786351E+18</v>
      </c>
      <c r="B193" s="3">
        <v>235.75116</v>
      </c>
      <c r="C193" s="3">
        <v>35.822882</v>
      </c>
      <c r="D193" s="3">
        <v>0.19542370000000001</v>
      </c>
      <c r="E193" s="3">
        <v>2.6576081405389123</v>
      </c>
      <c r="F193" s="3">
        <v>58627.11</v>
      </c>
      <c r="G193" s="3">
        <v>20.99306</v>
      </c>
      <c r="H193" s="3">
        <v>18.995640000000002</v>
      </c>
      <c r="I193" s="3">
        <v>17.668600000000001</v>
      </c>
      <c r="J193" s="3">
        <v>17.170590000000001</v>
      </c>
      <c r="K193" s="3">
        <v>16.80667</v>
      </c>
      <c r="L193" s="3">
        <f t="shared" si="20"/>
        <v>1.9974199999999982</v>
      </c>
      <c r="M193" s="3">
        <f t="shared" si="21"/>
        <v>3.3244599999999984</v>
      </c>
      <c r="N193" s="3">
        <f t="shared" si="22"/>
        <v>3.8224699999999991</v>
      </c>
      <c r="O193" s="3">
        <f t="shared" si="23"/>
        <v>4.1863899999999994</v>
      </c>
      <c r="P193" s="3">
        <f t="shared" si="24"/>
        <v>1.3270400000000002</v>
      </c>
      <c r="Q193" s="3">
        <f t="shared" si="25"/>
        <v>1.8250500000000009</v>
      </c>
      <c r="R193" s="3">
        <f t="shared" si="26"/>
        <v>2.1889700000000012</v>
      </c>
      <c r="S193" s="3">
        <f t="shared" si="27"/>
        <v>0.49801000000000073</v>
      </c>
      <c r="T193" s="3">
        <f t="shared" si="28"/>
        <v>0.86193000000000097</v>
      </c>
      <c r="U193" s="3">
        <f t="shared" si="29"/>
        <v>0.36392000000000024</v>
      </c>
    </row>
    <row r="194" spans="1:21" x14ac:dyDescent="0.25">
      <c r="A194" s="3">
        <v>1.23766247369087E+18</v>
      </c>
      <c r="B194" s="3">
        <v>236.15581</v>
      </c>
      <c r="C194" s="3">
        <v>36.275300999999999</v>
      </c>
      <c r="D194" s="3">
        <v>0.19546820000000001</v>
      </c>
      <c r="E194" s="3">
        <v>0.97732521861374877</v>
      </c>
      <c r="F194" s="3">
        <v>58640.46</v>
      </c>
      <c r="G194" s="3">
        <v>21.158100000000001</v>
      </c>
      <c r="H194" s="3">
        <v>19.030840000000001</v>
      </c>
      <c r="I194" s="3">
        <v>17.695920000000001</v>
      </c>
      <c r="J194" s="3">
        <v>17.205660000000002</v>
      </c>
      <c r="K194" s="3">
        <v>16.861039999999999</v>
      </c>
      <c r="L194" s="3">
        <f t="shared" ref="L194:L257" si="30">G194-H194</f>
        <v>2.1272599999999997</v>
      </c>
      <c r="M194" s="3">
        <f t="shared" ref="M194:M257" si="31">G194-I194</f>
        <v>3.46218</v>
      </c>
      <c r="N194" s="3">
        <f t="shared" ref="N194:N257" si="32">G194-J194</f>
        <v>3.9524399999999993</v>
      </c>
      <c r="O194" s="3">
        <f t="shared" ref="O194:O257" si="33">G194-K194</f>
        <v>4.2970600000000019</v>
      </c>
      <c r="P194" s="3">
        <f t="shared" ref="P194:P257" si="34">H194-I194</f>
        <v>1.3349200000000003</v>
      </c>
      <c r="Q194" s="3">
        <f t="shared" ref="Q194:Q257" si="35">H194-J194</f>
        <v>1.8251799999999996</v>
      </c>
      <c r="R194" s="3">
        <f t="shared" ref="R194:R257" si="36">H194-K194</f>
        <v>2.1698000000000022</v>
      </c>
      <c r="S194" s="3">
        <f t="shared" ref="S194:S257" si="37">I194-J194</f>
        <v>0.49025999999999925</v>
      </c>
      <c r="T194" s="3">
        <f t="shared" ref="T194:T257" si="38">I194-K194</f>
        <v>0.83488000000000184</v>
      </c>
      <c r="U194" s="3">
        <f t="shared" ref="U194:U257" si="39">J194-K194</f>
        <v>0.34462000000000259</v>
      </c>
    </row>
    <row r="195" spans="1:21" x14ac:dyDescent="0.25">
      <c r="A195" s="3">
        <v>1.2376625032187699E+18</v>
      </c>
      <c r="B195" s="3">
        <v>236.05296999999999</v>
      </c>
      <c r="C195" s="3">
        <v>36.203226000000001</v>
      </c>
      <c r="D195" s="3">
        <v>0.19561770000000001</v>
      </c>
      <c r="E195" s="3">
        <v>0.98147011037462073</v>
      </c>
      <c r="F195" s="3">
        <v>58685.310000000005</v>
      </c>
      <c r="G195" s="3">
        <v>21.547429999999999</v>
      </c>
      <c r="H195" s="3">
        <v>19.285810000000001</v>
      </c>
      <c r="I195" s="3">
        <v>17.98808</v>
      </c>
      <c r="J195" s="3">
        <v>17.479320000000001</v>
      </c>
      <c r="K195" s="3">
        <v>17.103359999999999</v>
      </c>
      <c r="L195" s="3">
        <f t="shared" si="30"/>
        <v>2.2616199999999971</v>
      </c>
      <c r="M195" s="3">
        <f t="shared" si="31"/>
        <v>3.5593499999999985</v>
      </c>
      <c r="N195" s="3">
        <f t="shared" si="32"/>
        <v>4.0681099999999972</v>
      </c>
      <c r="O195" s="3">
        <f t="shared" si="33"/>
        <v>4.44407</v>
      </c>
      <c r="P195" s="3">
        <f t="shared" si="34"/>
        <v>1.2977300000000014</v>
      </c>
      <c r="Q195" s="3">
        <f t="shared" si="35"/>
        <v>1.8064900000000002</v>
      </c>
      <c r="R195" s="3">
        <f t="shared" si="36"/>
        <v>2.1824500000000029</v>
      </c>
      <c r="S195" s="3">
        <f t="shared" si="37"/>
        <v>0.50875999999999877</v>
      </c>
      <c r="T195" s="3">
        <f t="shared" si="38"/>
        <v>0.88472000000000151</v>
      </c>
      <c r="U195" s="3">
        <f t="shared" si="39"/>
        <v>0.37596000000000274</v>
      </c>
    </row>
    <row r="196" spans="1:21" x14ac:dyDescent="0.25">
      <c r="A196" s="3">
        <v>1.23766146544926E+18</v>
      </c>
      <c r="B196" s="3">
        <v>235.70094</v>
      </c>
      <c r="C196" s="3">
        <v>35.605603000000002</v>
      </c>
      <c r="D196" s="3">
        <v>0.19562689999999999</v>
      </c>
      <c r="E196" s="3">
        <v>3.6162095550058533</v>
      </c>
      <c r="F196" s="3">
        <v>58688.07</v>
      </c>
      <c r="G196" s="3">
        <v>20.744129999999998</v>
      </c>
      <c r="H196" s="3">
        <v>18.487870000000001</v>
      </c>
      <c r="I196" s="3">
        <v>17.22354</v>
      </c>
      <c r="J196" s="3">
        <v>16.732060000000001</v>
      </c>
      <c r="K196" s="3">
        <v>16.368569999999998</v>
      </c>
      <c r="L196" s="3">
        <f t="shared" si="30"/>
        <v>2.2562599999999975</v>
      </c>
      <c r="M196" s="3">
        <f t="shared" si="31"/>
        <v>3.5205899999999986</v>
      </c>
      <c r="N196" s="3">
        <f t="shared" si="32"/>
        <v>4.0120699999999978</v>
      </c>
      <c r="O196" s="3">
        <f t="shared" si="33"/>
        <v>4.3755600000000001</v>
      </c>
      <c r="P196" s="3">
        <f t="shared" si="34"/>
        <v>1.2643300000000011</v>
      </c>
      <c r="Q196" s="3">
        <f t="shared" si="35"/>
        <v>1.7558100000000003</v>
      </c>
      <c r="R196" s="3">
        <f t="shared" si="36"/>
        <v>2.1193000000000026</v>
      </c>
      <c r="S196" s="3">
        <f t="shared" si="37"/>
        <v>0.49147999999999925</v>
      </c>
      <c r="T196" s="3">
        <f t="shared" si="38"/>
        <v>0.85497000000000156</v>
      </c>
      <c r="U196" s="3">
        <f t="shared" si="39"/>
        <v>0.36349000000000231</v>
      </c>
    </row>
    <row r="197" spans="1:21" x14ac:dyDescent="0.25">
      <c r="A197" s="3">
        <v>1.23766146544926E+18</v>
      </c>
      <c r="B197" s="3">
        <v>235.74010000000001</v>
      </c>
      <c r="C197" s="3">
        <v>35.589899000000003</v>
      </c>
      <c r="D197" s="3">
        <v>0.19573380000000001</v>
      </c>
      <c r="E197" s="3">
        <v>3.5719305586292589</v>
      </c>
      <c r="F197" s="3">
        <v>58720.140000000007</v>
      </c>
      <c r="G197" s="3">
        <v>21.30583</v>
      </c>
      <c r="H197" s="3">
        <v>19.057739999999999</v>
      </c>
      <c r="I197" s="3">
        <v>17.777670000000001</v>
      </c>
      <c r="J197" s="3">
        <v>17.28276</v>
      </c>
      <c r="K197" s="3">
        <v>16.917999999999999</v>
      </c>
      <c r="L197" s="3">
        <f t="shared" si="30"/>
        <v>2.2480900000000013</v>
      </c>
      <c r="M197" s="3">
        <f t="shared" si="31"/>
        <v>3.5281599999999997</v>
      </c>
      <c r="N197" s="3">
        <f t="shared" si="32"/>
        <v>4.0230700000000006</v>
      </c>
      <c r="O197" s="3">
        <f t="shared" si="33"/>
        <v>4.387830000000001</v>
      </c>
      <c r="P197" s="3">
        <f t="shared" si="34"/>
        <v>1.2800699999999985</v>
      </c>
      <c r="Q197" s="3">
        <f t="shared" si="35"/>
        <v>1.7749799999999993</v>
      </c>
      <c r="R197" s="3">
        <f t="shared" si="36"/>
        <v>2.1397399999999998</v>
      </c>
      <c r="S197" s="3">
        <f t="shared" si="37"/>
        <v>0.49491000000000085</v>
      </c>
      <c r="T197" s="3">
        <f t="shared" si="38"/>
        <v>0.85967000000000127</v>
      </c>
      <c r="U197" s="3">
        <f t="shared" si="39"/>
        <v>0.36476000000000042</v>
      </c>
    </row>
    <row r="198" spans="1:21" x14ac:dyDescent="0.25">
      <c r="A198" s="3">
        <v>1.2376625032187699E+18</v>
      </c>
      <c r="B198" s="3">
        <v>236.05785</v>
      </c>
      <c r="C198" s="3">
        <v>36.237388000000003</v>
      </c>
      <c r="D198" s="3">
        <v>0.1958859</v>
      </c>
      <c r="E198" s="3">
        <v>1.0715577660870663</v>
      </c>
      <c r="F198" s="3">
        <v>58765.770000000004</v>
      </c>
      <c r="G198" s="3">
        <v>20.548020000000001</v>
      </c>
      <c r="H198" s="3">
        <v>18.853439999999999</v>
      </c>
      <c r="I198" s="3">
        <v>17.647480000000002</v>
      </c>
      <c r="J198" s="3">
        <v>17.12724</v>
      </c>
      <c r="K198" s="3">
        <v>16.7866</v>
      </c>
      <c r="L198" s="3">
        <f t="shared" si="30"/>
        <v>1.694580000000002</v>
      </c>
      <c r="M198" s="3">
        <f t="shared" si="31"/>
        <v>2.9005399999999995</v>
      </c>
      <c r="N198" s="3">
        <f t="shared" si="32"/>
        <v>3.4207800000000006</v>
      </c>
      <c r="O198" s="3">
        <f t="shared" si="33"/>
        <v>3.7614200000000011</v>
      </c>
      <c r="P198" s="3">
        <f t="shared" si="34"/>
        <v>1.2059599999999975</v>
      </c>
      <c r="Q198" s="3">
        <f t="shared" si="35"/>
        <v>1.7261999999999986</v>
      </c>
      <c r="R198" s="3">
        <f t="shared" si="36"/>
        <v>2.0668399999999991</v>
      </c>
      <c r="S198" s="3">
        <f t="shared" si="37"/>
        <v>0.52024000000000115</v>
      </c>
      <c r="T198" s="3">
        <f t="shared" si="38"/>
        <v>0.86088000000000164</v>
      </c>
      <c r="U198" s="3">
        <f t="shared" si="39"/>
        <v>0.3406400000000005</v>
      </c>
    </row>
    <row r="199" spans="1:21" x14ac:dyDescent="0.25">
      <c r="A199" s="3">
        <v>1.2376625032187699E+18</v>
      </c>
      <c r="B199" s="3">
        <v>236.0179</v>
      </c>
      <c r="C199" s="3">
        <v>36.210472000000003</v>
      </c>
      <c r="D199" s="3">
        <v>0.19602649999999999</v>
      </c>
      <c r="E199" s="3">
        <v>1.1334277194230105</v>
      </c>
      <c r="F199" s="3">
        <v>58807.95</v>
      </c>
      <c r="G199" s="3">
        <v>21.957409999999999</v>
      </c>
      <c r="H199" s="3">
        <v>20.27468</v>
      </c>
      <c r="I199" s="3">
        <v>18.475909999999999</v>
      </c>
      <c r="J199" s="3">
        <v>17.976099999999999</v>
      </c>
      <c r="K199" s="3">
        <v>17.646789999999999</v>
      </c>
      <c r="L199" s="3">
        <f t="shared" si="30"/>
        <v>1.6827299999999994</v>
      </c>
      <c r="M199" s="3">
        <f t="shared" si="31"/>
        <v>3.4815000000000005</v>
      </c>
      <c r="N199" s="3">
        <f t="shared" si="32"/>
        <v>3.9813100000000006</v>
      </c>
      <c r="O199" s="3">
        <f t="shared" si="33"/>
        <v>4.3106200000000001</v>
      </c>
      <c r="P199" s="3">
        <f t="shared" si="34"/>
        <v>1.7987700000000011</v>
      </c>
      <c r="Q199" s="3">
        <f t="shared" si="35"/>
        <v>2.2985800000000012</v>
      </c>
      <c r="R199" s="3">
        <f t="shared" si="36"/>
        <v>2.6278900000000007</v>
      </c>
      <c r="S199" s="3">
        <f t="shared" si="37"/>
        <v>0.49981000000000009</v>
      </c>
      <c r="T199" s="3">
        <f t="shared" si="38"/>
        <v>0.82911999999999964</v>
      </c>
      <c r="U199" s="3">
        <f t="shared" si="39"/>
        <v>0.32930999999999955</v>
      </c>
    </row>
    <row r="200" spans="1:21" x14ac:dyDescent="0.25">
      <c r="A200" s="3">
        <v>1.23766146544926E+18</v>
      </c>
      <c r="B200" s="3">
        <v>235.71753000000001</v>
      </c>
      <c r="C200" s="3">
        <v>35.651114</v>
      </c>
      <c r="D200" s="3">
        <v>0.1966155</v>
      </c>
      <c r="E200" s="3">
        <v>3.3849236995097991</v>
      </c>
      <c r="F200" s="3">
        <v>58984.65</v>
      </c>
      <c r="G200" s="3">
        <v>22.123930000000001</v>
      </c>
      <c r="H200" s="3">
        <v>20.68608</v>
      </c>
      <c r="I200" s="3">
        <v>19.462779999999999</v>
      </c>
      <c r="J200" s="3">
        <v>18.973310000000001</v>
      </c>
      <c r="K200" s="3">
        <v>18.62848</v>
      </c>
      <c r="L200" s="3">
        <f t="shared" si="30"/>
        <v>1.437850000000001</v>
      </c>
      <c r="M200" s="3">
        <f t="shared" si="31"/>
        <v>2.6611500000000028</v>
      </c>
      <c r="N200" s="3">
        <f t="shared" si="32"/>
        <v>3.15062</v>
      </c>
      <c r="O200" s="3">
        <f t="shared" si="33"/>
        <v>3.4954500000000017</v>
      </c>
      <c r="P200" s="3">
        <f t="shared" si="34"/>
        <v>1.2233000000000018</v>
      </c>
      <c r="Q200" s="3">
        <f t="shared" si="35"/>
        <v>1.712769999999999</v>
      </c>
      <c r="R200" s="3">
        <f t="shared" si="36"/>
        <v>2.0576000000000008</v>
      </c>
      <c r="S200" s="3">
        <f t="shared" si="37"/>
        <v>0.48946999999999719</v>
      </c>
      <c r="T200" s="3">
        <f t="shared" si="38"/>
        <v>0.83429999999999893</v>
      </c>
      <c r="U200" s="3">
        <f t="shared" si="39"/>
        <v>0.34483000000000175</v>
      </c>
    </row>
    <row r="201" spans="1:21" x14ac:dyDescent="0.25">
      <c r="A201" s="3">
        <v>1.2376625032187699E+18</v>
      </c>
      <c r="B201" s="3">
        <v>236.02927</v>
      </c>
      <c r="C201" s="3">
        <v>36.219217999999998</v>
      </c>
      <c r="D201" s="3">
        <v>0.1966647</v>
      </c>
      <c r="E201" s="3">
        <v>1.1145577240885851</v>
      </c>
      <c r="F201" s="3">
        <v>58999.409999999996</v>
      </c>
      <c r="G201" s="3">
        <v>22.011189999999999</v>
      </c>
      <c r="H201" s="3">
        <v>19.964210000000001</v>
      </c>
      <c r="I201" s="3">
        <v>18.732050000000001</v>
      </c>
      <c r="J201" s="3">
        <v>18.25939</v>
      </c>
      <c r="K201" s="3">
        <v>17.903749999999999</v>
      </c>
      <c r="L201" s="3">
        <f t="shared" si="30"/>
        <v>2.0469799999999978</v>
      </c>
      <c r="M201" s="3">
        <f t="shared" si="31"/>
        <v>3.2791399999999982</v>
      </c>
      <c r="N201" s="3">
        <f t="shared" si="32"/>
        <v>3.7517999999999994</v>
      </c>
      <c r="O201" s="3">
        <f t="shared" si="33"/>
        <v>4.1074400000000004</v>
      </c>
      <c r="P201" s="3">
        <f t="shared" si="34"/>
        <v>1.2321600000000004</v>
      </c>
      <c r="Q201" s="3">
        <f t="shared" si="35"/>
        <v>1.7048200000000016</v>
      </c>
      <c r="R201" s="3">
        <f t="shared" si="36"/>
        <v>2.0604600000000026</v>
      </c>
      <c r="S201" s="3">
        <f t="shared" si="37"/>
        <v>0.47266000000000119</v>
      </c>
      <c r="T201" s="3">
        <f t="shared" si="38"/>
        <v>0.82830000000000226</v>
      </c>
      <c r="U201" s="3">
        <f t="shared" si="39"/>
        <v>0.35564000000000107</v>
      </c>
    </row>
    <row r="202" spans="1:21" x14ac:dyDescent="0.25">
      <c r="A202" s="3">
        <v>1.23766247422781E+18</v>
      </c>
      <c r="B202" s="3">
        <v>236.57089999999999</v>
      </c>
      <c r="C202" s="3">
        <v>36.581391000000004</v>
      </c>
      <c r="D202" s="3">
        <v>0.1967082</v>
      </c>
      <c r="E202" s="3">
        <v>2.9122218051753954</v>
      </c>
      <c r="F202" s="3">
        <v>59012.46</v>
      </c>
      <c r="G202" s="3">
        <v>20.26737</v>
      </c>
      <c r="H202" s="3">
        <v>18.54008</v>
      </c>
      <c r="I202" s="3">
        <v>17.417439999999999</v>
      </c>
      <c r="J202" s="3">
        <v>16.930119999999999</v>
      </c>
      <c r="K202" s="3">
        <v>16.60453</v>
      </c>
      <c r="L202" s="3">
        <f t="shared" si="30"/>
        <v>1.72729</v>
      </c>
      <c r="M202" s="3">
        <f t="shared" si="31"/>
        <v>2.8499300000000005</v>
      </c>
      <c r="N202" s="3">
        <f t="shared" si="32"/>
        <v>3.3372500000000009</v>
      </c>
      <c r="O202" s="3">
        <f t="shared" si="33"/>
        <v>3.6628399999999992</v>
      </c>
      <c r="P202" s="3">
        <f t="shared" si="34"/>
        <v>1.1226400000000005</v>
      </c>
      <c r="Q202" s="3">
        <f t="shared" si="35"/>
        <v>1.6099600000000009</v>
      </c>
      <c r="R202" s="3">
        <f t="shared" si="36"/>
        <v>1.9355499999999992</v>
      </c>
      <c r="S202" s="3">
        <f t="shared" si="37"/>
        <v>0.48732000000000042</v>
      </c>
      <c r="T202" s="3">
        <f t="shared" si="38"/>
        <v>0.81290999999999869</v>
      </c>
      <c r="U202" s="3">
        <f t="shared" si="39"/>
        <v>0.32558999999999827</v>
      </c>
    </row>
    <row r="203" spans="1:21" x14ac:dyDescent="0.25">
      <c r="A203" s="3">
        <v>1.2376614659859999E+18</v>
      </c>
      <c r="B203" s="3">
        <v>235.64840000000001</v>
      </c>
      <c r="C203" s="3">
        <v>36.151434000000002</v>
      </c>
      <c r="D203" s="3">
        <v>0.19737299999999999</v>
      </c>
      <c r="E203" s="3">
        <v>2.6144962137608334</v>
      </c>
      <c r="F203" s="3">
        <v>59211.9</v>
      </c>
      <c r="G203" s="3">
        <v>19.702629999999999</v>
      </c>
      <c r="H203" s="3">
        <v>18.476379999999999</v>
      </c>
      <c r="I203" s="3">
        <v>17.549630000000001</v>
      </c>
      <c r="J203" s="3">
        <v>17.102730000000001</v>
      </c>
      <c r="K203" s="3">
        <v>16.816420000000001</v>
      </c>
      <c r="L203" s="3">
        <f t="shared" si="30"/>
        <v>1.2262500000000003</v>
      </c>
      <c r="M203" s="3">
        <f t="shared" si="31"/>
        <v>2.1529999999999987</v>
      </c>
      <c r="N203" s="3">
        <f t="shared" si="32"/>
        <v>2.5998999999999981</v>
      </c>
      <c r="O203" s="3">
        <f t="shared" si="33"/>
        <v>2.8862099999999984</v>
      </c>
      <c r="P203" s="3">
        <f t="shared" si="34"/>
        <v>0.92674999999999841</v>
      </c>
      <c r="Q203" s="3">
        <f t="shared" si="35"/>
        <v>1.3736499999999978</v>
      </c>
      <c r="R203" s="3">
        <f t="shared" si="36"/>
        <v>1.6599599999999981</v>
      </c>
      <c r="S203" s="3">
        <f t="shared" si="37"/>
        <v>0.44689999999999941</v>
      </c>
      <c r="T203" s="3">
        <f t="shared" si="38"/>
        <v>0.7332099999999997</v>
      </c>
      <c r="U203" s="3">
        <f t="shared" si="39"/>
        <v>0.28631000000000029</v>
      </c>
    </row>
    <row r="204" spans="1:21" x14ac:dyDescent="0.25">
      <c r="A204" s="3">
        <v>1.23766146544926E+18</v>
      </c>
      <c r="B204" s="3">
        <v>235.70382000000001</v>
      </c>
      <c r="C204" s="3">
        <v>35.608454000000002</v>
      </c>
      <c r="D204" s="3">
        <v>0.1979485</v>
      </c>
      <c r="E204" s="3">
        <v>3.5963063754150912</v>
      </c>
      <c r="F204" s="3">
        <v>59384.55</v>
      </c>
      <c r="G204" s="3">
        <v>21.587160000000001</v>
      </c>
      <c r="H204" s="3">
        <v>19.38578</v>
      </c>
      <c r="I204" s="3">
        <v>18.096990000000002</v>
      </c>
      <c r="J204" s="3">
        <v>17.615849999999998</v>
      </c>
      <c r="K204" s="3">
        <v>17.270479999999999</v>
      </c>
      <c r="L204" s="3">
        <f t="shared" si="30"/>
        <v>2.2013800000000003</v>
      </c>
      <c r="M204" s="3">
        <f t="shared" si="31"/>
        <v>3.4901699999999991</v>
      </c>
      <c r="N204" s="3">
        <f t="shared" si="32"/>
        <v>3.9713100000000026</v>
      </c>
      <c r="O204" s="3">
        <f t="shared" si="33"/>
        <v>4.3166800000000016</v>
      </c>
      <c r="P204" s="3">
        <f t="shared" si="34"/>
        <v>1.2887899999999988</v>
      </c>
      <c r="Q204" s="3">
        <f t="shared" si="35"/>
        <v>1.7699300000000022</v>
      </c>
      <c r="R204" s="3">
        <f t="shared" si="36"/>
        <v>2.1153000000000013</v>
      </c>
      <c r="S204" s="3">
        <f t="shared" si="37"/>
        <v>0.48114000000000345</v>
      </c>
      <c r="T204" s="3">
        <f t="shared" si="38"/>
        <v>0.82651000000000252</v>
      </c>
      <c r="U204" s="3">
        <f t="shared" si="39"/>
        <v>0.34536999999999907</v>
      </c>
    </row>
    <row r="205" spans="1:21" x14ac:dyDescent="0.25">
      <c r="A205" s="3">
        <v>1.23766146544926E+18</v>
      </c>
      <c r="B205" s="3">
        <v>235.649</v>
      </c>
      <c r="C205" s="3">
        <v>35.640408999999998</v>
      </c>
      <c r="D205" s="3">
        <v>0.19845309999999999</v>
      </c>
      <c r="E205" s="3">
        <v>3.6362788441055454</v>
      </c>
      <c r="F205" s="3">
        <v>59535.93</v>
      </c>
      <c r="G205" s="3">
        <v>21.413900000000002</v>
      </c>
      <c r="H205" s="3">
        <v>19.129270000000002</v>
      </c>
      <c r="I205" s="3">
        <v>17.818670000000001</v>
      </c>
      <c r="J205" s="3">
        <v>17.308389999999999</v>
      </c>
      <c r="K205" s="3">
        <v>16.96415</v>
      </c>
      <c r="L205" s="3">
        <f t="shared" si="30"/>
        <v>2.2846299999999999</v>
      </c>
      <c r="M205" s="3">
        <f t="shared" si="31"/>
        <v>3.5952300000000008</v>
      </c>
      <c r="N205" s="3">
        <f t="shared" si="32"/>
        <v>4.1055100000000024</v>
      </c>
      <c r="O205" s="3">
        <f t="shared" si="33"/>
        <v>4.4497500000000016</v>
      </c>
      <c r="P205" s="3">
        <f t="shared" si="34"/>
        <v>1.3106000000000009</v>
      </c>
      <c r="Q205" s="3">
        <f t="shared" si="35"/>
        <v>1.8208800000000025</v>
      </c>
      <c r="R205" s="3">
        <f t="shared" si="36"/>
        <v>2.1651200000000017</v>
      </c>
      <c r="S205" s="3">
        <f t="shared" si="37"/>
        <v>0.51028000000000162</v>
      </c>
      <c r="T205" s="3">
        <f t="shared" si="38"/>
        <v>0.85452000000000083</v>
      </c>
      <c r="U205" s="3">
        <f t="shared" si="39"/>
        <v>0.34423999999999921</v>
      </c>
    </row>
    <row r="206" spans="1:21" x14ac:dyDescent="0.25">
      <c r="A206" s="3">
        <v>1.23766146544926E+18</v>
      </c>
      <c r="B206" s="3">
        <v>235.67659</v>
      </c>
      <c r="C206" s="3">
        <v>35.636592999999998</v>
      </c>
      <c r="D206" s="3">
        <v>0.2013752</v>
      </c>
      <c r="E206" s="3">
        <v>3.5654037180503622</v>
      </c>
      <c r="F206" s="3">
        <v>60412.56</v>
      </c>
      <c r="G206" s="3">
        <v>22.238199999999999</v>
      </c>
      <c r="H206" s="3">
        <v>19.98076</v>
      </c>
      <c r="I206" s="3">
        <v>18.671330000000001</v>
      </c>
      <c r="J206" s="3">
        <v>18.189419999999998</v>
      </c>
      <c r="K206" s="3">
        <v>17.84958</v>
      </c>
      <c r="L206" s="3">
        <f t="shared" si="30"/>
        <v>2.257439999999999</v>
      </c>
      <c r="M206" s="3">
        <f t="shared" si="31"/>
        <v>3.566869999999998</v>
      </c>
      <c r="N206" s="3">
        <f t="shared" si="32"/>
        <v>4.0487800000000007</v>
      </c>
      <c r="O206" s="3">
        <f t="shared" si="33"/>
        <v>4.3886199999999995</v>
      </c>
      <c r="P206" s="3">
        <f t="shared" si="34"/>
        <v>1.309429999999999</v>
      </c>
      <c r="Q206" s="3">
        <f t="shared" si="35"/>
        <v>1.7913400000000017</v>
      </c>
      <c r="R206" s="3">
        <f t="shared" si="36"/>
        <v>2.1311800000000005</v>
      </c>
      <c r="S206" s="3">
        <f t="shared" si="37"/>
        <v>0.48191000000000273</v>
      </c>
      <c r="T206" s="3">
        <f t="shared" si="38"/>
        <v>0.82175000000000153</v>
      </c>
      <c r="U206" s="3">
        <f t="shared" si="39"/>
        <v>0.33983999999999881</v>
      </c>
    </row>
    <row r="207" spans="1:21" x14ac:dyDescent="0.25">
      <c r="A207" s="3">
        <v>1.2376625032187699E+18</v>
      </c>
      <c r="B207" s="3">
        <v>236.02516</v>
      </c>
      <c r="C207" s="3">
        <v>36.245784999999998</v>
      </c>
      <c r="D207" s="3">
        <v>0.20959079999999999</v>
      </c>
      <c r="E207" s="3">
        <v>1.2109707773913234</v>
      </c>
      <c r="F207" s="3">
        <v>62877.24</v>
      </c>
      <c r="G207" s="3">
        <v>23.899480000000001</v>
      </c>
      <c r="H207" s="3">
        <v>20.85744</v>
      </c>
      <c r="I207" s="3">
        <v>19.595649999999999</v>
      </c>
      <c r="J207" s="3">
        <v>19.097840000000001</v>
      </c>
      <c r="K207" s="3">
        <v>18.811710000000001</v>
      </c>
      <c r="L207" s="3">
        <f t="shared" si="30"/>
        <v>3.0420400000000001</v>
      </c>
      <c r="M207" s="3">
        <f t="shared" si="31"/>
        <v>4.3038300000000014</v>
      </c>
      <c r="N207" s="3">
        <f t="shared" si="32"/>
        <v>4.801639999999999</v>
      </c>
      <c r="O207" s="3">
        <f t="shared" si="33"/>
        <v>5.087769999999999</v>
      </c>
      <c r="P207" s="3">
        <f t="shared" si="34"/>
        <v>1.2617900000000013</v>
      </c>
      <c r="Q207" s="3">
        <f t="shared" si="35"/>
        <v>1.7595999999999989</v>
      </c>
      <c r="R207" s="3">
        <f t="shared" si="36"/>
        <v>2.0457299999999989</v>
      </c>
      <c r="S207" s="3">
        <f t="shared" si="37"/>
        <v>0.49780999999999764</v>
      </c>
      <c r="T207" s="3">
        <f t="shared" si="38"/>
        <v>0.78393999999999764</v>
      </c>
      <c r="U207" s="3">
        <f t="shared" si="39"/>
        <v>0.28613</v>
      </c>
    </row>
    <row r="208" spans="1:21" x14ac:dyDescent="0.25">
      <c r="A208" s="3">
        <v>1.2376614659863301E+18</v>
      </c>
      <c r="B208" s="3">
        <v>236.37148999999999</v>
      </c>
      <c r="C208" s="3">
        <v>35.601492999999998</v>
      </c>
      <c r="D208" s="3">
        <v>0.2339638</v>
      </c>
      <c r="E208" s="3">
        <v>2.7957238236629283</v>
      </c>
      <c r="F208" s="3">
        <v>70189.14</v>
      </c>
      <c r="G208" s="3">
        <v>20.920269999999999</v>
      </c>
      <c r="H208" s="3">
        <v>18.906120000000001</v>
      </c>
      <c r="I208" s="3">
        <v>17.68422</v>
      </c>
      <c r="J208" s="3">
        <v>17.235320000000002</v>
      </c>
      <c r="K208" s="3">
        <v>16.93357</v>
      </c>
      <c r="L208" s="3">
        <f t="shared" si="30"/>
        <v>2.0141499999999972</v>
      </c>
      <c r="M208" s="3">
        <f t="shared" si="31"/>
        <v>3.2360499999999988</v>
      </c>
      <c r="N208" s="3">
        <f t="shared" si="32"/>
        <v>3.6849499999999971</v>
      </c>
      <c r="O208" s="3">
        <f t="shared" si="33"/>
        <v>3.986699999999999</v>
      </c>
      <c r="P208" s="3">
        <f t="shared" si="34"/>
        <v>1.2219000000000015</v>
      </c>
      <c r="Q208" s="3">
        <f t="shared" si="35"/>
        <v>1.6707999999999998</v>
      </c>
      <c r="R208" s="3">
        <f t="shared" si="36"/>
        <v>1.9725500000000018</v>
      </c>
      <c r="S208" s="3">
        <f t="shared" si="37"/>
        <v>0.4488999999999983</v>
      </c>
      <c r="T208" s="3">
        <f t="shared" si="38"/>
        <v>0.75065000000000026</v>
      </c>
      <c r="U208" s="3">
        <f t="shared" si="39"/>
        <v>0.30175000000000196</v>
      </c>
    </row>
    <row r="209" spans="1:21" x14ac:dyDescent="0.25">
      <c r="A209" s="3">
        <v>1.23766250321903E+18</v>
      </c>
      <c r="B209" s="3">
        <v>236.69649999999999</v>
      </c>
      <c r="C209" s="3">
        <v>35.871439000000002</v>
      </c>
      <c r="D209" s="3">
        <v>0.23580789999999999</v>
      </c>
      <c r="E209" s="3">
        <v>2.3493942333779922</v>
      </c>
      <c r="F209" s="3">
        <v>70742.37</v>
      </c>
      <c r="G209" s="3">
        <v>22.641490000000001</v>
      </c>
      <c r="H209" s="3">
        <v>19.237349999999999</v>
      </c>
      <c r="I209" s="3">
        <v>17.83785</v>
      </c>
      <c r="J209" s="3">
        <v>17.32545</v>
      </c>
      <c r="K209" s="3">
        <v>16.979379999999999</v>
      </c>
      <c r="L209" s="3">
        <f t="shared" si="30"/>
        <v>3.4041400000000017</v>
      </c>
      <c r="M209" s="3">
        <f t="shared" si="31"/>
        <v>4.8036400000000015</v>
      </c>
      <c r="N209" s="3">
        <f t="shared" si="32"/>
        <v>5.316040000000001</v>
      </c>
      <c r="O209" s="3">
        <f t="shared" si="33"/>
        <v>5.662110000000002</v>
      </c>
      <c r="P209" s="3">
        <f t="shared" si="34"/>
        <v>1.3994999999999997</v>
      </c>
      <c r="Q209" s="3">
        <f t="shared" si="35"/>
        <v>1.9118999999999993</v>
      </c>
      <c r="R209" s="3">
        <f t="shared" si="36"/>
        <v>2.2579700000000003</v>
      </c>
      <c r="S209" s="3">
        <f t="shared" si="37"/>
        <v>0.51239999999999952</v>
      </c>
      <c r="T209" s="3">
        <f t="shared" si="38"/>
        <v>0.85847000000000051</v>
      </c>
      <c r="U209" s="3">
        <f t="shared" si="39"/>
        <v>0.34607000000000099</v>
      </c>
    </row>
    <row r="210" spans="1:21" x14ac:dyDescent="0.25">
      <c r="A210" s="3">
        <v>1.23766250321903E+18</v>
      </c>
      <c r="B210" s="3">
        <v>236.69649999999999</v>
      </c>
      <c r="C210" s="3">
        <v>35.871439000000002</v>
      </c>
      <c r="D210" s="3">
        <v>0.23584040000000001</v>
      </c>
      <c r="E210" s="3">
        <v>2.3493942333779922</v>
      </c>
      <c r="F210" s="3">
        <v>70752.12</v>
      </c>
      <c r="G210" s="3">
        <v>22.641490000000001</v>
      </c>
      <c r="H210" s="3">
        <v>19.237349999999999</v>
      </c>
      <c r="I210" s="3">
        <v>17.83785</v>
      </c>
      <c r="J210" s="3">
        <v>17.32545</v>
      </c>
      <c r="K210" s="3">
        <v>16.979379999999999</v>
      </c>
      <c r="L210" s="3">
        <f t="shared" si="30"/>
        <v>3.4041400000000017</v>
      </c>
      <c r="M210" s="3">
        <f t="shared" si="31"/>
        <v>4.8036400000000015</v>
      </c>
      <c r="N210" s="3">
        <f t="shared" si="32"/>
        <v>5.316040000000001</v>
      </c>
      <c r="O210" s="3">
        <f t="shared" si="33"/>
        <v>5.662110000000002</v>
      </c>
      <c r="P210" s="3">
        <f t="shared" si="34"/>
        <v>1.3994999999999997</v>
      </c>
      <c r="Q210" s="3">
        <f t="shared" si="35"/>
        <v>1.9118999999999993</v>
      </c>
      <c r="R210" s="3">
        <f t="shared" si="36"/>
        <v>2.2579700000000003</v>
      </c>
      <c r="S210" s="3">
        <f t="shared" si="37"/>
        <v>0.51239999999999952</v>
      </c>
      <c r="T210" s="3">
        <f t="shared" si="38"/>
        <v>0.85847000000000051</v>
      </c>
      <c r="U210" s="3">
        <f t="shared" si="39"/>
        <v>0.34607000000000099</v>
      </c>
    </row>
    <row r="211" spans="1:21" x14ac:dyDescent="0.25">
      <c r="A211" s="3">
        <v>1.2376624731543301E+18</v>
      </c>
      <c r="B211" s="3">
        <v>236.62612999999999</v>
      </c>
      <c r="C211" s="3">
        <v>35.709646999999997</v>
      </c>
      <c r="D211" s="3">
        <v>0.23622180000000001</v>
      </c>
      <c r="E211" s="3">
        <v>2.723286340152868</v>
      </c>
      <c r="F211" s="3">
        <v>70866.540000000008</v>
      </c>
      <c r="G211" s="3">
        <v>21.533290000000001</v>
      </c>
      <c r="H211" s="3">
        <v>19.204920000000001</v>
      </c>
      <c r="I211" s="3">
        <v>17.867730000000002</v>
      </c>
      <c r="J211" s="3">
        <v>17.30771</v>
      </c>
      <c r="K211" s="3">
        <v>16.984739999999999</v>
      </c>
      <c r="L211" s="3">
        <f t="shared" si="30"/>
        <v>2.3283699999999996</v>
      </c>
      <c r="M211" s="3">
        <f t="shared" si="31"/>
        <v>3.6655599999999993</v>
      </c>
      <c r="N211" s="3">
        <f t="shared" si="32"/>
        <v>4.2255800000000008</v>
      </c>
      <c r="O211" s="3">
        <f t="shared" si="33"/>
        <v>4.5485500000000023</v>
      </c>
      <c r="P211" s="3">
        <f t="shared" si="34"/>
        <v>1.3371899999999997</v>
      </c>
      <c r="Q211" s="3">
        <f t="shared" si="35"/>
        <v>1.8972100000000012</v>
      </c>
      <c r="R211" s="3">
        <f t="shared" si="36"/>
        <v>2.2201800000000027</v>
      </c>
      <c r="S211" s="3">
        <f t="shared" si="37"/>
        <v>0.56002000000000152</v>
      </c>
      <c r="T211" s="3">
        <f t="shared" si="38"/>
        <v>0.88299000000000305</v>
      </c>
      <c r="U211" s="3">
        <f t="shared" si="39"/>
        <v>0.32297000000000153</v>
      </c>
    </row>
    <row r="212" spans="1:21" x14ac:dyDescent="0.25">
      <c r="A212" s="3">
        <v>1.2376625037557701E+18</v>
      </c>
      <c r="B212" s="3">
        <v>236.66681</v>
      </c>
      <c r="C212" s="3">
        <v>36.425516000000002</v>
      </c>
      <c r="D212" s="3">
        <v>0.2362708</v>
      </c>
      <c r="E212" s="3">
        <v>2.5023759360267031</v>
      </c>
      <c r="F212" s="3">
        <v>70881.240000000005</v>
      </c>
      <c r="G212" s="3">
        <v>21.173120000000001</v>
      </c>
      <c r="H212" s="3">
        <v>18.962240000000001</v>
      </c>
      <c r="I212" s="3">
        <v>17.56532</v>
      </c>
      <c r="J212" s="3">
        <v>17.035730000000001</v>
      </c>
      <c r="K212" s="3">
        <v>16.704519999999999</v>
      </c>
      <c r="L212" s="3">
        <f t="shared" si="30"/>
        <v>2.2108799999999995</v>
      </c>
      <c r="M212" s="3">
        <f t="shared" si="31"/>
        <v>3.607800000000001</v>
      </c>
      <c r="N212" s="3">
        <f t="shared" si="32"/>
        <v>4.1373899999999999</v>
      </c>
      <c r="O212" s="3">
        <f t="shared" si="33"/>
        <v>4.4686000000000021</v>
      </c>
      <c r="P212" s="3">
        <f t="shared" si="34"/>
        <v>1.3969200000000015</v>
      </c>
      <c r="Q212" s="3">
        <f t="shared" si="35"/>
        <v>1.9265100000000004</v>
      </c>
      <c r="R212" s="3">
        <f t="shared" si="36"/>
        <v>2.2577200000000026</v>
      </c>
      <c r="S212" s="3">
        <f t="shared" si="37"/>
        <v>0.52958999999999889</v>
      </c>
      <c r="T212" s="3">
        <f t="shared" si="38"/>
        <v>0.86080000000000112</v>
      </c>
      <c r="U212" s="3">
        <f t="shared" si="39"/>
        <v>0.33121000000000222</v>
      </c>
    </row>
    <row r="213" spans="1:21" x14ac:dyDescent="0.25">
      <c r="A213" s="3">
        <v>1.2376625032190999E+18</v>
      </c>
      <c r="B213" s="3">
        <v>236.73854</v>
      </c>
      <c r="C213" s="3">
        <v>35.800010999999998</v>
      </c>
      <c r="D213" s="3">
        <v>0.23821419999999999</v>
      </c>
      <c r="E213" s="3">
        <v>2.7237224865667025</v>
      </c>
      <c r="F213" s="3">
        <v>71464.259999999995</v>
      </c>
      <c r="G213" s="3">
        <v>21.03304</v>
      </c>
      <c r="H213" s="3">
        <v>18.550550000000001</v>
      </c>
      <c r="I213" s="3">
        <v>17.10763</v>
      </c>
      <c r="J213" s="3">
        <v>16.586120000000001</v>
      </c>
      <c r="K213" s="3">
        <v>16.244949999999999</v>
      </c>
      <c r="L213" s="3">
        <f t="shared" si="30"/>
        <v>2.4824899999999985</v>
      </c>
      <c r="M213" s="3">
        <f t="shared" si="31"/>
        <v>3.9254099999999994</v>
      </c>
      <c r="N213" s="3">
        <f t="shared" si="32"/>
        <v>4.4469199999999987</v>
      </c>
      <c r="O213" s="3">
        <f t="shared" si="33"/>
        <v>4.7880900000000004</v>
      </c>
      <c r="P213" s="3">
        <f t="shared" si="34"/>
        <v>1.4429200000000009</v>
      </c>
      <c r="Q213" s="3">
        <f t="shared" si="35"/>
        <v>1.9644300000000001</v>
      </c>
      <c r="R213" s="3">
        <f t="shared" si="36"/>
        <v>2.3056000000000019</v>
      </c>
      <c r="S213" s="3">
        <f t="shared" si="37"/>
        <v>0.52150999999999925</v>
      </c>
      <c r="T213" s="3">
        <f t="shared" si="38"/>
        <v>0.862680000000001</v>
      </c>
      <c r="U213" s="3">
        <f t="shared" si="39"/>
        <v>0.34117000000000175</v>
      </c>
    </row>
    <row r="214" spans="1:21" x14ac:dyDescent="0.25">
      <c r="A214" s="3">
        <v>1.23766247422781E+18</v>
      </c>
      <c r="B214" s="3">
        <v>236.69372000000001</v>
      </c>
      <c r="C214" s="3">
        <v>36.614590999999997</v>
      </c>
      <c r="D214" s="3">
        <v>0.23877319999999999</v>
      </c>
      <c r="E214" s="3">
        <v>3.3492302674205598</v>
      </c>
      <c r="F214" s="3">
        <v>71631.959999999992</v>
      </c>
      <c r="G214" s="3">
        <v>22.06165</v>
      </c>
      <c r="H214" s="3">
        <v>19.59714</v>
      </c>
      <c r="I214" s="3">
        <v>18.122330000000002</v>
      </c>
      <c r="J214" s="3">
        <v>17.59787</v>
      </c>
      <c r="K214" s="3">
        <v>17.21688</v>
      </c>
      <c r="L214" s="3">
        <f t="shared" si="30"/>
        <v>2.4645100000000006</v>
      </c>
      <c r="M214" s="3">
        <f t="shared" si="31"/>
        <v>3.9393199999999986</v>
      </c>
      <c r="N214" s="3">
        <f t="shared" si="32"/>
        <v>4.4637799999999999</v>
      </c>
      <c r="O214" s="3">
        <f t="shared" si="33"/>
        <v>4.8447700000000005</v>
      </c>
      <c r="P214" s="3">
        <f t="shared" si="34"/>
        <v>1.474809999999998</v>
      </c>
      <c r="Q214" s="3">
        <f t="shared" si="35"/>
        <v>1.9992699999999992</v>
      </c>
      <c r="R214" s="3">
        <f t="shared" si="36"/>
        <v>2.3802599999999998</v>
      </c>
      <c r="S214" s="3">
        <f t="shared" si="37"/>
        <v>0.52446000000000126</v>
      </c>
      <c r="T214" s="3">
        <f t="shared" si="38"/>
        <v>0.90545000000000186</v>
      </c>
      <c r="U214" s="3">
        <f t="shared" si="39"/>
        <v>0.38099000000000061</v>
      </c>
    </row>
    <row r="215" spans="1:21" x14ac:dyDescent="0.25">
      <c r="A215" s="3">
        <v>1.2376624742279401E+18</v>
      </c>
      <c r="B215" s="3">
        <v>236.82987</v>
      </c>
      <c r="C215" s="3">
        <v>36.408512000000002</v>
      </c>
      <c r="D215" s="3">
        <v>0.2395236</v>
      </c>
      <c r="E215" s="3">
        <v>3.0100521645127265</v>
      </c>
      <c r="F215" s="3">
        <v>71857.08</v>
      </c>
      <c r="G215" s="3">
        <v>21.753969999999999</v>
      </c>
      <c r="H215" s="3">
        <v>19.316009999999999</v>
      </c>
      <c r="I215" s="3">
        <v>17.90597</v>
      </c>
      <c r="J215" s="3">
        <v>17.38578</v>
      </c>
      <c r="K215" s="3">
        <v>17.071909999999999</v>
      </c>
      <c r="L215" s="3">
        <f t="shared" si="30"/>
        <v>2.4379600000000003</v>
      </c>
      <c r="M215" s="3">
        <f t="shared" si="31"/>
        <v>3.847999999999999</v>
      </c>
      <c r="N215" s="3">
        <f t="shared" si="32"/>
        <v>4.3681899999999985</v>
      </c>
      <c r="O215" s="3">
        <f t="shared" si="33"/>
        <v>4.6820599999999999</v>
      </c>
      <c r="P215" s="3">
        <f t="shared" si="34"/>
        <v>1.4100399999999986</v>
      </c>
      <c r="Q215" s="3">
        <f t="shared" si="35"/>
        <v>1.9302299999999981</v>
      </c>
      <c r="R215" s="3">
        <f t="shared" si="36"/>
        <v>2.2440999999999995</v>
      </c>
      <c r="S215" s="3">
        <f t="shared" si="37"/>
        <v>0.52018999999999949</v>
      </c>
      <c r="T215" s="3">
        <f t="shared" si="38"/>
        <v>0.83406000000000091</v>
      </c>
      <c r="U215" s="3">
        <f t="shared" si="39"/>
        <v>0.31387000000000143</v>
      </c>
    </row>
    <row r="216" spans="1:21" x14ac:dyDescent="0.25">
      <c r="A216" s="3">
        <v>1.2376624736909299E+18</v>
      </c>
      <c r="B216" s="3">
        <v>236.43597</v>
      </c>
      <c r="C216" s="3">
        <v>36.348287999999997</v>
      </c>
      <c r="D216" s="3">
        <v>0.25721880000000003</v>
      </c>
      <c r="E216" s="3">
        <v>1.5313769877138899</v>
      </c>
      <c r="F216" s="3">
        <v>77165.640000000014</v>
      </c>
      <c r="G216" s="3">
        <v>21.701339999999998</v>
      </c>
      <c r="H216" s="3">
        <v>19.098400000000002</v>
      </c>
      <c r="I216" s="3">
        <v>17.778369999999999</v>
      </c>
      <c r="J216" s="3">
        <v>17.242470000000001</v>
      </c>
      <c r="K216" s="3">
        <v>16.855180000000001</v>
      </c>
      <c r="L216" s="3">
        <f t="shared" si="30"/>
        <v>2.6029399999999967</v>
      </c>
      <c r="M216" s="3">
        <f t="shared" si="31"/>
        <v>3.9229699999999994</v>
      </c>
      <c r="N216" s="3">
        <f t="shared" si="32"/>
        <v>4.4588699999999974</v>
      </c>
      <c r="O216" s="3">
        <f t="shared" si="33"/>
        <v>4.8461599999999976</v>
      </c>
      <c r="P216" s="3">
        <f t="shared" si="34"/>
        <v>1.3200300000000027</v>
      </c>
      <c r="Q216" s="3">
        <f t="shared" si="35"/>
        <v>1.8559300000000007</v>
      </c>
      <c r="R216" s="3">
        <f t="shared" si="36"/>
        <v>2.2432200000000009</v>
      </c>
      <c r="S216" s="3">
        <f t="shared" si="37"/>
        <v>0.53589999999999804</v>
      </c>
      <c r="T216" s="3">
        <f t="shared" si="38"/>
        <v>0.92318999999999818</v>
      </c>
      <c r="U216" s="3">
        <f t="shared" si="39"/>
        <v>0.38729000000000013</v>
      </c>
    </row>
    <row r="217" spans="1:21" x14ac:dyDescent="0.25">
      <c r="A217" s="3">
        <v>1.23766247369087E+18</v>
      </c>
      <c r="B217" s="3">
        <v>236.25602000000001</v>
      </c>
      <c r="C217" s="3">
        <v>36.389923000000003</v>
      </c>
      <c r="D217" s="3">
        <v>0.25745659999999998</v>
      </c>
      <c r="E217" s="3">
        <v>1.5141490291883677</v>
      </c>
      <c r="F217" s="3">
        <v>77236.98</v>
      </c>
      <c r="G217" s="3">
        <v>21.032430000000002</v>
      </c>
      <c r="H217" s="3">
        <v>19.095949999999998</v>
      </c>
      <c r="I217" s="3">
        <v>17.735779999999998</v>
      </c>
      <c r="J217" s="3">
        <v>17.290299999999998</v>
      </c>
      <c r="K217" s="3">
        <v>16.950520000000001</v>
      </c>
      <c r="L217" s="3">
        <f t="shared" si="30"/>
        <v>1.9364800000000031</v>
      </c>
      <c r="M217" s="3">
        <f t="shared" si="31"/>
        <v>3.2966500000000032</v>
      </c>
      <c r="N217" s="3">
        <f t="shared" si="32"/>
        <v>3.7421300000000031</v>
      </c>
      <c r="O217" s="3">
        <f t="shared" si="33"/>
        <v>4.0819100000000006</v>
      </c>
      <c r="P217" s="3">
        <f t="shared" si="34"/>
        <v>1.3601700000000001</v>
      </c>
      <c r="Q217" s="3">
        <f t="shared" si="35"/>
        <v>1.80565</v>
      </c>
      <c r="R217" s="3">
        <f t="shared" si="36"/>
        <v>2.1454299999999975</v>
      </c>
      <c r="S217" s="3">
        <f t="shared" si="37"/>
        <v>0.44547999999999988</v>
      </c>
      <c r="T217" s="3">
        <f t="shared" si="38"/>
        <v>0.7852599999999974</v>
      </c>
      <c r="U217" s="3">
        <f t="shared" si="39"/>
        <v>0.33977999999999753</v>
      </c>
    </row>
    <row r="218" spans="1:21" x14ac:dyDescent="0.25">
      <c r="A218" s="3">
        <v>1.2376624736909299E+18</v>
      </c>
      <c r="B218" s="3">
        <v>236.41346999999999</v>
      </c>
      <c r="C218" s="3">
        <v>36.29289</v>
      </c>
      <c r="D218" s="3">
        <v>0.26477699999999998</v>
      </c>
      <c r="E218" s="3">
        <v>1.2295650989255309</v>
      </c>
      <c r="F218" s="3">
        <v>79433.099999999991</v>
      </c>
      <c r="G218" s="3">
        <v>22.3401</v>
      </c>
      <c r="H218" s="3">
        <v>19.865780000000001</v>
      </c>
      <c r="I218" s="3">
        <v>18.303170000000001</v>
      </c>
      <c r="J218" s="3">
        <v>17.738309999999998</v>
      </c>
      <c r="K218" s="3">
        <v>17.3659</v>
      </c>
      <c r="L218" s="3">
        <f t="shared" si="30"/>
        <v>2.4743199999999987</v>
      </c>
      <c r="M218" s="3">
        <f t="shared" si="31"/>
        <v>4.0369299999999981</v>
      </c>
      <c r="N218" s="3">
        <f t="shared" si="32"/>
        <v>4.6017900000000012</v>
      </c>
      <c r="O218" s="3">
        <f t="shared" si="33"/>
        <v>4.9741999999999997</v>
      </c>
      <c r="P218" s="3">
        <f t="shared" si="34"/>
        <v>1.5626099999999994</v>
      </c>
      <c r="Q218" s="3">
        <f t="shared" si="35"/>
        <v>2.1274700000000024</v>
      </c>
      <c r="R218" s="3">
        <f t="shared" si="36"/>
        <v>2.499880000000001</v>
      </c>
      <c r="S218" s="3">
        <f t="shared" si="37"/>
        <v>0.56486000000000303</v>
      </c>
      <c r="T218" s="3">
        <f t="shared" si="38"/>
        <v>0.9372700000000016</v>
      </c>
      <c r="U218" s="3">
        <f t="shared" si="39"/>
        <v>0.37240999999999858</v>
      </c>
    </row>
    <row r="219" spans="1:21" x14ac:dyDescent="0.25">
      <c r="A219" s="3">
        <v>1.2376624736909299E+18</v>
      </c>
      <c r="B219" s="3">
        <v>236.41346999999999</v>
      </c>
      <c r="C219" s="3">
        <v>36.29289</v>
      </c>
      <c r="D219" s="3">
        <v>0.2648836</v>
      </c>
      <c r="E219" s="3">
        <v>1.2295650989255309</v>
      </c>
      <c r="F219" s="3">
        <v>79465.08</v>
      </c>
      <c r="G219" s="3">
        <v>22.3401</v>
      </c>
      <c r="H219" s="3">
        <v>19.865780000000001</v>
      </c>
      <c r="I219" s="3">
        <v>18.303170000000001</v>
      </c>
      <c r="J219" s="3">
        <v>17.738309999999998</v>
      </c>
      <c r="K219" s="3">
        <v>17.3659</v>
      </c>
      <c r="L219" s="3">
        <f t="shared" si="30"/>
        <v>2.4743199999999987</v>
      </c>
      <c r="M219" s="3">
        <f t="shared" si="31"/>
        <v>4.0369299999999981</v>
      </c>
      <c r="N219" s="3">
        <f t="shared" si="32"/>
        <v>4.6017900000000012</v>
      </c>
      <c r="O219" s="3">
        <f t="shared" si="33"/>
        <v>4.9741999999999997</v>
      </c>
      <c r="P219" s="3">
        <f t="shared" si="34"/>
        <v>1.5626099999999994</v>
      </c>
      <c r="Q219" s="3">
        <f t="shared" si="35"/>
        <v>2.1274700000000024</v>
      </c>
      <c r="R219" s="3">
        <f t="shared" si="36"/>
        <v>2.499880000000001</v>
      </c>
      <c r="S219" s="3">
        <f t="shared" si="37"/>
        <v>0.56486000000000303</v>
      </c>
      <c r="T219" s="3">
        <f t="shared" si="38"/>
        <v>0.9372700000000016</v>
      </c>
      <c r="U219" s="3">
        <f t="shared" si="39"/>
        <v>0.37240999999999858</v>
      </c>
    </row>
    <row r="220" spans="1:21" x14ac:dyDescent="0.25">
      <c r="A220" s="3">
        <v>1.2376625032189701E+18</v>
      </c>
      <c r="B220" s="3">
        <v>236.53385</v>
      </c>
      <c r="C220" s="3">
        <v>35.987147</v>
      </c>
      <c r="D220" s="3">
        <v>0.26629720000000001</v>
      </c>
      <c r="E220" s="3">
        <v>1.4189031693771623</v>
      </c>
      <c r="F220" s="3">
        <v>79889.16</v>
      </c>
      <c r="G220" s="3">
        <v>22.330480000000001</v>
      </c>
      <c r="H220" s="3">
        <v>19.42475</v>
      </c>
      <c r="I220" s="3">
        <v>17.964970000000001</v>
      </c>
      <c r="J220" s="3">
        <v>17.422840000000001</v>
      </c>
      <c r="K220" s="3">
        <v>17.060220000000001</v>
      </c>
      <c r="L220" s="3">
        <f t="shared" si="30"/>
        <v>2.9057300000000019</v>
      </c>
      <c r="M220" s="3">
        <f t="shared" si="31"/>
        <v>4.3655100000000004</v>
      </c>
      <c r="N220" s="3">
        <f t="shared" si="32"/>
        <v>4.9076400000000007</v>
      </c>
      <c r="O220" s="3">
        <f t="shared" si="33"/>
        <v>5.2702600000000004</v>
      </c>
      <c r="P220" s="3">
        <f t="shared" si="34"/>
        <v>1.4597799999999985</v>
      </c>
      <c r="Q220" s="3">
        <f t="shared" si="35"/>
        <v>2.0019099999999987</v>
      </c>
      <c r="R220" s="3">
        <f t="shared" si="36"/>
        <v>2.3645299999999985</v>
      </c>
      <c r="S220" s="3">
        <f t="shared" si="37"/>
        <v>0.54213000000000022</v>
      </c>
      <c r="T220" s="3">
        <f t="shared" si="38"/>
        <v>0.90474999999999994</v>
      </c>
      <c r="U220" s="3">
        <f t="shared" si="39"/>
        <v>0.36261999999999972</v>
      </c>
    </row>
    <row r="221" spans="1:21" x14ac:dyDescent="0.25">
      <c r="A221" s="3">
        <v>1.23766250321903E+18</v>
      </c>
      <c r="B221" s="3">
        <v>236.61454000000001</v>
      </c>
      <c r="C221" s="3">
        <v>35.767434000000002</v>
      </c>
      <c r="D221" s="3">
        <v>0.28825440000000002</v>
      </c>
      <c r="E221" s="3">
        <v>2.4495066954927753</v>
      </c>
      <c r="F221" s="3">
        <v>86476.32</v>
      </c>
      <c r="G221" s="3">
        <v>23.145340000000001</v>
      </c>
      <c r="H221" s="3">
        <v>19.924330000000001</v>
      </c>
      <c r="I221" s="3">
        <v>18.338010000000001</v>
      </c>
      <c r="J221" s="3">
        <v>17.771170000000001</v>
      </c>
      <c r="K221" s="3">
        <v>17.420449999999999</v>
      </c>
      <c r="L221" s="3">
        <f t="shared" si="30"/>
        <v>3.2210099999999997</v>
      </c>
      <c r="M221" s="3">
        <f t="shared" si="31"/>
        <v>4.8073300000000003</v>
      </c>
      <c r="N221" s="3">
        <f t="shared" si="32"/>
        <v>5.3741699999999994</v>
      </c>
      <c r="O221" s="3">
        <f t="shared" si="33"/>
        <v>5.724890000000002</v>
      </c>
      <c r="P221" s="3">
        <f t="shared" si="34"/>
        <v>1.5863200000000006</v>
      </c>
      <c r="Q221" s="3">
        <f t="shared" si="35"/>
        <v>2.1531599999999997</v>
      </c>
      <c r="R221" s="3">
        <f t="shared" si="36"/>
        <v>2.5038800000000023</v>
      </c>
      <c r="S221" s="3">
        <f t="shared" si="37"/>
        <v>0.56683999999999912</v>
      </c>
      <c r="T221" s="3">
        <f t="shared" si="38"/>
        <v>0.91756000000000171</v>
      </c>
      <c r="U221" s="3">
        <f t="shared" si="39"/>
        <v>0.35072000000000259</v>
      </c>
    </row>
    <row r="222" spans="1:21" x14ac:dyDescent="0.25">
      <c r="A222" s="3">
        <v>1.2376625032190999E+18</v>
      </c>
      <c r="B222" s="3">
        <v>236.73940999999999</v>
      </c>
      <c r="C222" s="3">
        <v>35.715127000000003</v>
      </c>
      <c r="D222" s="3">
        <v>0.2883522</v>
      </c>
      <c r="E222" s="3">
        <v>3.0298412618793482</v>
      </c>
      <c r="F222" s="3">
        <v>86505.66</v>
      </c>
      <c r="G222" s="3">
        <v>22.473040000000001</v>
      </c>
      <c r="H222" s="3">
        <v>20.488620000000001</v>
      </c>
      <c r="I222" s="3">
        <v>18.79982</v>
      </c>
      <c r="J222" s="3">
        <v>18.185220000000001</v>
      </c>
      <c r="K222" s="3">
        <v>17.845050000000001</v>
      </c>
      <c r="L222" s="3">
        <f t="shared" si="30"/>
        <v>1.9844200000000001</v>
      </c>
      <c r="M222" s="3">
        <f t="shared" si="31"/>
        <v>3.6732200000000006</v>
      </c>
      <c r="N222" s="3">
        <f t="shared" si="32"/>
        <v>4.28782</v>
      </c>
      <c r="O222" s="3">
        <f t="shared" si="33"/>
        <v>4.6279900000000005</v>
      </c>
      <c r="P222" s="3">
        <f t="shared" si="34"/>
        <v>1.6888000000000005</v>
      </c>
      <c r="Q222" s="3">
        <f t="shared" si="35"/>
        <v>2.3033999999999999</v>
      </c>
      <c r="R222" s="3">
        <f t="shared" si="36"/>
        <v>2.6435700000000004</v>
      </c>
      <c r="S222" s="3">
        <f t="shared" si="37"/>
        <v>0.61459999999999937</v>
      </c>
      <c r="T222" s="3">
        <f t="shared" si="38"/>
        <v>0.9547699999999999</v>
      </c>
      <c r="U222" s="3">
        <f t="shared" si="39"/>
        <v>0.34017000000000053</v>
      </c>
    </row>
    <row r="223" spans="1:21" x14ac:dyDescent="0.25">
      <c r="A223" s="3">
        <v>1.23766233786351E+18</v>
      </c>
      <c r="B223" s="3">
        <v>235.69716</v>
      </c>
      <c r="C223" s="3">
        <v>35.924909999999997</v>
      </c>
      <c r="D223" s="3">
        <v>0.29949320000000001</v>
      </c>
      <c r="E223" s="3">
        <v>2.594359211541311</v>
      </c>
      <c r="F223" s="3">
        <v>89847.96</v>
      </c>
      <c r="G223" s="3">
        <v>21.568899999999999</v>
      </c>
      <c r="H223" s="3">
        <v>19.894010000000002</v>
      </c>
      <c r="I223" s="3">
        <v>18.33914</v>
      </c>
      <c r="J223" s="3">
        <v>17.741440000000001</v>
      </c>
      <c r="K223" s="3">
        <v>17.425999999999998</v>
      </c>
      <c r="L223" s="3">
        <f t="shared" si="30"/>
        <v>1.6748899999999978</v>
      </c>
      <c r="M223" s="3">
        <f t="shared" si="31"/>
        <v>3.2297599999999989</v>
      </c>
      <c r="N223" s="3">
        <f t="shared" si="32"/>
        <v>3.8274599999999985</v>
      </c>
      <c r="O223" s="3">
        <f t="shared" si="33"/>
        <v>4.1429000000000009</v>
      </c>
      <c r="P223" s="3">
        <f t="shared" si="34"/>
        <v>1.5548700000000011</v>
      </c>
      <c r="Q223" s="3">
        <f t="shared" si="35"/>
        <v>2.1525700000000008</v>
      </c>
      <c r="R223" s="3">
        <f t="shared" si="36"/>
        <v>2.4680100000000031</v>
      </c>
      <c r="S223" s="3">
        <f t="shared" si="37"/>
        <v>0.59769999999999968</v>
      </c>
      <c r="T223" s="3">
        <f t="shared" si="38"/>
        <v>0.91314000000000206</v>
      </c>
      <c r="U223" s="3">
        <f t="shared" si="39"/>
        <v>0.31544000000000239</v>
      </c>
    </row>
    <row r="224" spans="1:21" x14ac:dyDescent="0.25">
      <c r="A224" s="3">
        <v>1.2376614659861299E+18</v>
      </c>
      <c r="B224" s="3">
        <v>235.96209999999999</v>
      </c>
      <c r="C224" s="3">
        <v>35.962665999999999</v>
      </c>
      <c r="D224" s="3">
        <v>0.30099890000000001</v>
      </c>
      <c r="E224" s="3">
        <v>1.470439522870276</v>
      </c>
      <c r="F224" s="3">
        <v>90299.67</v>
      </c>
      <c r="G224" s="3">
        <v>22.119679999999999</v>
      </c>
      <c r="H224" s="3">
        <v>19.990970000000001</v>
      </c>
      <c r="I224" s="3">
        <v>18.36655</v>
      </c>
      <c r="J224" s="3">
        <v>17.77176</v>
      </c>
      <c r="K224" s="3">
        <v>17.406330000000001</v>
      </c>
      <c r="L224" s="3">
        <f t="shared" si="30"/>
        <v>2.1287099999999981</v>
      </c>
      <c r="M224" s="3">
        <f t="shared" si="31"/>
        <v>3.7531299999999987</v>
      </c>
      <c r="N224" s="3">
        <f t="shared" si="32"/>
        <v>4.3479199999999985</v>
      </c>
      <c r="O224" s="3">
        <f t="shared" si="33"/>
        <v>4.7133499999999984</v>
      </c>
      <c r="P224" s="3">
        <f t="shared" si="34"/>
        <v>1.6244200000000006</v>
      </c>
      <c r="Q224" s="3">
        <f t="shared" si="35"/>
        <v>2.2192100000000003</v>
      </c>
      <c r="R224" s="3">
        <f t="shared" si="36"/>
        <v>2.5846400000000003</v>
      </c>
      <c r="S224" s="3">
        <f t="shared" si="37"/>
        <v>0.59478999999999971</v>
      </c>
      <c r="T224" s="3">
        <f t="shared" si="38"/>
        <v>0.96021999999999963</v>
      </c>
      <c r="U224" s="3">
        <f t="shared" si="39"/>
        <v>0.36542999999999992</v>
      </c>
    </row>
    <row r="225" spans="1:21" x14ac:dyDescent="0.25">
      <c r="A225" s="3">
        <v>1.23766247422787E+18</v>
      </c>
      <c r="B225" s="3">
        <v>236.78161</v>
      </c>
      <c r="C225" s="3">
        <v>36.562370999999999</v>
      </c>
      <c r="D225" s="3">
        <v>0.30350939999999998</v>
      </c>
      <c r="E225" s="3">
        <v>3.3758356127274607</v>
      </c>
      <c r="F225" s="3">
        <v>91052.819999999992</v>
      </c>
      <c r="G225" s="3">
        <v>18.97982</v>
      </c>
      <c r="H225" s="3">
        <v>18.734290000000001</v>
      </c>
      <c r="I225" s="3">
        <v>18.302890000000001</v>
      </c>
      <c r="J225" s="3">
        <v>18.189440000000001</v>
      </c>
      <c r="K225" s="3">
        <v>17.768339999999998</v>
      </c>
      <c r="L225" s="3">
        <f t="shared" si="30"/>
        <v>0.24552999999999869</v>
      </c>
      <c r="M225" s="3">
        <f t="shared" si="31"/>
        <v>0.6769299999999987</v>
      </c>
      <c r="N225" s="3">
        <f t="shared" si="32"/>
        <v>0.79037999999999897</v>
      </c>
      <c r="O225" s="3">
        <f t="shared" si="33"/>
        <v>1.2114800000000017</v>
      </c>
      <c r="P225" s="3">
        <f t="shared" si="34"/>
        <v>0.43140000000000001</v>
      </c>
      <c r="Q225" s="3">
        <f t="shared" si="35"/>
        <v>0.54485000000000028</v>
      </c>
      <c r="R225" s="3">
        <f t="shared" si="36"/>
        <v>0.96595000000000297</v>
      </c>
      <c r="S225" s="3">
        <f t="shared" si="37"/>
        <v>0.11345000000000027</v>
      </c>
      <c r="T225" s="3">
        <f t="shared" si="38"/>
        <v>0.53455000000000297</v>
      </c>
      <c r="U225" s="3">
        <f t="shared" si="39"/>
        <v>0.42110000000000269</v>
      </c>
    </row>
    <row r="226" spans="1:21" x14ac:dyDescent="0.25">
      <c r="A226" s="3">
        <v>1.2376623378635799E+18</v>
      </c>
      <c r="B226" s="3">
        <v>235.74054000000001</v>
      </c>
      <c r="C226" s="3">
        <v>35.712043000000001</v>
      </c>
      <c r="D226" s="3">
        <v>0.30387370000000002</v>
      </c>
      <c r="E226" s="3">
        <v>3.0790318178328011</v>
      </c>
      <c r="F226" s="3">
        <v>91162.11</v>
      </c>
      <c r="G226" s="3">
        <v>21.784700000000001</v>
      </c>
      <c r="H226" s="3">
        <v>19.99558</v>
      </c>
      <c r="I226" s="3">
        <v>18.355609999999999</v>
      </c>
      <c r="J226" s="3">
        <v>17.773820000000001</v>
      </c>
      <c r="K226" s="3">
        <v>17.408000000000001</v>
      </c>
      <c r="L226" s="3">
        <f t="shared" si="30"/>
        <v>1.7891200000000005</v>
      </c>
      <c r="M226" s="3">
        <f t="shared" si="31"/>
        <v>3.4290900000000022</v>
      </c>
      <c r="N226" s="3">
        <f t="shared" si="32"/>
        <v>4.0108800000000002</v>
      </c>
      <c r="O226" s="3">
        <f t="shared" si="33"/>
        <v>4.3766999999999996</v>
      </c>
      <c r="P226" s="3">
        <f t="shared" si="34"/>
        <v>1.6399700000000017</v>
      </c>
      <c r="Q226" s="3">
        <f t="shared" si="35"/>
        <v>2.2217599999999997</v>
      </c>
      <c r="R226" s="3">
        <f t="shared" si="36"/>
        <v>2.5875799999999991</v>
      </c>
      <c r="S226" s="3">
        <f t="shared" si="37"/>
        <v>0.58178999999999803</v>
      </c>
      <c r="T226" s="3">
        <f t="shared" si="38"/>
        <v>0.9476099999999974</v>
      </c>
      <c r="U226" s="3">
        <f t="shared" si="39"/>
        <v>0.36581999999999937</v>
      </c>
    </row>
    <row r="227" spans="1:21" x14ac:dyDescent="0.25">
      <c r="A227" s="3">
        <v>1.2376625032190999E+18</v>
      </c>
      <c r="B227" s="3">
        <v>236.79615000000001</v>
      </c>
      <c r="C227" s="3">
        <v>35.734476000000001</v>
      </c>
      <c r="D227" s="3">
        <v>0.30845939999999999</v>
      </c>
      <c r="E227" s="3">
        <v>3.1426523487419309</v>
      </c>
      <c r="F227" s="3">
        <v>92537.819999999992</v>
      </c>
      <c r="G227" s="3">
        <v>22.621980000000001</v>
      </c>
      <c r="H227" s="3">
        <v>19.971710000000002</v>
      </c>
      <c r="I227" s="3">
        <v>18.33886</v>
      </c>
      <c r="J227" s="3">
        <v>17.791530000000002</v>
      </c>
      <c r="K227" s="3">
        <v>17.381509999999999</v>
      </c>
      <c r="L227" s="3">
        <f t="shared" si="30"/>
        <v>2.650269999999999</v>
      </c>
      <c r="M227" s="3">
        <f t="shared" si="31"/>
        <v>4.2831200000000003</v>
      </c>
      <c r="N227" s="3">
        <f t="shared" si="32"/>
        <v>4.830449999999999</v>
      </c>
      <c r="O227" s="3">
        <f t="shared" si="33"/>
        <v>5.240470000000002</v>
      </c>
      <c r="P227" s="3">
        <f t="shared" si="34"/>
        <v>1.6328500000000012</v>
      </c>
      <c r="Q227" s="3">
        <f t="shared" si="35"/>
        <v>2.18018</v>
      </c>
      <c r="R227" s="3">
        <f t="shared" si="36"/>
        <v>2.5902000000000029</v>
      </c>
      <c r="S227" s="3">
        <f t="shared" si="37"/>
        <v>0.54732999999999876</v>
      </c>
      <c r="T227" s="3">
        <f t="shared" si="38"/>
        <v>0.9573500000000017</v>
      </c>
      <c r="U227" s="3">
        <f t="shared" si="39"/>
        <v>0.41002000000000294</v>
      </c>
    </row>
    <row r="228" spans="1:21" x14ac:dyDescent="0.25">
      <c r="A228" s="3">
        <v>1.2376625032189701E+18</v>
      </c>
      <c r="B228" s="3">
        <v>236.59179</v>
      </c>
      <c r="C228" s="3">
        <v>35.966366000000001</v>
      </c>
      <c r="D228" s="3">
        <v>0.31038009999999999</v>
      </c>
      <c r="E228" s="3">
        <v>1.6951361237598226</v>
      </c>
      <c r="F228" s="3">
        <v>93114.03</v>
      </c>
      <c r="G228" s="3">
        <v>24.652660000000001</v>
      </c>
      <c r="H228" s="3">
        <v>22.061589999999999</v>
      </c>
      <c r="I228" s="3">
        <v>20.233720000000002</v>
      </c>
      <c r="J228" s="3">
        <v>19.34498</v>
      </c>
      <c r="K228" s="3">
        <v>18.802820000000001</v>
      </c>
      <c r="L228" s="3">
        <f t="shared" si="30"/>
        <v>2.591070000000002</v>
      </c>
      <c r="M228" s="3">
        <f t="shared" si="31"/>
        <v>4.4189399999999992</v>
      </c>
      <c r="N228" s="3">
        <f t="shared" si="32"/>
        <v>5.3076800000000013</v>
      </c>
      <c r="O228" s="3">
        <f t="shared" si="33"/>
        <v>5.8498400000000004</v>
      </c>
      <c r="P228" s="3">
        <f t="shared" si="34"/>
        <v>1.8278699999999972</v>
      </c>
      <c r="Q228" s="3">
        <f t="shared" si="35"/>
        <v>2.7166099999999993</v>
      </c>
      <c r="R228" s="3">
        <f t="shared" si="36"/>
        <v>3.2587699999999984</v>
      </c>
      <c r="S228" s="3">
        <f t="shared" si="37"/>
        <v>0.88874000000000208</v>
      </c>
      <c r="T228" s="3">
        <f t="shared" si="38"/>
        <v>1.4309000000000012</v>
      </c>
      <c r="U228" s="3">
        <f t="shared" si="39"/>
        <v>0.54215999999999909</v>
      </c>
    </row>
    <row r="229" spans="1:21" x14ac:dyDescent="0.25">
      <c r="A229" s="3">
        <v>1.2376614659861299E+18</v>
      </c>
      <c r="B229" s="3">
        <v>235.90937</v>
      </c>
      <c r="C229" s="3">
        <v>36.018816999999999</v>
      </c>
      <c r="D229" s="3">
        <v>0.31236789999999998</v>
      </c>
      <c r="E229" s="3">
        <v>1.5477265706584447</v>
      </c>
      <c r="F229" s="3">
        <v>93710.37</v>
      </c>
      <c r="G229" s="3">
        <v>23.37021</v>
      </c>
      <c r="H229" s="3">
        <v>20.82283</v>
      </c>
      <c r="I229" s="3">
        <v>19.247910000000001</v>
      </c>
      <c r="J229" s="3">
        <v>18.61683</v>
      </c>
      <c r="K229" s="3">
        <v>18.356069999999999</v>
      </c>
      <c r="L229" s="3">
        <f t="shared" si="30"/>
        <v>2.5473800000000004</v>
      </c>
      <c r="M229" s="3">
        <f t="shared" si="31"/>
        <v>4.1222999999999992</v>
      </c>
      <c r="N229" s="3">
        <f t="shared" si="32"/>
        <v>4.7533799999999999</v>
      </c>
      <c r="O229" s="3">
        <f t="shared" si="33"/>
        <v>5.0141400000000012</v>
      </c>
      <c r="P229" s="3">
        <f t="shared" si="34"/>
        <v>1.5749199999999988</v>
      </c>
      <c r="Q229" s="3">
        <f t="shared" si="35"/>
        <v>2.2059999999999995</v>
      </c>
      <c r="R229" s="3">
        <f t="shared" si="36"/>
        <v>2.4667600000000007</v>
      </c>
      <c r="S229" s="3">
        <f t="shared" si="37"/>
        <v>0.63108000000000075</v>
      </c>
      <c r="T229" s="3">
        <f t="shared" si="38"/>
        <v>0.89184000000000196</v>
      </c>
      <c r="U229" s="3">
        <f t="shared" si="39"/>
        <v>0.26076000000000121</v>
      </c>
    </row>
    <row r="230" spans="1:21" x14ac:dyDescent="0.25">
      <c r="A230" s="3">
        <v>1.2376624736911301E+18</v>
      </c>
      <c r="B230" s="3">
        <v>236.80857</v>
      </c>
      <c r="C230" s="3">
        <v>36.059871999999999</v>
      </c>
      <c r="D230" s="3">
        <v>0.31662200000000001</v>
      </c>
      <c r="E230" s="3">
        <v>2.4681286479108087</v>
      </c>
      <c r="F230" s="3">
        <v>94986.6</v>
      </c>
      <c r="G230" s="3">
        <v>23.58652</v>
      </c>
      <c r="H230" s="3">
        <v>20.93327</v>
      </c>
      <c r="I230" s="3">
        <v>19.177499999999998</v>
      </c>
      <c r="J230" s="3">
        <v>18.53398</v>
      </c>
      <c r="K230" s="3">
        <v>18.080490000000001</v>
      </c>
      <c r="L230" s="3">
        <f t="shared" si="30"/>
        <v>2.6532499999999999</v>
      </c>
      <c r="M230" s="3">
        <f t="shared" si="31"/>
        <v>4.4090200000000017</v>
      </c>
      <c r="N230" s="3">
        <f t="shared" si="32"/>
        <v>5.0525400000000005</v>
      </c>
      <c r="O230" s="3">
        <f t="shared" si="33"/>
        <v>5.5060299999999991</v>
      </c>
      <c r="P230" s="3">
        <f t="shared" si="34"/>
        <v>1.7557700000000018</v>
      </c>
      <c r="Q230" s="3">
        <f t="shared" si="35"/>
        <v>2.3992900000000006</v>
      </c>
      <c r="R230" s="3">
        <f t="shared" si="36"/>
        <v>2.8527799999999992</v>
      </c>
      <c r="S230" s="3">
        <f t="shared" si="37"/>
        <v>0.64351999999999876</v>
      </c>
      <c r="T230" s="3">
        <f t="shared" si="38"/>
        <v>1.0970099999999974</v>
      </c>
      <c r="U230" s="3">
        <f t="shared" si="39"/>
        <v>0.45348999999999862</v>
      </c>
    </row>
    <row r="231" spans="1:21" x14ac:dyDescent="0.25">
      <c r="A231" s="3">
        <v>1.2376624736911301E+18</v>
      </c>
      <c r="B231" s="3">
        <v>236.80857</v>
      </c>
      <c r="C231" s="3">
        <v>36.059871999999999</v>
      </c>
      <c r="D231" s="3">
        <v>0.31669540000000002</v>
      </c>
      <c r="E231" s="3">
        <v>2.4681286479108087</v>
      </c>
      <c r="F231" s="3">
        <v>95008.62000000001</v>
      </c>
      <c r="G231" s="3">
        <v>23.58652</v>
      </c>
      <c r="H231" s="3">
        <v>20.93327</v>
      </c>
      <c r="I231" s="3">
        <v>19.177499999999998</v>
      </c>
      <c r="J231" s="3">
        <v>18.53398</v>
      </c>
      <c r="K231" s="3">
        <v>18.080490000000001</v>
      </c>
      <c r="L231" s="3">
        <f t="shared" si="30"/>
        <v>2.6532499999999999</v>
      </c>
      <c r="M231" s="3">
        <f t="shared" si="31"/>
        <v>4.4090200000000017</v>
      </c>
      <c r="N231" s="3">
        <f t="shared" si="32"/>
        <v>5.0525400000000005</v>
      </c>
      <c r="O231" s="3">
        <f t="shared" si="33"/>
        <v>5.5060299999999991</v>
      </c>
      <c r="P231" s="3">
        <f t="shared" si="34"/>
        <v>1.7557700000000018</v>
      </c>
      <c r="Q231" s="3">
        <f t="shared" si="35"/>
        <v>2.3992900000000006</v>
      </c>
      <c r="R231" s="3">
        <f t="shared" si="36"/>
        <v>2.8527799999999992</v>
      </c>
      <c r="S231" s="3">
        <f t="shared" si="37"/>
        <v>0.64351999999999876</v>
      </c>
      <c r="T231" s="3">
        <f t="shared" si="38"/>
        <v>1.0970099999999974</v>
      </c>
      <c r="U231" s="3">
        <f t="shared" si="39"/>
        <v>0.45348999999999862</v>
      </c>
    </row>
    <row r="232" spans="1:21" x14ac:dyDescent="0.25">
      <c r="A232" s="3">
        <v>1.23766247369107E+18</v>
      </c>
      <c r="B232" s="3">
        <v>236.59941000000001</v>
      </c>
      <c r="C232" s="3">
        <v>36.108260999999999</v>
      </c>
      <c r="D232" s="3">
        <v>0.31782389999999999</v>
      </c>
      <c r="E232" s="3">
        <v>1.5409062310878923</v>
      </c>
      <c r="F232" s="3">
        <v>95347.17</v>
      </c>
      <c r="G232" s="3">
        <v>20.707049999999999</v>
      </c>
      <c r="H232" s="3">
        <v>19.073840000000001</v>
      </c>
      <c r="I232" s="3">
        <v>17.806899999999999</v>
      </c>
      <c r="J232" s="3">
        <v>17.287649999999999</v>
      </c>
      <c r="K232" s="3">
        <v>16.878889999999998</v>
      </c>
      <c r="L232" s="3">
        <f t="shared" si="30"/>
        <v>1.6332099999999983</v>
      </c>
      <c r="M232" s="3">
        <f t="shared" si="31"/>
        <v>2.90015</v>
      </c>
      <c r="N232" s="3">
        <f t="shared" si="32"/>
        <v>3.4193999999999996</v>
      </c>
      <c r="O232" s="3">
        <f t="shared" si="33"/>
        <v>3.8281600000000005</v>
      </c>
      <c r="P232" s="3">
        <f t="shared" si="34"/>
        <v>1.2669400000000017</v>
      </c>
      <c r="Q232" s="3">
        <f t="shared" si="35"/>
        <v>1.7861900000000013</v>
      </c>
      <c r="R232" s="3">
        <f t="shared" si="36"/>
        <v>2.1949500000000022</v>
      </c>
      <c r="S232" s="3">
        <f t="shared" si="37"/>
        <v>0.51924999999999955</v>
      </c>
      <c r="T232" s="3">
        <f t="shared" si="38"/>
        <v>0.92801000000000045</v>
      </c>
      <c r="U232" s="3">
        <f t="shared" si="39"/>
        <v>0.4087600000000009</v>
      </c>
    </row>
    <row r="233" spans="1:21" x14ac:dyDescent="0.25">
      <c r="A233" s="3">
        <v>1.2376625032189701E+18</v>
      </c>
      <c r="B233" s="3">
        <v>236.42599000000001</v>
      </c>
      <c r="C233" s="3">
        <v>35.854213000000001</v>
      </c>
      <c r="D233" s="3">
        <v>0.31824170000000002</v>
      </c>
      <c r="E233" s="3">
        <v>1.5859583133634045</v>
      </c>
      <c r="F233" s="3">
        <v>95472.510000000009</v>
      </c>
      <c r="G233" s="3">
        <v>22.34075</v>
      </c>
      <c r="H233" s="3">
        <v>19.974630000000001</v>
      </c>
      <c r="I233" s="3">
        <v>18.366879999999998</v>
      </c>
      <c r="J233" s="3">
        <v>17.80358</v>
      </c>
      <c r="K233" s="3">
        <v>17.440539999999999</v>
      </c>
      <c r="L233" s="3">
        <f t="shared" si="30"/>
        <v>2.3661199999999987</v>
      </c>
      <c r="M233" s="3">
        <f t="shared" si="31"/>
        <v>3.9738700000000016</v>
      </c>
      <c r="N233" s="3">
        <f t="shared" si="32"/>
        <v>4.5371699999999997</v>
      </c>
      <c r="O233" s="3">
        <f t="shared" si="33"/>
        <v>4.9002100000000013</v>
      </c>
      <c r="P233" s="3">
        <f t="shared" si="34"/>
        <v>1.6077500000000029</v>
      </c>
      <c r="Q233" s="3">
        <f t="shared" si="35"/>
        <v>2.171050000000001</v>
      </c>
      <c r="R233" s="3">
        <f t="shared" si="36"/>
        <v>2.5340900000000026</v>
      </c>
      <c r="S233" s="3">
        <f t="shared" si="37"/>
        <v>0.56329999999999814</v>
      </c>
      <c r="T233" s="3">
        <f t="shared" si="38"/>
        <v>0.92633999999999972</v>
      </c>
      <c r="U233" s="3">
        <f t="shared" si="39"/>
        <v>0.36304000000000158</v>
      </c>
    </row>
    <row r="234" spans="1:21" x14ac:dyDescent="0.25">
      <c r="A234" s="3">
        <v>1.2376625032189701E+18</v>
      </c>
      <c r="B234" s="3">
        <v>236.42599000000001</v>
      </c>
      <c r="C234" s="3">
        <v>35.854213000000001</v>
      </c>
      <c r="D234" s="3">
        <v>0.3183938</v>
      </c>
      <c r="E234" s="3">
        <v>1.5859583133634045</v>
      </c>
      <c r="F234" s="3">
        <v>95518.14</v>
      </c>
      <c r="G234" s="3">
        <v>22.34075</v>
      </c>
      <c r="H234" s="3">
        <v>19.974630000000001</v>
      </c>
      <c r="I234" s="3">
        <v>18.366879999999998</v>
      </c>
      <c r="J234" s="3">
        <v>17.80358</v>
      </c>
      <c r="K234" s="3">
        <v>17.440539999999999</v>
      </c>
      <c r="L234" s="3">
        <f t="shared" si="30"/>
        <v>2.3661199999999987</v>
      </c>
      <c r="M234" s="3">
        <f t="shared" si="31"/>
        <v>3.9738700000000016</v>
      </c>
      <c r="N234" s="3">
        <f t="shared" si="32"/>
        <v>4.5371699999999997</v>
      </c>
      <c r="O234" s="3">
        <f t="shared" si="33"/>
        <v>4.9002100000000013</v>
      </c>
      <c r="P234" s="3">
        <f t="shared" si="34"/>
        <v>1.6077500000000029</v>
      </c>
      <c r="Q234" s="3">
        <f t="shared" si="35"/>
        <v>2.171050000000001</v>
      </c>
      <c r="R234" s="3">
        <f t="shared" si="36"/>
        <v>2.5340900000000026</v>
      </c>
      <c r="S234" s="3">
        <f t="shared" si="37"/>
        <v>0.56329999999999814</v>
      </c>
      <c r="T234" s="3">
        <f t="shared" si="38"/>
        <v>0.92633999999999972</v>
      </c>
      <c r="U234" s="3">
        <f t="shared" si="39"/>
        <v>0.36304000000000158</v>
      </c>
    </row>
    <row r="235" spans="1:21" x14ac:dyDescent="0.25">
      <c r="A235" s="3">
        <v>1.23766247369087E+18</v>
      </c>
      <c r="B235" s="3">
        <v>236.28253000000001</v>
      </c>
      <c r="C235" s="3">
        <v>36.441251999999999</v>
      </c>
      <c r="D235" s="3">
        <v>0.320581</v>
      </c>
      <c r="E235" s="3">
        <v>1.7975682166496121</v>
      </c>
      <c r="F235" s="3">
        <v>96174.3</v>
      </c>
      <c r="G235" s="3">
        <v>21.928229999999999</v>
      </c>
      <c r="H235" s="3">
        <v>19.978259999999999</v>
      </c>
      <c r="I235" s="3">
        <v>18.212769999999999</v>
      </c>
      <c r="J235" s="3">
        <v>17.62932</v>
      </c>
      <c r="K235" s="3">
        <v>17.20337</v>
      </c>
      <c r="L235" s="3">
        <f t="shared" si="30"/>
        <v>1.9499700000000004</v>
      </c>
      <c r="M235" s="3">
        <f t="shared" si="31"/>
        <v>3.7154600000000002</v>
      </c>
      <c r="N235" s="3">
        <f t="shared" si="32"/>
        <v>4.2989099999999993</v>
      </c>
      <c r="O235" s="3">
        <f t="shared" si="33"/>
        <v>4.7248599999999996</v>
      </c>
      <c r="P235" s="3">
        <f t="shared" si="34"/>
        <v>1.7654899999999998</v>
      </c>
      <c r="Q235" s="3">
        <f t="shared" si="35"/>
        <v>2.3489399999999989</v>
      </c>
      <c r="R235" s="3">
        <f t="shared" si="36"/>
        <v>2.7748899999999992</v>
      </c>
      <c r="S235" s="3">
        <f t="shared" si="37"/>
        <v>0.58344999999999914</v>
      </c>
      <c r="T235" s="3">
        <f t="shared" si="38"/>
        <v>1.0093999999999994</v>
      </c>
      <c r="U235" s="3">
        <f t="shared" si="39"/>
        <v>0.42595000000000027</v>
      </c>
    </row>
    <row r="236" spans="1:21" x14ac:dyDescent="0.25">
      <c r="A236" s="3">
        <v>1.2376623378636401E+18</v>
      </c>
      <c r="B236" s="3">
        <v>235.91333</v>
      </c>
      <c r="C236" s="3">
        <v>35.602728999999997</v>
      </c>
      <c r="D236" s="3">
        <v>0.32255040000000001</v>
      </c>
      <c r="E236" s="3">
        <v>3.097615248581099</v>
      </c>
      <c r="F236" s="3">
        <v>96765.12000000001</v>
      </c>
      <c r="G236" s="3">
        <v>22.705749999999998</v>
      </c>
      <c r="H236" s="3">
        <v>19.569790000000001</v>
      </c>
      <c r="I236" s="3">
        <v>17.854330000000001</v>
      </c>
      <c r="J236" s="3">
        <v>17.27103</v>
      </c>
      <c r="K236" s="3">
        <v>16.887740000000001</v>
      </c>
      <c r="L236" s="3">
        <f t="shared" si="30"/>
        <v>3.1359599999999972</v>
      </c>
      <c r="M236" s="3">
        <f t="shared" si="31"/>
        <v>4.8514199999999974</v>
      </c>
      <c r="N236" s="3">
        <f t="shared" si="32"/>
        <v>5.4347199999999987</v>
      </c>
      <c r="O236" s="3">
        <f t="shared" si="33"/>
        <v>5.8180099999999975</v>
      </c>
      <c r="P236" s="3">
        <f t="shared" si="34"/>
        <v>1.7154600000000002</v>
      </c>
      <c r="Q236" s="3">
        <f t="shared" si="35"/>
        <v>2.2987600000000015</v>
      </c>
      <c r="R236" s="3">
        <f t="shared" si="36"/>
        <v>2.6820500000000003</v>
      </c>
      <c r="S236" s="3">
        <f t="shared" si="37"/>
        <v>0.58330000000000126</v>
      </c>
      <c r="T236" s="3">
        <f t="shared" si="38"/>
        <v>0.96659000000000006</v>
      </c>
      <c r="U236" s="3">
        <f t="shared" si="39"/>
        <v>0.3832899999999988</v>
      </c>
    </row>
    <row r="237" spans="1:21" x14ac:dyDescent="0.25">
      <c r="A237" s="3">
        <v>1.23766146544926E+18</v>
      </c>
      <c r="B237" s="3">
        <v>235.71722</v>
      </c>
      <c r="C237" s="3">
        <v>35.614393999999997</v>
      </c>
      <c r="D237" s="3">
        <v>0.32288319999999998</v>
      </c>
      <c r="E237" s="3">
        <v>3.5335736538507936</v>
      </c>
      <c r="F237" s="3">
        <v>96864.959999999992</v>
      </c>
      <c r="G237" s="3">
        <v>22.54147</v>
      </c>
      <c r="H237" s="3">
        <v>20.326720000000002</v>
      </c>
      <c r="I237" s="3">
        <v>18.643979999999999</v>
      </c>
      <c r="J237" s="3">
        <v>18.06081</v>
      </c>
      <c r="K237" s="3">
        <v>17.676639999999999</v>
      </c>
      <c r="L237" s="3">
        <f t="shared" si="30"/>
        <v>2.2147499999999987</v>
      </c>
      <c r="M237" s="3">
        <f t="shared" si="31"/>
        <v>3.8974900000000012</v>
      </c>
      <c r="N237" s="3">
        <f t="shared" si="32"/>
        <v>4.4806600000000003</v>
      </c>
      <c r="O237" s="3">
        <f t="shared" si="33"/>
        <v>4.8648300000000013</v>
      </c>
      <c r="P237" s="3">
        <f t="shared" si="34"/>
        <v>1.6827400000000026</v>
      </c>
      <c r="Q237" s="3">
        <f t="shared" si="35"/>
        <v>2.2659100000000016</v>
      </c>
      <c r="R237" s="3">
        <f t="shared" si="36"/>
        <v>2.6500800000000027</v>
      </c>
      <c r="S237" s="3">
        <f t="shared" si="37"/>
        <v>0.58316999999999908</v>
      </c>
      <c r="T237" s="3">
        <f t="shared" si="38"/>
        <v>0.96734000000000009</v>
      </c>
      <c r="U237" s="3">
        <f t="shared" si="39"/>
        <v>0.38417000000000101</v>
      </c>
    </row>
    <row r="238" spans="1:21" x14ac:dyDescent="0.25">
      <c r="A238" s="3">
        <v>1.2376625032189E+18</v>
      </c>
      <c r="B238" s="3">
        <v>236.35123999999999</v>
      </c>
      <c r="C238" s="3">
        <v>36.038491999999998</v>
      </c>
      <c r="D238" s="3">
        <v>0.32365179999999999</v>
      </c>
      <c r="E238" s="3">
        <v>0.59787794343420331</v>
      </c>
      <c r="F238" s="3">
        <v>97095.54</v>
      </c>
      <c r="G238" s="3">
        <v>23.562909999999999</v>
      </c>
      <c r="H238" s="3">
        <v>20.15879</v>
      </c>
      <c r="I238" s="3">
        <v>18.48845</v>
      </c>
      <c r="J238" s="3">
        <v>17.89819</v>
      </c>
      <c r="K238" s="3">
        <v>17.52833</v>
      </c>
      <c r="L238" s="3">
        <f t="shared" si="30"/>
        <v>3.4041199999999989</v>
      </c>
      <c r="M238" s="3">
        <f t="shared" si="31"/>
        <v>5.0744599999999984</v>
      </c>
      <c r="N238" s="3">
        <f t="shared" si="32"/>
        <v>5.6647199999999991</v>
      </c>
      <c r="O238" s="3">
        <f t="shared" si="33"/>
        <v>6.0345799999999983</v>
      </c>
      <c r="P238" s="3">
        <f t="shared" si="34"/>
        <v>1.6703399999999995</v>
      </c>
      <c r="Q238" s="3">
        <f t="shared" si="35"/>
        <v>2.2606000000000002</v>
      </c>
      <c r="R238" s="3">
        <f t="shared" si="36"/>
        <v>2.6304599999999994</v>
      </c>
      <c r="S238" s="3">
        <f t="shared" si="37"/>
        <v>0.59026000000000067</v>
      </c>
      <c r="T238" s="3">
        <f t="shared" si="38"/>
        <v>0.96011999999999986</v>
      </c>
      <c r="U238" s="3">
        <f t="shared" si="39"/>
        <v>0.36985999999999919</v>
      </c>
    </row>
    <row r="239" spans="1:21" x14ac:dyDescent="0.25">
      <c r="A239" s="3">
        <v>1.2376625032189E+18</v>
      </c>
      <c r="B239" s="3">
        <v>236.35028</v>
      </c>
      <c r="C239" s="3">
        <v>36.085205000000002</v>
      </c>
      <c r="D239" s="3">
        <v>0.32386720000000002</v>
      </c>
      <c r="E239" s="3">
        <v>0.47325399784175343</v>
      </c>
      <c r="F239" s="3">
        <v>97160.16</v>
      </c>
      <c r="G239" s="3">
        <v>25.59329</v>
      </c>
      <c r="H239" s="3">
        <v>20.419339999999998</v>
      </c>
      <c r="I239" s="3">
        <v>18.652920000000002</v>
      </c>
      <c r="J239" s="3">
        <v>17.986329999999999</v>
      </c>
      <c r="K239" s="3">
        <v>17.60464</v>
      </c>
      <c r="L239" s="3">
        <f t="shared" si="30"/>
        <v>5.1739500000000014</v>
      </c>
      <c r="M239" s="3">
        <f t="shared" si="31"/>
        <v>6.9403699999999979</v>
      </c>
      <c r="N239" s="3">
        <f t="shared" si="32"/>
        <v>7.6069600000000008</v>
      </c>
      <c r="O239" s="3">
        <f t="shared" si="33"/>
        <v>7.9886499999999998</v>
      </c>
      <c r="P239" s="3">
        <f t="shared" si="34"/>
        <v>1.7664199999999965</v>
      </c>
      <c r="Q239" s="3">
        <f t="shared" si="35"/>
        <v>2.4330099999999995</v>
      </c>
      <c r="R239" s="3">
        <f t="shared" si="36"/>
        <v>2.8146999999999984</v>
      </c>
      <c r="S239" s="3">
        <f t="shared" si="37"/>
        <v>0.6665900000000029</v>
      </c>
      <c r="T239" s="3">
        <f t="shared" si="38"/>
        <v>1.0482800000000019</v>
      </c>
      <c r="U239" s="3">
        <f t="shared" si="39"/>
        <v>0.38168999999999897</v>
      </c>
    </row>
    <row r="240" spans="1:21" x14ac:dyDescent="0.25">
      <c r="A240" s="3">
        <v>1.2376623378635799E+18</v>
      </c>
      <c r="B240" s="3">
        <v>235.86107000000001</v>
      </c>
      <c r="C240" s="3">
        <v>35.709682999999998</v>
      </c>
      <c r="D240" s="3">
        <v>0.32391569999999997</v>
      </c>
      <c r="E240" s="3">
        <v>2.735877627287802</v>
      </c>
      <c r="F240" s="3">
        <v>97174.709999999992</v>
      </c>
      <c r="G240" s="3">
        <v>24.26135</v>
      </c>
      <c r="H240" s="3">
        <v>21.097339999999999</v>
      </c>
      <c r="I240" s="3">
        <v>19.336760000000002</v>
      </c>
      <c r="J240" s="3">
        <v>18.669239999999999</v>
      </c>
      <c r="K240" s="3">
        <v>18.3264</v>
      </c>
      <c r="L240" s="3">
        <f t="shared" si="30"/>
        <v>3.1640100000000011</v>
      </c>
      <c r="M240" s="3">
        <f t="shared" si="31"/>
        <v>4.9245899999999985</v>
      </c>
      <c r="N240" s="3">
        <f t="shared" si="32"/>
        <v>5.5921100000000017</v>
      </c>
      <c r="O240" s="3">
        <f t="shared" si="33"/>
        <v>5.9349500000000006</v>
      </c>
      <c r="P240" s="3">
        <f t="shared" si="34"/>
        <v>1.7605799999999974</v>
      </c>
      <c r="Q240" s="3">
        <f t="shared" si="35"/>
        <v>2.4281000000000006</v>
      </c>
      <c r="R240" s="3">
        <f t="shared" si="36"/>
        <v>2.7709399999999995</v>
      </c>
      <c r="S240" s="3">
        <f t="shared" si="37"/>
        <v>0.66752000000000322</v>
      </c>
      <c r="T240" s="3">
        <f t="shared" si="38"/>
        <v>1.0103600000000021</v>
      </c>
      <c r="U240" s="3">
        <f t="shared" si="39"/>
        <v>0.34283999999999892</v>
      </c>
    </row>
    <row r="241" spans="1:21" x14ac:dyDescent="0.25">
      <c r="A241" s="3">
        <v>1.2376614659861299E+18</v>
      </c>
      <c r="B241" s="3">
        <v>235.90254999999999</v>
      </c>
      <c r="C241" s="3">
        <v>35.937721000000003</v>
      </c>
      <c r="D241" s="3">
        <v>0.32398379999999999</v>
      </c>
      <c r="E241" s="3">
        <v>1.7623014994522959</v>
      </c>
      <c r="F241" s="3">
        <v>97195.14</v>
      </c>
      <c r="G241" s="3">
        <v>22.620729999999998</v>
      </c>
      <c r="H241" s="3">
        <v>20.71744</v>
      </c>
      <c r="I241" s="3">
        <v>19.03641</v>
      </c>
      <c r="J241" s="3">
        <v>18.431609999999999</v>
      </c>
      <c r="K241" s="3">
        <v>18.107489999999999</v>
      </c>
      <c r="L241" s="3">
        <f t="shared" si="30"/>
        <v>1.9032899999999984</v>
      </c>
      <c r="M241" s="3">
        <f t="shared" si="31"/>
        <v>3.5843199999999982</v>
      </c>
      <c r="N241" s="3">
        <f t="shared" si="32"/>
        <v>4.1891199999999991</v>
      </c>
      <c r="O241" s="3">
        <f t="shared" si="33"/>
        <v>4.5132399999999997</v>
      </c>
      <c r="P241" s="3">
        <f t="shared" si="34"/>
        <v>1.6810299999999998</v>
      </c>
      <c r="Q241" s="3">
        <f t="shared" si="35"/>
        <v>2.2858300000000007</v>
      </c>
      <c r="R241" s="3">
        <f t="shared" si="36"/>
        <v>2.6099500000000013</v>
      </c>
      <c r="S241" s="3">
        <f t="shared" si="37"/>
        <v>0.60480000000000089</v>
      </c>
      <c r="T241" s="3">
        <f t="shared" si="38"/>
        <v>0.92892000000000152</v>
      </c>
      <c r="U241" s="3">
        <f t="shared" si="39"/>
        <v>0.32412000000000063</v>
      </c>
    </row>
    <row r="242" spans="1:21" x14ac:dyDescent="0.25">
      <c r="A242" s="3">
        <v>1.2376623378635799E+18</v>
      </c>
      <c r="B242" s="3">
        <v>235.86107000000001</v>
      </c>
      <c r="C242" s="3">
        <v>35.709682999999998</v>
      </c>
      <c r="D242" s="3">
        <v>0.32401029999999997</v>
      </c>
      <c r="E242" s="3">
        <v>2.735877627287802</v>
      </c>
      <c r="F242" s="3">
        <v>97203.09</v>
      </c>
      <c r="G242" s="3">
        <v>24.26135</v>
      </c>
      <c r="H242" s="3">
        <v>21.097339999999999</v>
      </c>
      <c r="I242" s="3">
        <v>19.336760000000002</v>
      </c>
      <c r="J242" s="3">
        <v>18.669239999999999</v>
      </c>
      <c r="K242" s="3">
        <v>18.3264</v>
      </c>
      <c r="L242" s="3">
        <f t="shared" si="30"/>
        <v>3.1640100000000011</v>
      </c>
      <c r="M242" s="3">
        <f t="shared" si="31"/>
        <v>4.9245899999999985</v>
      </c>
      <c r="N242" s="3">
        <f t="shared" si="32"/>
        <v>5.5921100000000017</v>
      </c>
      <c r="O242" s="3">
        <f t="shared" si="33"/>
        <v>5.9349500000000006</v>
      </c>
      <c r="P242" s="3">
        <f t="shared" si="34"/>
        <v>1.7605799999999974</v>
      </c>
      <c r="Q242" s="3">
        <f t="shared" si="35"/>
        <v>2.4281000000000006</v>
      </c>
      <c r="R242" s="3">
        <f t="shared" si="36"/>
        <v>2.7709399999999995</v>
      </c>
      <c r="S242" s="3">
        <f t="shared" si="37"/>
        <v>0.66752000000000322</v>
      </c>
      <c r="T242" s="3">
        <f t="shared" si="38"/>
        <v>1.0103600000000021</v>
      </c>
      <c r="U242" s="3">
        <f t="shared" si="39"/>
        <v>0.34283999999999892</v>
      </c>
    </row>
    <row r="243" spans="1:21" x14ac:dyDescent="0.25">
      <c r="A243" s="3">
        <v>1.2376614659862001E+18</v>
      </c>
      <c r="B243" s="3">
        <v>236.15441000000001</v>
      </c>
      <c r="C243" s="3">
        <v>35.809334999999997</v>
      </c>
      <c r="D243" s="3">
        <v>0.3243781</v>
      </c>
      <c r="E243" s="3">
        <v>1.6682871110764241</v>
      </c>
      <c r="F243" s="3">
        <v>97313.430000000008</v>
      </c>
      <c r="G243" s="3">
        <v>23.421420000000001</v>
      </c>
      <c r="H243" s="3">
        <v>21.928619999999999</v>
      </c>
      <c r="I243" s="3">
        <v>20.302330000000001</v>
      </c>
      <c r="J243" s="3">
        <v>19.71576</v>
      </c>
      <c r="K243" s="3">
        <v>19.41386</v>
      </c>
      <c r="L243" s="3">
        <f t="shared" si="30"/>
        <v>1.4928000000000026</v>
      </c>
      <c r="M243" s="3">
        <f t="shared" si="31"/>
        <v>3.1190899999999999</v>
      </c>
      <c r="N243" s="3">
        <f t="shared" si="32"/>
        <v>3.7056600000000017</v>
      </c>
      <c r="O243" s="3">
        <f t="shared" si="33"/>
        <v>4.0075600000000016</v>
      </c>
      <c r="P243" s="3">
        <f t="shared" si="34"/>
        <v>1.6262899999999973</v>
      </c>
      <c r="Q243" s="3">
        <f t="shared" si="35"/>
        <v>2.2128599999999992</v>
      </c>
      <c r="R243" s="3">
        <f t="shared" si="36"/>
        <v>2.514759999999999</v>
      </c>
      <c r="S243" s="3">
        <f t="shared" si="37"/>
        <v>0.58657000000000181</v>
      </c>
      <c r="T243" s="3">
        <f t="shared" si="38"/>
        <v>0.88847000000000165</v>
      </c>
      <c r="U243" s="3">
        <f t="shared" si="39"/>
        <v>0.30189999999999984</v>
      </c>
    </row>
    <row r="244" spans="1:21" x14ac:dyDescent="0.25">
      <c r="A244" s="3">
        <v>1.2376623378636401E+18</v>
      </c>
      <c r="B244" s="3">
        <v>235.95001999999999</v>
      </c>
      <c r="C244" s="3">
        <v>35.616621000000002</v>
      </c>
      <c r="D244" s="3">
        <v>0.32504300000000003</v>
      </c>
      <c r="E244" s="3">
        <v>2.9579106979792158</v>
      </c>
      <c r="F244" s="3">
        <v>97512.900000000009</v>
      </c>
      <c r="G244" s="3">
        <v>22.90279</v>
      </c>
      <c r="H244" s="3">
        <v>21.755680000000002</v>
      </c>
      <c r="I244" s="3">
        <v>20.109970000000001</v>
      </c>
      <c r="J244" s="3">
        <v>19.538519999999998</v>
      </c>
      <c r="K244" s="3">
        <v>19.1312</v>
      </c>
      <c r="L244" s="3">
        <f t="shared" si="30"/>
        <v>1.1471099999999979</v>
      </c>
      <c r="M244" s="3">
        <f t="shared" si="31"/>
        <v>2.792819999999999</v>
      </c>
      <c r="N244" s="3">
        <f t="shared" si="32"/>
        <v>3.3642700000000012</v>
      </c>
      <c r="O244" s="3">
        <f t="shared" si="33"/>
        <v>3.7715899999999998</v>
      </c>
      <c r="P244" s="3">
        <f t="shared" si="34"/>
        <v>1.6457100000000011</v>
      </c>
      <c r="Q244" s="3">
        <f t="shared" si="35"/>
        <v>2.2171600000000034</v>
      </c>
      <c r="R244" s="3">
        <f t="shared" si="36"/>
        <v>2.6244800000000019</v>
      </c>
      <c r="S244" s="3">
        <f t="shared" si="37"/>
        <v>0.57145000000000223</v>
      </c>
      <c r="T244" s="3">
        <f t="shared" si="38"/>
        <v>0.97877000000000081</v>
      </c>
      <c r="U244" s="3">
        <f t="shared" si="39"/>
        <v>0.40731999999999857</v>
      </c>
    </row>
    <row r="245" spans="1:21" x14ac:dyDescent="0.25">
      <c r="A245" s="3">
        <v>1.23766146598626E+18</v>
      </c>
      <c r="B245" s="3">
        <v>236.24893</v>
      </c>
      <c r="C245" s="3">
        <v>35.770789000000001</v>
      </c>
      <c r="D245" s="3">
        <v>0.32542379999999999</v>
      </c>
      <c r="E245" s="3">
        <v>1.8276900303365398</v>
      </c>
      <c r="F245" s="3">
        <v>97627.14</v>
      </c>
      <c r="G245" s="3">
        <v>23.58916</v>
      </c>
      <c r="H245" s="3">
        <v>21.100680000000001</v>
      </c>
      <c r="I245" s="3">
        <v>19.32807</v>
      </c>
      <c r="J245" s="3">
        <v>18.68928</v>
      </c>
      <c r="K245" s="3">
        <v>18.34853</v>
      </c>
      <c r="L245" s="3">
        <f t="shared" si="30"/>
        <v>2.4884799999999991</v>
      </c>
      <c r="M245" s="3">
        <f t="shared" si="31"/>
        <v>4.2610899999999994</v>
      </c>
      <c r="N245" s="3">
        <f t="shared" si="32"/>
        <v>4.8998799999999996</v>
      </c>
      <c r="O245" s="3">
        <f t="shared" si="33"/>
        <v>5.2406299999999995</v>
      </c>
      <c r="P245" s="3">
        <f t="shared" si="34"/>
        <v>1.7726100000000002</v>
      </c>
      <c r="Q245" s="3">
        <f t="shared" si="35"/>
        <v>2.4114000000000004</v>
      </c>
      <c r="R245" s="3">
        <f t="shared" si="36"/>
        <v>2.7521500000000003</v>
      </c>
      <c r="S245" s="3">
        <f t="shared" si="37"/>
        <v>0.63879000000000019</v>
      </c>
      <c r="T245" s="3">
        <f t="shared" si="38"/>
        <v>0.97954000000000008</v>
      </c>
      <c r="U245" s="3">
        <f t="shared" si="39"/>
        <v>0.34074999999999989</v>
      </c>
    </row>
    <row r="246" spans="1:21" x14ac:dyDescent="0.25">
      <c r="A246" s="3">
        <v>1.23766146598626E+18</v>
      </c>
      <c r="B246" s="3">
        <v>236.24893</v>
      </c>
      <c r="C246" s="3">
        <v>35.770789000000001</v>
      </c>
      <c r="D246" s="3">
        <v>0.32546160000000002</v>
      </c>
      <c r="E246" s="3">
        <v>1.8276900303365398</v>
      </c>
      <c r="F246" s="3">
        <v>97638.48000000001</v>
      </c>
      <c r="G246" s="3">
        <v>23.58916</v>
      </c>
      <c r="H246" s="3">
        <v>21.100680000000001</v>
      </c>
      <c r="I246" s="3">
        <v>19.32807</v>
      </c>
      <c r="J246" s="3">
        <v>18.68928</v>
      </c>
      <c r="K246" s="3">
        <v>18.34853</v>
      </c>
      <c r="L246" s="3">
        <f t="shared" si="30"/>
        <v>2.4884799999999991</v>
      </c>
      <c r="M246" s="3">
        <f t="shared" si="31"/>
        <v>4.2610899999999994</v>
      </c>
      <c r="N246" s="3">
        <f t="shared" si="32"/>
        <v>4.8998799999999996</v>
      </c>
      <c r="O246" s="3">
        <f t="shared" si="33"/>
        <v>5.2406299999999995</v>
      </c>
      <c r="P246" s="3">
        <f t="shared" si="34"/>
        <v>1.7726100000000002</v>
      </c>
      <c r="Q246" s="3">
        <f t="shared" si="35"/>
        <v>2.4114000000000004</v>
      </c>
      <c r="R246" s="3">
        <f t="shared" si="36"/>
        <v>2.7521500000000003</v>
      </c>
      <c r="S246" s="3">
        <f t="shared" si="37"/>
        <v>0.63879000000000019</v>
      </c>
      <c r="T246" s="3">
        <f t="shared" si="38"/>
        <v>0.97954000000000008</v>
      </c>
      <c r="U246" s="3">
        <f t="shared" si="39"/>
        <v>0.34074999999999989</v>
      </c>
    </row>
    <row r="247" spans="1:21" x14ac:dyDescent="0.25">
      <c r="A247" s="3">
        <v>1.2376623378635799E+18</v>
      </c>
      <c r="B247" s="3">
        <v>235.86398</v>
      </c>
      <c r="C247" s="3">
        <v>35.713728000000003</v>
      </c>
      <c r="D247" s="3">
        <v>0.3258491</v>
      </c>
      <c r="E247" s="3">
        <v>2.7108166943165992</v>
      </c>
      <c r="F247" s="3">
        <v>97754.73</v>
      </c>
      <c r="G247" s="3">
        <v>22.43188</v>
      </c>
      <c r="H247" s="3">
        <v>20.69754</v>
      </c>
      <c r="I247" s="3">
        <v>18.804320000000001</v>
      </c>
      <c r="J247" s="3">
        <v>18.15259</v>
      </c>
      <c r="K247" s="3">
        <v>17.753029999999999</v>
      </c>
      <c r="L247" s="3">
        <f t="shared" si="30"/>
        <v>1.7343399999999995</v>
      </c>
      <c r="M247" s="3">
        <f t="shared" si="31"/>
        <v>3.627559999999999</v>
      </c>
      <c r="N247" s="3">
        <f t="shared" si="32"/>
        <v>4.2792899999999996</v>
      </c>
      <c r="O247" s="3">
        <f t="shared" si="33"/>
        <v>4.6788500000000006</v>
      </c>
      <c r="P247" s="3">
        <f t="shared" si="34"/>
        <v>1.8932199999999995</v>
      </c>
      <c r="Q247" s="3">
        <f t="shared" si="35"/>
        <v>2.54495</v>
      </c>
      <c r="R247" s="3">
        <f t="shared" si="36"/>
        <v>2.9445100000000011</v>
      </c>
      <c r="S247" s="3">
        <f t="shared" si="37"/>
        <v>0.65173000000000059</v>
      </c>
      <c r="T247" s="3">
        <f t="shared" si="38"/>
        <v>1.0512900000000016</v>
      </c>
      <c r="U247" s="3">
        <f t="shared" si="39"/>
        <v>0.39956000000000103</v>
      </c>
    </row>
    <row r="248" spans="1:21" x14ac:dyDescent="0.25">
      <c r="A248" s="3">
        <v>1.2376624731543301E+18</v>
      </c>
      <c r="B248" s="3">
        <v>236.6069</v>
      </c>
      <c r="C248" s="3">
        <v>35.702178000000004</v>
      </c>
      <c r="D248" s="3">
        <v>0.32744319999999999</v>
      </c>
      <c r="E248" s="3">
        <v>2.7055163731251946</v>
      </c>
      <c r="F248" s="3">
        <v>98232.959999999992</v>
      </c>
      <c r="G248" s="3">
        <v>22.79664</v>
      </c>
      <c r="H248" s="3">
        <v>20.878329999999998</v>
      </c>
      <c r="I248" s="3">
        <v>19.163139999999999</v>
      </c>
      <c r="J248" s="3">
        <v>18.516819999999999</v>
      </c>
      <c r="K248" s="3">
        <v>18.143910000000002</v>
      </c>
      <c r="L248" s="3">
        <f t="shared" si="30"/>
        <v>1.9183100000000017</v>
      </c>
      <c r="M248" s="3">
        <f t="shared" si="31"/>
        <v>3.6335000000000015</v>
      </c>
      <c r="N248" s="3">
        <f t="shared" si="32"/>
        <v>4.2798200000000008</v>
      </c>
      <c r="O248" s="3">
        <f t="shared" si="33"/>
        <v>4.6527299999999983</v>
      </c>
      <c r="P248" s="3">
        <f t="shared" si="34"/>
        <v>1.7151899999999998</v>
      </c>
      <c r="Q248" s="3">
        <f t="shared" si="35"/>
        <v>2.3615099999999991</v>
      </c>
      <c r="R248" s="3">
        <f t="shared" si="36"/>
        <v>2.7344199999999965</v>
      </c>
      <c r="S248" s="3">
        <f t="shared" si="37"/>
        <v>0.64631999999999934</v>
      </c>
      <c r="T248" s="3">
        <f t="shared" si="38"/>
        <v>1.0192299999999967</v>
      </c>
      <c r="U248" s="3">
        <f t="shared" si="39"/>
        <v>0.37290999999999741</v>
      </c>
    </row>
    <row r="249" spans="1:21" x14ac:dyDescent="0.25">
      <c r="A249" s="3">
        <v>1.23766247369107E+18</v>
      </c>
      <c r="B249" s="3">
        <v>236.48567</v>
      </c>
      <c r="C249" s="3">
        <v>36.077297000000002</v>
      </c>
      <c r="D249" s="3">
        <v>0.33320499999999997</v>
      </c>
      <c r="E249" s="3">
        <v>1.0595211309169987</v>
      </c>
      <c r="F249" s="3">
        <v>99961.499999999985</v>
      </c>
      <c r="G249" s="3">
        <v>23.234349999999999</v>
      </c>
      <c r="H249" s="3">
        <v>20.97794</v>
      </c>
      <c r="I249" s="3">
        <v>19.1251</v>
      </c>
      <c r="J249" s="3">
        <v>18.527570000000001</v>
      </c>
      <c r="K249" s="3">
        <v>18.147269999999999</v>
      </c>
      <c r="L249" s="3">
        <f t="shared" si="30"/>
        <v>2.2564099999999989</v>
      </c>
      <c r="M249" s="3">
        <f t="shared" si="31"/>
        <v>4.1092499999999994</v>
      </c>
      <c r="N249" s="3">
        <f t="shared" si="32"/>
        <v>4.7067799999999984</v>
      </c>
      <c r="O249" s="3">
        <f t="shared" si="33"/>
        <v>5.0870800000000003</v>
      </c>
      <c r="P249" s="3">
        <f t="shared" si="34"/>
        <v>1.8528400000000005</v>
      </c>
      <c r="Q249" s="3">
        <f t="shared" si="35"/>
        <v>2.4503699999999995</v>
      </c>
      <c r="R249" s="3">
        <f t="shared" si="36"/>
        <v>2.8306700000000014</v>
      </c>
      <c r="S249" s="3">
        <f t="shared" si="37"/>
        <v>0.59752999999999901</v>
      </c>
      <c r="T249" s="3">
        <f t="shared" si="38"/>
        <v>0.97783000000000087</v>
      </c>
      <c r="U249" s="3">
        <f t="shared" si="39"/>
        <v>0.38030000000000186</v>
      </c>
    </row>
    <row r="250" spans="1:21" x14ac:dyDescent="0.25">
      <c r="A250" s="3">
        <v>1.2376614659859999E+18</v>
      </c>
      <c r="B250" s="3">
        <v>235.74043</v>
      </c>
      <c r="C250" s="3">
        <v>36.151716</v>
      </c>
      <c r="D250" s="3">
        <v>0.33321319999999999</v>
      </c>
      <c r="E250" s="3">
        <v>2.2152853432140018</v>
      </c>
      <c r="F250" s="3">
        <v>99963.959999999992</v>
      </c>
      <c r="G250" s="3">
        <v>22.562989999999999</v>
      </c>
      <c r="H250" s="3">
        <v>20.810289999999998</v>
      </c>
      <c r="I250" s="3">
        <v>19.037299999999998</v>
      </c>
      <c r="J250" s="3">
        <v>18.43515</v>
      </c>
      <c r="K250" s="3">
        <v>18.065580000000001</v>
      </c>
      <c r="L250" s="3">
        <f t="shared" si="30"/>
        <v>1.7527000000000008</v>
      </c>
      <c r="M250" s="3">
        <f t="shared" si="31"/>
        <v>3.5256900000000009</v>
      </c>
      <c r="N250" s="3">
        <f t="shared" si="32"/>
        <v>4.1278399999999991</v>
      </c>
      <c r="O250" s="3">
        <f t="shared" si="33"/>
        <v>4.4974099999999986</v>
      </c>
      <c r="P250" s="3">
        <f t="shared" si="34"/>
        <v>1.7729900000000001</v>
      </c>
      <c r="Q250" s="3">
        <f t="shared" si="35"/>
        <v>2.3751399999999983</v>
      </c>
      <c r="R250" s="3">
        <f t="shared" si="36"/>
        <v>2.7447099999999978</v>
      </c>
      <c r="S250" s="3">
        <f t="shared" si="37"/>
        <v>0.60214999999999819</v>
      </c>
      <c r="T250" s="3">
        <f t="shared" si="38"/>
        <v>0.9717199999999977</v>
      </c>
      <c r="U250" s="3">
        <f t="shared" si="39"/>
        <v>0.36956999999999951</v>
      </c>
    </row>
    <row r="251" spans="1:21" x14ac:dyDescent="0.25">
      <c r="A251" s="3">
        <v>1.2376624736910001E+18</v>
      </c>
      <c r="B251" s="3">
        <v>236.46100000000001</v>
      </c>
      <c r="C251" s="3">
        <v>36.078052</v>
      </c>
      <c r="D251" s="3">
        <v>0.33422950000000001</v>
      </c>
      <c r="E251" s="3">
        <v>0.95282137067043726</v>
      </c>
      <c r="F251" s="3">
        <v>100268.85</v>
      </c>
      <c r="G251" s="3">
        <v>22.371269999999999</v>
      </c>
      <c r="H251" s="3">
        <v>20.536169999999998</v>
      </c>
      <c r="I251" s="3">
        <v>18.83972</v>
      </c>
      <c r="J251" s="3">
        <v>18.242450000000002</v>
      </c>
      <c r="K251" s="3">
        <v>17.8535</v>
      </c>
      <c r="L251" s="3">
        <f t="shared" si="30"/>
        <v>1.8351000000000006</v>
      </c>
      <c r="M251" s="3">
        <f t="shared" si="31"/>
        <v>3.5315499999999993</v>
      </c>
      <c r="N251" s="3">
        <f t="shared" si="32"/>
        <v>4.1288199999999975</v>
      </c>
      <c r="O251" s="3">
        <f t="shared" si="33"/>
        <v>4.5177699999999987</v>
      </c>
      <c r="P251" s="3">
        <f t="shared" si="34"/>
        <v>1.6964499999999987</v>
      </c>
      <c r="Q251" s="3">
        <f t="shared" si="35"/>
        <v>2.2937199999999969</v>
      </c>
      <c r="R251" s="3">
        <f t="shared" si="36"/>
        <v>2.6826699999999981</v>
      </c>
      <c r="S251" s="3">
        <f t="shared" si="37"/>
        <v>0.59726999999999819</v>
      </c>
      <c r="T251" s="3">
        <f t="shared" si="38"/>
        <v>0.98621999999999943</v>
      </c>
      <c r="U251" s="3">
        <f t="shared" si="39"/>
        <v>0.38895000000000124</v>
      </c>
    </row>
    <row r="252" spans="1:21" x14ac:dyDescent="0.25">
      <c r="A252" s="3">
        <v>1.2376624736910001E+18</v>
      </c>
      <c r="B252" s="3">
        <v>236.46100000000001</v>
      </c>
      <c r="C252" s="3">
        <v>36.078052</v>
      </c>
      <c r="D252" s="3">
        <v>0.33430650000000001</v>
      </c>
      <c r="E252" s="3">
        <v>0.95282137067043726</v>
      </c>
      <c r="F252" s="3">
        <v>100291.95</v>
      </c>
      <c r="G252" s="3">
        <v>22.371269999999999</v>
      </c>
      <c r="H252" s="3">
        <v>20.536169999999998</v>
      </c>
      <c r="I252" s="3">
        <v>18.83972</v>
      </c>
      <c r="J252" s="3">
        <v>18.242450000000002</v>
      </c>
      <c r="K252" s="3">
        <v>17.8535</v>
      </c>
      <c r="L252" s="3">
        <f t="shared" si="30"/>
        <v>1.8351000000000006</v>
      </c>
      <c r="M252" s="3">
        <f t="shared" si="31"/>
        <v>3.5315499999999993</v>
      </c>
      <c r="N252" s="3">
        <f t="shared" si="32"/>
        <v>4.1288199999999975</v>
      </c>
      <c r="O252" s="3">
        <f t="shared" si="33"/>
        <v>4.5177699999999987</v>
      </c>
      <c r="P252" s="3">
        <f t="shared" si="34"/>
        <v>1.6964499999999987</v>
      </c>
      <c r="Q252" s="3">
        <f t="shared" si="35"/>
        <v>2.2937199999999969</v>
      </c>
      <c r="R252" s="3">
        <f t="shared" si="36"/>
        <v>2.6826699999999981</v>
      </c>
      <c r="S252" s="3">
        <f t="shared" si="37"/>
        <v>0.59726999999999819</v>
      </c>
      <c r="T252" s="3">
        <f t="shared" si="38"/>
        <v>0.98621999999999943</v>
      </c>
      <c r="U252" s="3">
        <f t="shared" si="39"/>
        <v>0.38895000000000124</v>
      </c>
    </row>
    <row r="253" spans="1:21" x14ac:dyDescent="0.25">
      <c r="A253" s="3">
        <v>1.2376624736910001E+18</v>
      </c>
      <c r="B253" s="3">
        <v>236.57029</v>
      </c>
      <c r="C253" s="3">
        <v>36.179943999999999</v>
      </c>
      <c r="D253" s="3">
        <v>0.3350359</v>
      </c>
      <c r="E253" s="3">
        <v>1.4635782662765648</v>
      </c>
      <c r="F253" s="3">
        <v>100510.77</v>
      </c>
      <c r="G253" s="3">
        <v>24.13908</v>
      </c>
      <c r="H253" s="3">
        <v>21.40016</v>
      </c>
      <c r="I253" s="3">
        <v>19.535440000000001</v>
      </c>
      <c r="J253" s="3">
        <v>18.899519999999999</v>
      </c>
      <c r="K253" s="3">
        <v>18.451509999999999</v>
      </c>
      <c r="L253" s="3">
        <f t="shared" si="30"/>
        <v>2.7389200000000002</v>
      </c>
      <c r="M253" s="3">
        <f t="shared" si="31"/>
        <v>4.6036399999999986</v>
      </c>
      <c r="N253" s="3">
        <f t="shared" si="32"/>
        <v>5.2395600000000009</v>
      </c>
      <c r="O253" s="3">
        <f t="shared" si="33"/>
        <v>5.6875700000000009</v>
      </c>
      <c r="P253" s="3">
        <f t="shared" si="34"/>
        <v>1.8647199999999984</v>
      </c>
      <c r="Q253" s="3">
        <f t="shared" si="35"/>
        <v>2.5006400000000006</v>
      </c>
      <c r="R253" s="3">
        <f t="shared" si="36"/>
        <v>2.9486500000000007</v>
      </c>
      <c r="S253" s="3">
        <f t="shared" si="37"/>
        <v>0.63592000000000226</v>
      </c>
      <c r="T253" s="3">
        <f t="shared" si="38"/>
        <v>1.0839300000000023</v>
      </c>
      <c r="U253" s="3">
        <f t="shared" si="39"/>
        <v>0.44801000000000002</v>
      </c>
    </row>
    <row r="254" spans="1:21" x14ac:dyDescent="0.25">
      <c r="A254" s="3">
        <v>1.2376624736911301E+18</v>
      </c>
      <c r="B254" s="3">
        <v>236.63802999999999</v>
      </c>
      <c r="C254" s="3">
        <v>35.971592000000001</v>
      </c>
      <c r="D254" s="3">
        <v>0.33570280000000002</v>
      </c>
      <c r="E254" s="3">
        <v>1.8655422469658061</v>
      </c>
      <c r="F254" s="3">
        <v>100710.84000000001</v>
      </c>
      <c r="G254" s="3">
        <v>21.78388</v>
      </c>
      <c r="H254" s="3">
        <v>20.25489</v>
      </c>
      <c r="I254" s="3">
        <v>18.584510000000002</v>
      </c>
      <c r="J254" s="3">
        <v>17.971270000000001</v>
      </c>
      <c r="K254" s="3">
        <v>17.630659999999999</v>
      </c>
      <c r="L254" s="3">
        <f t="shared" si="30"/>
        <v>1.5289900000000003</v>
      </c>
      <c r="M254" s="3">
        <f t="shared" si="31"/>
        <v>3.1993699999999983</v>
      </c>
      <c r="N254" s="3">
        <f t="shared" si="32"/>
        <v>3.8126099999999994</v>
      </c>
      <c r="O254" s="3">
        <f t="shared" si="33"/>
        <v>4.153220000000001</v>
      </c>
      <c r="P254" s="3">
        <f t="shared" si="34"/>
        <v>1.670379999999998</v>
      </c>
      <c r="Q254" s="3">
        <f t="shared" si="35"/>
        <v>2.2836199999999991</v>
      </c>
      <c r="R254" s="3">
        <f t="shared" si="36"/>
        <v>2.6242300000000007</v>
      </c>
      <c r="S254" s="3">
        <f t="shared" si="37"/>
        <v>0.61324000000000112</v>
      </c>
      <c r="T254" s="3">
        <f t="shared" si="38"/>
        <v>0.95385000000000275</v>
      </c>
      <c r="U254" s="3">
        <f t="shared" si="39"/>
        <v>0.34061000000000163</v>
      </c>
    </row>
    <row r="255" spans="1:21" x14ac:dyDescent="0.25">
      <c r="A255" s="3">
        <v>1.2376624736911301E+18</v>
      </c>
      <c r="B255" s="3">
        <v>236.63802999999999</v>
      </c>
      <c r="C255" s="3">
        <v>35.971592000000001</v>
      </c>
      <c r="D255" s="3">
        <v>0.33570309999999998</v>
      </c>
      <c r="E255" s="3">
        <v>1.8655422469658061</v>
      </c>
      <c r="F255" s="3">
        <v>100710.93</v>
      </c>
      <c r="G255" s="3">
        <v>21.78388</v>
      </c>
      <c r="H255" s="3">
        <v>20.25489</v>
      </c>
      <c r="I255" s="3">
        <v>18.584510000000002</v>
      </c>
      <c r="J255" s="3">
        <v>17.971270000000001</v>
      </c>
      <c r="K255" s="3">
        <v>17.630659999999999</v>
      </c>
      <c r="L255" s="3">
        <f t="shared" si="30"/>
        <v>1.5289900000000003</v>
      </c>
      <c r="M255" s="3">
        <f t="shared" si="31"/>
        <v>3.1993699999999983</v>
      </c>
      <c r="N255" s="3">
        <f t="shared" si="32"/>
        <v>3.8126099999999994</v>
      </c>
      <c r="O255" s="3">
        <f t="shared" si="33"/>
        <v>4.153220000000001</v>
      </c>
      <c r="P255" s="3">
        <f t="shared" si="34"/>
        <v>1.670379999999998</v>
      </c>
      <c r="Q255" s="3">
        <f t="shared" si="35"/>
        <v>2.2836199999999991</v>
      </c>
      <c r="R255" s="3">
        <f t="shared" si="36"/>
        <v>2.6242300000000007</v>
      </c>
      <c r="S255" s="3">
        <f t="shared" si="37"/>
        <v>0.61324000000000112</v>
      </c>
      <c r="T255" s="3">
        <f t="shared" si="38"/>
        <v>0.95385000000000275</v>
      </c>
      <c r="U255" s="3">
        <f t="shared" si="39"/>
        <v>0.34061000000000163</v>
      </c>
    </row>
    <row r="256" spans="1:21" x14ac:dyDescent="0.25">
      <c r="A256" s="3">
        <v>1.2376625032189E+18</v>
      </c>
      <c r="B256" s="3">
        <v>236.37397000000001</v>
      </c>
      <c r="C256" s="3">
        <v>35.988281999999998</v>
      </c>
      <c r="D256" s="3">
        <v>0.33589970000000002</v>
      </c>
      <c r="E256" s="3">
        <v>0.85993047088186947</v>
      </c>
      <c r="F256" s="3">
        <v>100769.91</v>
      </c>
      <c r="G256" s="3">
        <v>23.75038</v>
      </c>
      <c r="H256" s="3">
        <v>21.52581</v>
      </c>
      <c r="I256" s="3">
        <v>19.591629999999999</v>
      </c>
      <c r="J256" s="3">
        <v>18.95215</v>
      </c>
      <c r="K256" s="3">
        <v>18.595210000000002</v>
      </c>
      <c r="L256" s="3">
        <f t="shared" si="30"/>
        <v>2.2245699999999999</v>
      </c>
      <c r="M256" s="3">
        <f t="shared" si="31"/>
        <v>4.1587500000000013</v>
      </c>
      <c r="N256" s="3">
        <f t="shared" si="32"/>
        <v>4.7982300000000002</v>
      </c>
      <c r="O256" s="3">
        <f t="shared" si="33"/>
        <v>5.1551699999999983</v>
      </c>
      <c r="P256" s="3">
        <f t="shared" si="34"/>
        <v>1.9341800000000013</v>
      </c>
      <c r="Q256" s="3">
        <f t="shared" si="35"/>
        <v>2.5736600000000003</v>
      </c>
      <c r="R256" s="3">
        <f t="shared" si="36"/>
        <v>2.9305999999999983</v>
      </c>
      <c r="S256" s="3">
        <f t="shared" si="37"/>
        <v>0.63947999999999894</v>
      </c>
      <c r="T256" s="3">
        <f t="shared" si="38"/>
        <v>0.99641999999999697</v>
      </c>
      <c r="U256" s="3">
        <f t="shared" si="39"/>
        <v>0.35693999999999804</v>
      </c>
    </row>
    <row r="257" spans="1:21" x14ac:dyDescent="0.25">
      <c r="A257" s="3">
        <v>1.23766146598607E+18</v>
      </c>
      <c r="B257" s="3">
        <v>235.76340999999999</v>
      </c>
      <c r="C257" s="3">
        <v>35.987408000000002</v>
      </c>
      <c r="D257" s="3">
        <v>0.34294599999999997</v>
      </c>
      <c r="E257" s="3">
        <v>2.2061708813688576</v>
      </c>
      <c r="F257" s="3">
        <v>102883.79999999999</v>
      </c>
      <c r="G257" s="3">
        <v>25.352989999999998</v>
      </c>
      <c r="H257" s="3">
        <v>20.76202</v>
      </c>
      <c r="I257" s="3">
        <v>19.05039</v>
      </c>
      <c r="J257" s="3">
        <v>18.44708</v>
      </c>
      <c r="K257" s="3">
        <v>18.000779999999999</v>
      </c>
      <c r="L257" s="3">
        <f t="shared" si="30"/>
        <v>4.5909699999999987</v>
      </c>
      <c r="M257" s="3">
        <f t="shared" si="31"/>
        <v>6.3025999999999982</v>
      </c>
      <c r="N257" s="3">
        <f t="shared" si="32"/>
        <v>6.9059099999999987</v>
      </c>
      <c r="O257" s="3">
        <f t="shared" si="33"/>
        <v>7.3522099999999995</v>
      </c>
      <c r="P257" s="3">
        <f t="shared" si="34"/>
        <v>1.7116299999999995</v>
      </c>
      <c r="Q257" s="3">
        <f t="shared" si="35"/>
        <v>2.31494</v>
      </c>
      <c r="R257" s="3">
        <f t="shared" si="36"/>
        <v>2.7612400000000008</v>
      </c>
      <c r="S257" s="3">
        <f t="shared" si="37"/>
        <v>0.60331000000000046</v>
      </c>
      <c r="T257" s="3">
        <f t="shared" si="38"/>
        <v>1.0496100000000013</v>
      </c>
      <c r="U257" s="3">
        <f t="shared" si="39"/>
        <v>0.44630000000000081</v>
      </c>
    </row>
    <row r="258" spans="1:21" x14ac:dyDescent="0.25">
      <c r="A258" s="3">
        <v>1.23766247315439E+18</v>
      </c>
      <c r="B258" s="3">
        <v>236.75125</v>
      </c>
      <c r="C258" s="3">
        <v>35.593806999999998</v>
      </c>
      <c r="D258" s="3">
        <v>0.36033280000000001</v>
      </c>
      <c r="E258" s="3">
        <v>3.5537035700117889</v>
      </c>
      <c r="F258" s="3">
        <v>108099.84</v>
      </c>
      <c r="G258" s="3">
        <v>22.79458</v>
      </c>
      <c r="H258" s="3">
        <v>20.793530000000001</v>
      </c>
      <c r="I258" s="3">
        <v>18.984749999999998</v>
      </c>
      <c r="J258" s="3">
        <v>18.375229999999998</v>
      </c>
      <c r="K258" s="3">
        <v>17.97542</v>
      </c>
      <c r="L258" s="3">
        <f t="shared" ref="L258:L321" si="40">G258-H258</f>
        <v>2.0010499999999993</v>
      </c>
      <c r="M258" s="3">
        <f t="shared" ref="M258:M321" si="41">G258-I258</f>
        <v>3.8098300000000016</v>
      </c>
      <c r="N258" s="3">
        <f t="shared" ref="N258:N321" si="42">G258-J258</f>
        <v>4.4193500000000014</v>
      </c>
      <c r="O258" s="3">
        <f t="shared" ref="O258:O321" si="43">G258-K258</f>
        <v>4.8191600000000001</v>
      </c>
      <c r="P258" s="3">
        <f t="shared" ref="P258:P321" si="44">H258-I258</f>
        <v>1.8087800000000023</v>
      </c>
      <c r="Q258" s="3">
        <f t="shared" ref="Q258:Q321" si="45">H258-J258</f>
        <v>2.4183000000000021</v>
      </c>
      <c r="R258" s="3">
        <f t="shared" ref="R258:R321" si="46">H258-K258</f>
        <v>2.8181100000000008</v>
      </c>
      <c r="S258" s="3">
        <f t="shared" ref="S258:S321" si="47">I258-J258</f>
        <v>0.60951999999999984</v>
      </c>
      <c r="T258" s="3">
        <f t="shared" ref="T258:T321" si="48">I258-K258</f>
        <v>1.0093299999999985</v>
      </c>
      <c r="U258" s="3">
        <f t="shared" ref="U258:U321" si="49">J258-K258</f>
        <v>0.39980999999999867</v>
      </c>
    </row>
    <row r="259" spans="1:21" x14ac:dyDescent="0.25">
      <c r="A259" s="3">
        <v>1.23766146598607E+18</v>
      </c>
      <c r="B259" s="3">
        <v>235.68163999999999</v>
      </c>
      <c r="C259" s="3">
        <v>35.946770999999998</v>
      </c>
      <c r="D259" s="3">
        <v>0.363485</v>
      </c>
      <c r="E259" s="3">
        <v>2.6147874160615268</v>
      </c>
      <c r="F259" s="3">
        <v>109045.5</v>
      </c>
      <c r="G259" s="3">
        <v>24.268509999999999</v>
      </c>
      <c r="H259" s="3">
        <v>20.695319999999999</v>
      </c>
      <c r="I259" s="3">
        <v>18.98856</v>
      </c>
      <c r="J259" s="3">
        <v>18.41029</v>
      </c>
      <c r="K259" s="3">
        <v>18.0839</v>
      </c>
      <c r="L259" s="3">
        <f t="shared" si="40"/>
        <v>3.5731900000000003</v>
      </c>
      <c r="M259" s="3">
        <f t="shared" si="41"/>
        <v>5.2799499999999995</v>
      </c>
      <c r="N259" s="3">
        <f t="shared" si="42"/>
        <v>5.8582199999999993</v>
      </c>
      <c r="O259" s="3">
        <f t="shared" si="43"/>
        <v>6.1846099999999993</v>
      </c>
      <c r="P259" s="3">
        <f t="shared" si="44"/>
        <v>1.7067599999999992</v>
      </c>
      <c r="Q259" s="3">
        <f t="shared" si="45"/>
        <v>2.285029999999999</v>
      </c>
      <c r="R259" s="3">
        <f t="shared" si="46"/>
        <v>2.611419999999999</v>
      </c>
      <c r="S259" s="3">
        <f t="shared" si="47"/>
        <v>0.57826999999999984</v>
      </c>
      <c r="T259" s="3">
        <f t="shared" si="48"/>
        <v>0.9046599999999998</v>
      </c>
      <c r="U259" s="3">
        <f t="shared" si="49"/>
        <v>0.32638999999999996</v>
      </c>
    </row>
    <row r="260" spans="1:21" x14ac:dyDescent="0.25">
      <c r="A260" s="3">
        <v>1.23766146598607E+18</v>
      </c>
      <c r="B260" s="3">
        <v>235.79597000000001</v>
      </c>
      <c r="C260" s="3">
        <v>36.101492999999998</v>
      </c>
      <c r="D260" s="3">
        <v>0.3656392</v>
      </c>
      <c r="E260" s="3">
        <v>1.9625294190273235</v>
      </c>
      <c r="F260" s="3">
        <v>109691.76</v>
      </c>
      <c r="G260" s="3">
        <v>23.20739</v>
      </c>
      <c r="H260" s="3">
        <v>20.762260000000001</v>
      </c>
      <c r="I260" s="3">
        <v>18.999220000000001</v>
      </c>
      <c r="J260" s="3">
        <v>18.36525</v>
      </c>
      <c r="K260" s="3">
        <v>17.944430000000001</v>
      </c>
      <c r="L260" s="3">
        <f t="shared" si="40"/>
        <v>2.4451299999999989</v>
      </c>
      <c r="M260" s="3">
        <f t="shared" si="41"/>
        <v>4.2081699999999991</v>
      </c>
      <c r="N260" s="3">
        <f t="shared" si="42"/>
        <v>4.8421400000000006</v>
      </c>
      <c r="O260" s="3">
        <f t="shared" si="43"/>
        <v>5.2629599999999996</v>
      </c>
      <c r="P260" s="3">
        <f t="shared" si="44"/>
        <v>1.7630400000000002</v>
      </c>
      <c r="Q260" s="3">
        <f t="shared" si="45"/>
        <v>2.3970100000000016</v>
      </c>
      <c r="R260" s="3">
        <f t="shared" si="46"/>
        <v>2.8178300000000007</v>
      </c>
      <c r="S260" s="3">
        <f t="shared" si="47"/>
        <v>0.63397000000000148</v>
      </c>
      <c r="T260" s="3">
        <f t="shared" si="48"/>
        <v>1.0547900000000006</v>
      </c>
      <c r="U260" s="3">
        <f t="shared" si="49"/>
        <v>0.42081999999999908</v>
      </c>
    </row>
    <row r="261" spans="1:21" x14ac:dyDescent="0.25">
      <c r="A261" s="3">
        <v>1.23766146598607E+18</v>
      </c>
      <c r="B261" s="3">
        <v>235.80125000000001</v>
      </c>
      <c r="C261" s="3">
        <v>36.126528999999998</v>
      </c>
      <c r="D261" s="3">
        <v>0.36632550000000003</v>
      </c>
      <c r="E261" s="3">
        <v>1.9409148848204996</v>
      </c>
      <c r="F261" s="3">
        <v>109897.65000000001</v>
      </c>
      <c r="G261" s="3">
        <v>23.629619999999999</v>
      </c>
      <c r="H261" s="3">
        <v>21.520060000000001</v>
      </c>
      <c r="I261" s="3">
        <v>20.272480000000002</v>
      </c>
      <c r="J261" s="3">
        <v>19.5425</v>
      </c>
      <c r="K261" s="3">
        <v>19.17108</v>
      </c>
      <c r="L261" s="3">
        <f t="shared" si="40"/>
        <v>2.1095599999999983</v>
      </c>
      <c r="M261" s="3">
        <f t="shared" si="41"/>
        <v>3.3571399999999976</v>
      </c>
      <c r="N261" s="3">
        <f t="shared" si="42"/>
        <v>4.0871199999999988</v>
      </c>
      <c r="O261" s="3">
        <f t="shared" si="43"/>
        <v>4.4585399999999993</v>
      </c>
      <c r="P261" s="3">
        <f t="shared" si="44"/>
        <v>1.2475799999999992</v>
      </c>
      <c r="Q261" s="3">
        <f t="shared" si="45"/>
        <v>1.9775600000000004</v>
      </c>
      <c r="R261" s="3">
        <f t="shared" si="46"/>
        <v>2.348980000000001</v>
      </c>
      <c r="S261" s="3">
        <f t="shared" si="47"/>
        <v>0.72998000000000118</v>
      </c>
      <c r="T261" s="3">
        <f t="shared" si="48"/>
        <v>1.1014000000000017</v>
      </c>
      <c r="U261" s="3">
        <f t="shared" si="49"/>
        <v>0.37142000000000053</v>
      </c>
    </row>
    <row r="262" spans="1:21" x14ac:dyDescent="0.25">
      <c r="A262" s="3">
        <v>1.23766250375584E+18</v>
      </c>
      <c r="B262" s="3">
        <v>236.69497000000001</v>
      </c>
      <c r="C262" s="3">
        <v>36.273215</v>
      </c>
      <c r="D262" s="3">
        <v>0.3701702</v>
      </c>
      <c r="E262" s="3">
        <v>2.1458841173684173</v>
      </c>
      <c r="F262" s="3">
        <v>111051.06</v>
      </c>
      <c r="G262" s="3">
        <v>24.798839999999998</v>
      </c>
      <c r="H262" s="3">
        <v>21.38984</v>
      </c>
      <c r="I262" s="3">
        <v>19.408999999999999</v>
      </c>
      <c r="J262" s="3">
        <v>18.857399999999998</v>
      </c>
      <c r="K262" s="3">
        <v>18.44774</v>
      </c>
      <c r="L262" s="3">
        <f t="shared" si="40"/>
        <v>3.4089999999999989</v>
      </c>
      <c r="M262" s="3">
        <f t="shared" si="41"/>
        <v>5.3898399999999995</v>
      </c>
      <c r="N262" s="3">
        <f t="shared" si="42"/>
        <v>5.9414400000000001</v>
      </c>
      <c r="O262" s="3">
        <f t="shared" si="43"/>
        <v>6.3510999999999989</v>
      </c>
      <c r="P262" s="3">
        <f t="shared" si="44"/>
        <v>1.9808400000000006</v>
      </c>
      <c r="Q262" s="3">
        <f t="shared" si="45"/>
        <v>2.5324400000000011</v>
      </c>
      <c r="R262" s="3">
        <f t="shared" si="46"/>
        <v>2.9420999999999999</v>
      </c>
      <c r="S262" s="3">
        <f t="shared" si="47"/>
        <v>0.55160000000000053</v>
      </c>
      <c r="T262" s="3">
        <f t="shared" si="48"/>
        <v>0.96125999999999934</v>
      </c>
      <c r="U262" s="3">
        <f t="shared" si="49"/>
        <v>0.4096599999999988</v>
      </c>
    </row>
    <row r="263" spans="1:21" x14ac:dyDescent="0.25">
      <c r="A263" s="3">
        <v>1.2376624736906701E+18</v>
      </c>
      <c r="B263" s="3">
        <v>235.74728999999999</v>
      </c>
      <c r="C263" s="3">
        <v>36.616</v>
      </c>
      <c r="D263" s="3">
        <v>0.3710869</v>
      </c>
      <c r="E263" s="3">
        <v>3.4884889462950373</v>
      </c>
      <c r="F263" s="3">
        <v>111326.06999999999</v>
      </c>
      <c r="G263" s="3">
        <v>22.021920000000001</v>
      </c>
      <c r="H263" s="3">
        <v>21.107089999999999</v>
      </c>
      <c r="I263" s="3">
        <v>19.26071</v>
      </c>
      <c r="J263" s="3">
        <v>18.626180000000002</v>
      </c>
      <c r="K263" s="3">
        <v>18.22242</v>
      </c>
      <c r="L263" s="3">
        <f t="shared" si="40"/>
        <v>0.91483000000000203</v>
      </c>
      <c r="M263" s="3">
        <f t="shared" si="41"/>
        <v>2.7612100000000019</v>
      </c>
      <c r="N263" s="3">
        <f t="shared" si="42"/>
        <v>3.39574</v>
      </c>
      <c r="O263" s="3">
        <f t="shared" si="43"/>
        <v>3.7995000000000019</v>
      </c>
      <c r="P263" s="3">
        <f t="shared" si="44"/>
        <v>1.8463799999999999</v>
      </c>
      <c r="Q263" s="3">
        <f t="shared" si="45"/>
        <v>2.480909999999998</v>
      </c>
      <c r="R263" s="3">
        <f t="shared" si="46"/>
        <v>2.8846699999999998</v>
      </c>
      <c r="S263" s="3">
        <f t="shared" si="47"/>
        <v>0.63452999999999804</v>
      </c>
      <c r="T263" s="3">
        <f t="shared" si="48"/>
        <v>1.0382899999999999</v>
      </c>
      <c r="U263" s="3">
        <f t="shared" si="49"/>
        <v>0.4037600000000019</v>
      </c>
    </row>
    <row r="264" spans="1:21" x14ac:dyDescent="0.25">
      <c r="A264" s="3">
        <v>1.2376624736906701E+18</v>
      </c>
      <c r="B264" s="3">
        <v>235.74728999999999</v>
      </c>
      <c r="C264" s="3">
        <v>36.616</v>
      </c>
      <c r="D264" s="3">
        <v>0.37119350000000001</v>
      </c>
      <c r="E264" s="3">
        <v>3.4884889462950373</v>
      </c>
      <c r="F264" s="3">
        <v>111358.05</v>
      </c>
      <c r="G264" s="3">
        <v>22.021920000000001</v>
      </c>
      <c r="H264" s="3">
        <v>21.107089999999999</v>
      </c>
      <c r="I264" s="3">
        <v>19.26071</v>
      </c>
      <c r="J264" s="3">
        <v>18.626180000000002</v>
      </c>
      <c r="K264" s="3">
        <v>18.22242</v>
      </c>
      <c r="L264" s="3">
        <f t="shared" si="40"/>
        <v>0.91483000000000203</v>
      </c>
      <c r="M264" s="3">
        <f t="shared" si="41"/>
        <v>2.7612100000000019</v>
      </c>
      <c r="N264" s="3">
        <f t="shared" si="42"/>
        <v>3.39574</v>
      </c>
      <c r="O264" s="3">
        <f t="shared" si="43"/>
        <v>3.7995000000000019</v>
      </c>
      <c r="P264" s="3">
        <f t="shared" si="44"/>
        <v>1.8463799999999999</v>
      </c>
      <c r="Q264" s="3">
        <f t="shared" si="45"/>
        <v>2.480909999999998</v>
      </c>
      <c r="R264" s="3">
        <f t="shared" si="46"/>
        <v>2.8846699999999998</v>
      </c>
      <c r="S264" s="3">
        <f t="shared" si="47"/>
        <v>0.63452999999999804</v>
      </c>
      <c r="T264" s="3">
        <f t="shared" si="48"/>
        <v>1.0382899999999999</v>
      </c>
      <c r="U264" s="3">
        <f t="shared" si="49"/>
        <v>0.4037600000000019</v>
      </c>
    </row>
    <row r="265" spans="1:21" x14ac:dyDescent="0.25">
      <c r="A265" s="3">
        <v>1.2376625032188401E+18</v>
      </c>
      <c r="B265" s="3">
        <v>236.14241000000001</v>
      </c>
      <c r="C265" s="3">
        <v>36.196641999999997</v>
      </c>
      <c r="D265" s="3">
        <v>0.37121100000000001</v>
      </c>
      <c r="E265" s="3">
        <v>0.65192702688606985</v>
      </c>
      <c r="F265" s="3">
        <v>111363.3</v>
      </c>
      <c r="G265" s="3">
        <v>22.589040000000001</v>
      </c>
      <c r="H265" s="3">
        <v>20.123670000000001</v>
      </c>
      <c r="I265" s="3">
        <v>18.318490000000001</v>
      </c>
      <c r="J265" s="3">
        <v>17.703340000000001</v>
      </c>
      <c r="K265" s="3">
        <v>17.281770000000002</v>
      </c>
      <c r="L265" s="3">
        <f t="shared" si="40"/>
        <v>2.4653700000000001</v>
      </c>
      <c r="M265" s="3">
        <f t="shared" si="41"/>
        <v>4.2705500000000001</v>
      </c>
      <c r="N265" s="3">
        <f t="shared" si="42"/>
        <v>4.8856999999999999</v>
      </c>
      <c r="O265" s="3">
        <f t="shared" si="43"/>
        <v>5.307269999999999</v>
      </c>
      <c r="P265" s="3">
        <f t="shared" si="44"/>
        <v>1.80518</v>
      </c>
      <c r="Q265" s="3">
        <f t="shared" si="45"/>
        <v>2.4203299999999999</v>
      </c>
      <c r="R265" s="3">
        <f t="shared" si="46"/>
        <v>2.841899999999999</v>
      </c>
      <c r="S265" s="3">
        <f t="shared" si="47"/>
        <v>0.61514999999999986</v>
      </c>
      <c r="T265" s="3">
        <f t="shared" si="48"/>
        <v>1.036719999999999</v>
      </c>
      <c r="U265" s="3">
        <f t="shared" si="49"/>
        <v>0.42156999999999911</v>
      </c>
    </row>
    <row r="266" spans="1:21" x14ac:dyDescent="0.25">
      <c r="A266" s="3">
        <v>1.2376614659863301E+18</v>
      </c>
      <c r="B266" s="3">
        <v>236.45468</v>
      </c>
      <c r="C266" s="3">
        <v>35.680591999999997</v>
      </c>
      <c r="D266" s="3">
        <v>0.38168560000000001</v>
      </c>
      <c r="E266" s="3">
        <v>2.4877605455781753</v>
      </c>
      <c r="F266" s="3">
        <v>114505.68000000001</v>
      </c>
      <c r="G266" s="3">
        <v>22.753309999999999</v>
      </c>
      <c r="H266" s="3">
        <v>20.43272</v>
      </c>
      <c r="I266" s="3">
        <v>18.778459999999999</v>
      </c>
      <c r="J266" s="3">
        <v>18.106819999999999</v>
      </c>
      <c r="K266" s="3">
        <v>17.76529</v>
      </c>
      <c r="L266" s="3">
        <f t="shared" si="40"/>
        <v>2.3205899999999993</v>
      </c>
      <c r="M266" s="3">
        <f t="shared" si="41"/>
        <v>3.97485</v>
      </c>
      <c r="N266" s="3">
        <f t="shared" si="42"/>
        <v>4.64649</v>
      </c>
      <c r="O266" s="3">
        <f t="shared" si="43"/>
        <v>4.9880199999999988</v>
      </c>
      <c r="P266" s="3">
        <f t="shared" si="44"/>
        <v>1.6542600000000007</v>
      </c>
      <c r="Q266" s="3">
        <f t="shared" si="45"/>
        <v>2.3259000000000007</v>
      </c>
      <c r="R266" s="3">
        <f t="shared" si="46"/>
        <v>2.6674299999999995</v>
      </c>
      <c r="S266" s="3">
        <f t="shared" si="47"/>
        <v>0.67164000000000001</v>
      </c>
      <c r="T266" s="3">
        <f t="shared" si="48"/>
        <v>1.0131699999999988</v>
      </c>
      <c r="U266" s="3">
        <f t="shared" si="49"/>
        <v>0.34152999999999878</v>
      </c>
    </row>
    <row r="267" spans="1:21" x14ac:dyDescent="0.25">
      <c r="A267" s="3">
        <v>1.23766233786371E+18</v>
      </c>
      <c r="B267" s="3">
        <v>236.17215999999999</v>
      </c>
      <c r="C267" s="3">
        <v>35.598390999999999</v>
      </c>
      <c r="D267" s="3">
        <v>0.3828143</v>
      </c>
      <c r="E267" s="3">
        <v>2.7768718358410345</v>
      </c>
      <c r="F267" s="3">
        <v>114844.29</v>
      </c>
      <c r="G267" s="3">
        <v>23.817740000000001</v>
      </c>
      <c r="H267" s="3">
        <v>21.106369999999998</v>
      </c>
      <c r="I267" s="3">
        <v>19.342079999999999</v>
      </c>
      <c r="J267" s="3">
        <v>18.692599999999999</v>
      </c>
      <c r="K267" s="3">
        <v>18.263590000000001</v>
      </c>
      <c r="L267" s="3">
        <f t="shared" si="40"/>
        <v>2.7113700000000023</v>
      </c>
      <c r="M267" s="3">
        <f t="shared" si="41"/>
        <v>4.4756600000000013</v>
      </c>
      <c r="N267" s="3">
        <f t="shared" si="42"/>
        <v>5.1251400000000018</v>
      </c>
      <c r="O267" s="3">
        <f t="shared" si="43"/>
        <v>5.5541499999999999</v>
      </c>
      <c r="P267" s="3">
        <f t="shared" si="44"/>
        <v>1.764289999999999</v>
      </c>
      <c r="Q267" s="3">
        <f t="shared" si="45"/>
        <v>2.4137699999999995</v>
      </c>
      <c r="R267" s="3">
        <f t="shared" si="46"/>
        <v>2.8427799999999976</v>
      </c>
      <c r="S267" s="3">
        <f t="shared" si="47"/>
        <v>0.6494800000000005</v>
      </c>
      <c r="T267" s="3">
        <f t="shared" si="48"/>
        <v>1.0784899999999986</v>
      </c>
      <c r="U267" s="3">
        <f t="shared" si="49"/>
        <v>0.42900999999999812</v>
      </c>
    </row>
    <row r="268" spans="1:21" x14ac:dyDescent="0.25">
      <c r="A268" s="3">
        <v>1.23766247422781E+18</v>
      </c>
      <c r="B268" s="3">
        <v>236.58484999999999</v>
      </c>
      <c r="C268" s="3">
        <v>36.554713</v>
      </c>
      <c r="D268" s="3">
        <v>0.40805190000000002</v>
      </c>
      <c r="E268" s="3">
        <v>2.8185274235867444</v>
      </c>
      <c r="F268" s="3">
        <v>122415.57</v>
      </c>
      <c r="G268" s="3">
        <v>25.67492</v>
      </c>
      <c r="H268" s="3">
        <v>20.795390000000001</v>
      </c>
      <c r="I268" s="3">
        <v>19.09609</v>
      </c>
      <c r="J268" s="3">
        <v>18.46659</v>
      </c>
      <c r="K268" s="3">
        <v>18.095050000000001</v>
      </c>
      <c r="L268" s="3">
        <f t="shared" si="40"/>
        <v>4.879529999999999</v>
      </c>
      <c r="M268" s="3">
        <f t="shared" si="41"/>
        <v>6.57883</v>
      </c>
      <c r="N268" s="3">
        <f t="shared" si="42"/>
        <v>7.2083300000000001</v>
      </c>
      <c r="O268" s="3">
        <f t="shared" si="43"/>
        <v>7.5798699999999997</v>
      </c>
      <c r="P268" s="3">
        <f t="shared" si="44"/>
        <v>1.6993000000000009</v>
      </c>
      <c r="Q268" s="3">
        <f t="shared" si="45"/>
        <v>2.3288000000000011</v>
      </c>
      <c r="R268" s="3">
        <f t="shared" si="46"/>
        <v>2.7003400000000006</v>
      </c>
      <c r="S268" s="3">
        <f t="shared" si="47"/>
        <v>0.62950000000000017</v>
      </c>
      <c r="T268" s="3">
        <f t="shared" si="48"/>
        <v>1.0010399999999997</v>
      </c>
      <c r="U268" s="3">
        <f t="shared" si="49"/>
        <v>0.37153999999999954</v>
      </c>
    </row>
    <row r="269" spans="1:21" x14ac:dyDescent="0.25">
      <c r="A269" s="3">
        <v>1.2376614659861299E+18</v>
      </c>
      <c r="B269" s="3">
        <v>236.04415</v>
      </c>
      <c r="C269" s="3">
        <v>35.959890999999999</v>
      </c>
      <c r="D269" s="3">
        <v>0.4091612</v>
      </c>
      <c r="E269" s="3">
        <v>1.1946724163890003</v>
      </c>
      <c r="F269" s="3">
        <v>122748.36</v>
      </c>
      <c r="G269" s="3">
        <v>26.228729999999999</v>
      </c>
      <c r="H269" s="3">
        <v>21.444299999999998</v>
      </c>
      <c r="I269" s="3">
        <v>19.63261</v>
      </c>
      <c r="J269" s="3">
        <v>18.94717</v>
      </c>
      <c r="K269" s="3">
        <v>18.537980000000001</v>
      </c>
      <c r="L269" s="3">
        <f t="shared" si="40"/>
        <v>4.7844300000000004</v>
      </c>
      <c r="M269" s="3">
        <f t="shared" si="41"/>
        <v>6.5961199999999991</v>
      </c>
      <c r="N269" s="3">
        <f t="shared" si="42"/>
        <v>7.2815599999999989</v>
      </c>
      <c r="O269" s="3">
        <f t="shared" si="43"/>
        <v>7.6907499999999978</v>
      </c>
      <c r="P269" s="3">
        <f t="shared" si="44"/>
        <v>1.8116899999999987</v>
      </c>
      <c r="Q269" s="3">
        <f t="shared" si="45"/>
        <v>2.4971299999999985</v>
      </c>
      <c r="R269" s="3">
        <f t="shared" si="46"/>
        <v>2.9063199999999973</v>
      </c>
      <c r="S269" s="3">
        <f t="shared" si="47"/>
        <v>0.68543999999999983</v>
      </c>
      <c r="T269" s="3">
        <f t="shared" si="48"/>
        <v>1.0946299999999987</v>
      </c>
      <c r="U269" s="3">
        <f t="shared" si="49"/>
        <v>0.40918999999999883</v>
      </c>
    </row>
    <row r="270" spans="1:21" x14ac:dyDescent="0.25">
      <c r="A270" s="3">
        <v>1.23766146598627E+18</v>
      </c>
      <c r="B270" s="3">
        <v>236.26492999999999</v>
      </c>
      <c r="C270" s="3">
        <v>35.732382000000001</v>
      </c>
      <c r="D270" s="3">
        <v>0.41451919999999998</v>
      </c>
      <c r="E270" s="3">
        <v>2.0365989355053751</v>
      </c>
      <c r="F270" s="3">
        <v>124355.76</v>
      </c>
      <c r="G270" s="3">
        <v>22.472359999999998</v>
      </c>
      <c r="H270" s="3">
        <v>21.011119999999998</v>
      </c>
      <c r="I270" s="3">
        <v>19.261119999999998</v>
      </c>
      <c r="J270" s="3">
        <v>18.573720000000002</v>
      </c>
      <c r="K270" s="3">
        <v>18.182369999999999</v>
      </c>
      <c r="L270" s="3">
        <f t="shared" si="40"/>
        <v>1.4612400000000001</v>
      </c>
      <c r="M270" s="3">
        <f t="shared" si="41"/>
        <v>3.2112400000000001</v>
      </c>
      <c r="N270" s="3">
        <f t="shared" si="42"/>
        <v>3.8986399999999968</v>
      </c>
      <c r="O270" s="3">
        <f t="shared" si="43"/>
        <v>4.2899899999999995</v>
      </c>
      <c r="P270" s="3">
        <f t="shared" si="44"/>
        <v>1.75</v>
      </c>
      <c r="Q270" s="3">
        <f t="shared" si="45"/>
        <v>2.4373999999999967</v>
      </c>
      <c r="R270" s="3">
        <f t="shared" si="46"/>
        <v>2.8287499999999994</v>
      </c>
      <c r="S270" s="3">
        <f t="shared" si="47"/>
        <v>0.68739999999999668</v>
      </c>
      <c r="T270" s="3">
        <f t="shared" si="48"/>
        <v>1.0787499999999994</v>
      </c>
      <c r="U270" s="3">
        <f t="shared" si="49"/>
        <v>0.39135000000000275</v>
      </c>
    </row>
    <row r="271" spans="1:21" x14ac:dyDescent="0.25">
      <c r="A271" s="3">
        <v>1.23766146598627E+18</v>
      </c>
      <c r="B271" s="3">
        <v>236.26492999999999</v>
      </c>
      <c r="C271" s="3">
        <v>35.732382000000001</v>
      </c>
      <c r="D271" s="3">
        <v>0.41459449999999998</v>
      </c>
      <c r="E271" s="3">
        <v>2.0365989355053751</v>
      </c>
      <c r="F271" s="3">
        <v>124378.34999999999</v>
      </c>
      <c r="G271" s="3">
        <v>22.472359999999998</v>
      </c>
      <c r="H271" s="3">
        <v>21.011119999999998</v>
      </c>
      <c r="I271" s="3">
        <v>19.261119999999998</v>
      </c>
      <c r="J271" s="3">
        <v>18.573720000000002</v>
      </c>
      <c r="K271" s="3">
        <v>18.182369999999999</v>
      </c>
      <c r="L271" s="3">
        <f t="shared" si="40"/>
        <v>1.4612400000000001</v>
      </c>
      <c r="M271" s="3">
        <f t="shared" si="41"/>
        <v>3.2112400000000001</v>
      </c>
      <c r="N271" s="3">
        <f t="shared" si="42"/>
        <v>3.8986399999999968</v>
      </c>
      <c r="O271" s="3">
        <f t="shared" si="43"/>
        <v>4.2899899999999995</v>
      </c>
      <c r="P271" s="3">
        <f t="shared" si="44"/>
        <v>1.75</v>
      </c>
      <c r="Q271" s="3">
        <f t="shared" si="45"/>
        <v>2.4373999999999967</v>
      </c>
      <c r="R271" s="3">
        <f t="shared" si="46"/>
        <v>2.8287499999999994</v>
      </c>
      <c r="S271" s="3">
        <f t="shared" si="47"/>
        <v>0.68739999999999668</v>
      </c>
      <c r="T271" s="3">
        <f t="shared" si="48"/>
        <v>1.0787499999999994</v>
      </c>
      <c r="U271" s="3">
        <f t="shared" si="49"/>
        <v>0.39135000000000275</v>
      </c>
    </row>
    <row r="272" spans="1:21" x14ac:dyDescent="0.25">
      <c r="A272" s="3">
        <v>1.2376614654493299E+18</v>
      </c>
      <c r="B272" s="3">
        <v>235.78387000000001</v>
      </c>
      <c r="C272" s="3">
        <v>35.609974000000001</v>
      </c>
      <c r="D272" s="3">
        <v>0.42717250000000001</v>
      </c>
      <c r="E272" s="3">
        <v>3.3691304260040975</v>
      </c>
      <c r="F272" s="3">
        <v>128151.75</v>
      </c>
      <c r="G272" s="3">
        <v>23.328970000000002</v>
      </c>
      <c r="H272" s="3">
        <v>20.73442</v>
      </c>
      <c r="I272" s="3">
        <v>19.024850000000001</v>
      </c>
      <c r="J272" s="3">
        <v>18.25196</v>
      </c>
      <c r="K272" s="3">
        <v>17.809920000000002</v>
      </c>
      <c r="L272" s="3">
        <f t="shared" si="40"/>
        <v>2.5945500000000017</v>
      </c>
      <c r="M272" s="3">
        <f t="shared" si="41"/>
        <v>4.3041200000000011</v>
      </c>
      <c r="N272" s="3">
        <f t="shared" si="42"/>
        <v>5.0770100000000014</v>
      </c>
      <c r="O272" s="3">
        <f t="shared" si="43"/>
        <v>5.51905</v>
      </c>
      <c r="P272" s="3">
        <f t="shared" si="44"/>
        <v>1.7095699999999994</v>
      </c>
      <c r="Q272" s="3">
        <f t="shared" si="45"/>
        <v>2.4824599999999997</v>
      </c>
      <c r="R272" s="3">
        <f t="shared" si="46"/>
        <v>2.9244999999999983</v>
      </c>
      <c r="S272" s="3">
        <f t="shared" si="47"/>
        <v>0.7728900000000003</v>
      </c>
      <c r="T272" s="3">
        <f t="shared" si="48"/>
        <v>1.214929999999999</v>
      </c>
      <c r="U272" s="3">
        <f t="shared" si="49"/>
        <v>0.44203999999999866</v>
      </c>
    </row>
    <row r="273" spans="1:21" x14ac:dyDescent="0.25">
      <c r="A273" s="3">
        <v>1.2376623378635799E+18</v>
      </c>
      <c r="B273" s="3">
        <v>235.85176000000001</v>
      </c>
      <c r="C273" s="3">
        <v>35.664484999999999</v>
      </c>
      <c r="D273" s="3">
        <v>0.42906169999999999</v>
      </c>
      <c r="E273" s="3">
        <v>2.9558975483264396</v>
      </c>
      <c r="F273" s="3">
        <v>128718.51</v>
      </c>
      <c r="G273" s="3">
        <v>23.379449999999999</v>
      </c>
      <c r="H273" s="3">
        <v>20.603380000000001</v>
      </c>
      <c r="I273" s="3">
        <v>18.785530000000001</v>
      </c>
      <c r="J273" s="3">
        <v>18.078600000000002</v>
      </c>
      <c r="K273" s="3">
        <v>17.658110000000001</v>
      </c>
      <c r="L273" s="3">
        <f t="shared" si="40"/>
        <v>2.7760699999999972</v>
      </c>
      <c r="M273" s="3">
        <f t="shared" si="41"/>
        <v>4.5939199999999971</v>
      </c>
      <c r="N273" s="3">
        <f t="shared" si="42"/>
        <v>5.300849999999997</v>
      </c>
      <c r="O273" s="3">
        <f t="shared" si="43"/>
        <v>5.7213399999999979</v>
      </c>
      <c r="P273" s="3">
        <f t="shared" si="44"/>
        <v>1.81785</v>
      </c>
      <c r="Q273" s="3">
        <f t="shared" si="45"/>
        <v>2.5247799999999998</v>
      </c>
      <c r="R273" s="3">
        <f t="shared" si="46"/>
        <v>2.9452700000000007</v>
      </c>
      <c r="S273" s="3">
        <f t="shared" si="47"/>
        <v>0.70692999999999984</v>
      </c>
      <c r="T273" s="3">
        <f t="shared" si="48"/>
        <v>1.1274200000000008</v>
      </c>
      <c r="U273" s="3">
        <f t="shared" si="49"/>
        <v>0.42049000000000092</v>
      </c>
    </row>
    <row r="274" spans="1:21" x14ac:dyDescent="0.25">
      <c r="A274" s="3">
        <v>1.2376614659862001E+18</v>
      </c>
      <c r="B274" s="3">
        <v>236.07709</v>
      </c>
      <c r="C274" s="3">
        <v>35.854717999999998</v>
      </c>
      <c r="D274" s="3">
        <v>0.42921300000000001</v>
      </c>
      <c r="E274" s="3">
        <v>1.560055640641538</v>
      </c>
      <c r="F274" s="3">
        <v>128763.90000000001</v>
      </c>
      <c r="G274" s="3">
        <v>22.923300000000001</v>
      </c>
      <c r="H274" s="3">
        <v>21.285900000000002</v>
      </c>
      <c r="I274" s="3">
        <v>19.573229999999999</v>
      </c>
      <c r="J274" s="3">
        <v>18.847329999999999</v>
      </c>
      <c r="K274" s="3">
        <v>18.380019999999998</v>
      </c>
      <c r="L274" s="3">
        <f t="shared" si="40"/>
        <v>1.6373999999999995</v>
      </c>
      <c r="M274" s="3">
        <f t="shared" si="41"/>
        <v>3.3500700000000023</v>
      </c>
      <c r="N274" s="3">
        <f t="shared" si="42"/>
        <v>4.0759700000000016</v>
      </c>
      <c r="O274" s="3">
        <f t="shared" si="43"/>
        <v>4.5432800000000029</v>
      </c>
      <c r="P274" s="3">
        <f t="shared" si="44"/>
        <v>1.7126700000000028</v>
      </c>
      <c r="Q274" s="3">
        <f t="shared" si="45"/>
        <v>2.4385700000000021</v>
      </c>
      <c r="R274" s="3">
        <f t="shared" si="46"/>
        <v>2.9058800000000033</v>
      </c>
      <c r="S274" s="3">
        <f t="shared" si="47"/>
        <v>0.72589999999999932</v>
      </c>
      <c r="T274" s="3">
        <f t="shared" si="48"/>
        <v>1.1932100000000005</v>
      </c>
      <c r="U274" s="3">
        <f t="shared" si="49"/>
        <v>0.46731000000000122</v>
      </c>
    </row>
    <row r="275" spans="1:21" x14ac:dyDescent="0.25">
      <c r="A275" s="3">
        <v>1.2376614659861299E+18</v>
      </c>
      <c r="B275" s="3">
        <v>235.90709000000001</v>
      </c>
      <c r="C275" s="3">
        <v>36.014389999999999</v>
      </c>
      <c r="D275" s="3">
        <v>0.4303167</v>
      </c>
      <c r="E275" s="3">
        <v>1.5648746152776618</v>
      </c>
      <c r="F275" s="3">
        <v>129095.01</v>
      </c>
      <c r="G275" s="3">
        <v>21.90954</v>
      </c>
      <c r="H275" s="3">
        <v>20.736350000000002</v>
      </c>
      <c r="I275" s="3">
        <v>19.528770000000002</v>
      </c>
      <c r="J275" s="3">
        <v>19.046340000000001</v>
      </c>
      <c r="K275" s="3">
        <v>18.60455</v>
      </c>
      <c r="L275" s="3">
        <f t="shared" si="40"/>
        <v>1.1731899999999982</v>
      </c>
      <c r="M275" s="3">
        <f t="shared" si="41"/>
        <v>2.3807699999999983</v>
      </c>
      <c r="N275" s="3">
        <f t="shared" si="42"/>
        <v>2.8631999999999991</v>
      </c>
      <c r="O275" s="3">
        <f t="shared" si="43"/>
        <v>3.3049900000000001</v>
      </c>
      <c r="P275" s="3">
        <f t="shared" si="44"/>
        <v>1.2075800000000001</v>
      </c>
      <c r="Q275" s="3">
        <f t="shared" si="45"/>
        <v>1.6900100000000009</v>
      </c>
      <c r="R275" s="3">
        <f t="shared" si="46"/>
        <v>2.1318000000000019</v>
      </c>
      <c r="S275" s="3">
        <f t="shared" si="47"/>
        <v>0.4824300000000008</v>
      </c>
      <c r="T275" s="3">
        <f t="shared" si="48"/>
        <v>0.92422000000000182</v>
      </c>
      <c r="U275" s="3">
        <f t="shared" si="49"/>
        <v>0.44179000000000102</v>
      </c>
    </row>
    <row r="276" spans="1:21" x14ac:dyDescent="0.25">
      <c r="A276" s="3">
        <v>1.2376623378635799E+18</v>
      </c>
      <c r="B276" s="3">
        <v>235.80287999999999</v>
      </c>
      <c r="C276" s="3">
        <v>35.648170999999998</v>
      </c>
      <c r="D276" s="3">
        <v>0.4320888</v>
      </c>
      <c r="E276" s="3">
        <v>3.1545440456124396</v>
      </c>
      <c r="F276" s="3">
        <v>129626.64</v>
      </c>
      <c r="G276" s="3">
        <v>23.567920000000001</v>
      </c>
      <c r="H276" s="3">
        <v>21.227900000000002</v>
      </c>
      <c r="I276" s="3">
        <v>19.444179999999999</v>
      </c>
      <c r="J276" s="3">
        <v>18.59441</v>
      </c>
      <c r="K276" s="3">
        <v>18.27704</v>
      </c>
      <c r="L276" s="3">
        <f t="shared" si="40"/>
        <v>2.3400199999999991</v>
      </c>
      <c r="M276" s="3">
        <f t="shared" si="41"/>
        <v>4.1237400000000015</v>
      </c>
      <c r="N276" s="3">
        <f t="shared" si="42"/>
        <v>4.973510000000001</v>
      </c>
      <c r="O276" s="3">
        <f t="shared" si="43"/>
        <v>5.2908800000000014</v>
      </c>
      <c r="P276" s="3">
        <f t="shared" si="44"/>
        <v>1.7837200000000024</v>
      </c>
      <c r="Q276" s="3">
        <f t="shared" si="45"/>
        <v>2.6334900000000019</v>
      </c>
      <c r="R276" s="3">
        <f t="shared" si="46"/>
        <v>2.9508600000000023</v>
      </c>
      <c r="S276" s="3">
        <f t="shared" si="47"/>
        <v>0.84976999999999947</v>
      </c>
      <c r="T276" s="3">
        <f t="shared" si="48"/>
        <v>1.1671399999999998</v>
      </c>
      <c r="U276" s="3">
        <f t="shared" si="49"/>
        <v>0.31737000000000037</v>
      </c>
    </row>
    <row r="277" spans="1:21" x14ac:dyDescent="0.25">
      <c r="A277" s="3">
        <v>1.2376614659862001E+18</v>
      </c>
      <c r="B277" s="3">
        <v>236.13230999999999</v>
      </c>
      <c r="C277" s="3">
        <v>35.823276</v>
      </c>
      <c r="D277" s="3">
        <v>0.43414989999999998</v>
      </c>
      <c r="E277" s="3">
        <v>1.622233722746899</v>
      </c>
      <c r="F277" s="3">
        <v>130244.96999999999</v>
      </c>
      <c r="G277" s="3">
        <v>22.38673</v>
      </c>
      <c r="H277" s="3">
        <v>20.796949999999999</v>
      </c>
      <c r="I277" s="3">
        <v>19.12088</v>
      </c>
      <c r="J277" s="3">
        <v>18.403210000000001</v>
      </c>
      <c r="K277" s="3">
        <v>17.951360000000001</v>
      </c>
      <c r="L277" s="3">
        <f t="shared" si="40"/>
        <v>1.5897800000000011</v>
      </c>
      <c r="M277" s="3">
        <f t="shared" si="41"/>
        <v>3.2658500000000004</v>
      </c>
      <c r="N277" s="3">
        <f t="shared" si="42"/>
        <v>3.9835199999999986</v>
      </c>
      <c r="O277" s="3">
        <f t="shared" si="43"/>
        <v>4.4353699999999989</v>
      </c>
      <c r="P277" s="3">
        <f t="shared" si="44"/>
        <v>1.6760699999999993</v>
      </c>
      <c r="Q277" s="3">
        <f t="shared" si="45"/>
        <v>2.3937399999999975</v>
      </c>
      <c r="R277" s="3">
        <f t="shared" si="46"/>
        <v>2.8455899999999978</v>
      </c>
      <c r="S277" s="3">
        <f t="shared" si="47"/>
        <v>0.71766999999999825</v>
      </c>
      <c r="T277" s="3">
        <f t="shared" si="48"/>
        <v>1.1695199999999986</v>
      </c>
      <c r="U277" s="3">
        <f t="shared" si="49"/>
        <v>0.45185000000000031</v>
      </c>
    </row>
    <row r="278" spans="1:21" x14ac:dyDescent="0.25">
      <c r="A278" s="3">
        <v>1.2376614659862001E+18</v>
      </c>
      <c r="B278" s="3">
        <v>236.13230999999999</v>
      </c>
      <c r="C278" s="3">
        <v>35.823276</v>
      </c>
      <c r="D278" s="3">
        <v>0.4342068</v>
      </c>
      <c r="E278" s="3">
        <v>1.622233722746899</v>
      </c>
      <c r="F278" s="3">
        <v>130262.04000000001</v>
      </c>
      <c r="G278" s="3">
        <v>22.38673</v>
      </c>
      <c r="H278" s="3">
        <v>20.796949999999999</v>
      </c>
      <c r="I278" s="3">
        <v>19.12088</v>
      </c>
      <c r="J278" s="3">
        <v>18.403210000000001</v>
      </c>
      <c r="K278" s="3">
        <v>17.951360000000001</v>
      </c>
      <c r="L278" s="3">
        <f t="shared" si="40"/>
        <v>1.5897800000000011</v>
      </c>
      <c r="M278" s="3">
        <f t="shared" si="41"/>
        <v>3.2658500000000004</v>
      </c>
      <c r="N278" s="3">
        <f t="shared" si="42"/>
        <v>3.9835199999999986</v>
      </c>
      <c r="O278" s="3">
        <f t="shared" si="43"/>
        <v>4.4353699999999989</v>
      </c>
      <c r="P278" s="3">
        <f t="shared" si="44"/>
        <v>1.6760699999999993</v>
      </c>
      <c r="Q278" s="3">
        <f t="shared" si="45"/>
        <v>2.3937399999999975</v>
      </c>
      <c r="R278" s="3">
        <f t="shared" si="46"/>
        <v>2.8455899999999978</v>
      </c>
      <c r="S278" s="3">
        <f t="shared" si="47"/>
        <v>0.71766999999999825</v>
      </c>
      <c r="T278" s="3">
        <f t="shared" si="48"/>
        <v>1.1695199999999986</v>
      </c>
      <c r="U278" s="3">
        <f t="shared" si="49"/>
        <v>0.45185000000000031</v>
      </c>
    </row>
    <row r="279" spans="1:21" x14ac:dyDescent="0.25">
      <c r="A279" s="3">
        <v>1.2376625032186399E+18</v>
      </c>
      <c r="B279" s="3">
        <v>235.82968</v>
      </c>
      <c r="C279" s="3">
        <v>36.437640000000002</v>
      </c>
      <c r="D279" s="3">
        <v>0.43452550000000001</v>
      </c>
      <c r="E279" s="3">
        <v>2.5331917606803156</v>
      </c>
      <c r="F279" s="3">
        <v>130357.65000000001</v>
      </c>
      <c r="G279" s="3">
        <v>25.79881</v>
      </c>
      <c r="H279" s="3">
        <v>20.851870000000002</v>
      </c>
      <c r="I279" s="3">
        <v>18.944610000000001</v>
      </c>
      <c r="J279" s="3">
        <v>18.17388</v>
      </c>
      <c r="K279" s="3">
        <v>17.732620000000001</v>
      </c>
      <c r="L279" s="3">
        <f t="shared" si="40"/>
        <v>4.9469399999999979</v>
      </c>
      <c r="M279" s="3">
        <f t="shared" si="41"/>
        <v>6.8541999999999987</v>
      </c>
      <c r="N279" s="3">
        <f t="shared" si="42"/>
        <v>7.6249299999999991</v>
      </c>
      <c r="O279" s="3">
        <f t="shared" si="43"/>
        <v>8.0661899999999989</v>
      </c>
      <c r="P279" s="3">
        <f t="shared" si="44"/>
        <v>1.9072600000000008</v>
      </c>
      <c r="Q279" s="3">
        <f t="shared" si="45"/>
        <v>2.6779900000000012</v>
      </c>
      <c r="R279" s="3">
        <f t="shared" si="46"/>
        <v>3.119250000000001</v>
      </c>
      <c r="S279" s="3">
        <f t="shared" si="47"/>
        <v>0.77073000000000036</v>
      </c>
      <c r="T279" s="3">
        <f t="shared" si="48"/>
        <v>1.2119900000000001</v>
      </c>
      <c r="U279" s="3">
        <f t="shared" si="49"/>
        <v>0.44125999999999976</v>
      </c>
    </row>
    <row r="280" spans="1:21" x14ac:dyDescent="0.25">
      <c r="A280" s="3">
        <v>1.2376623378635799E+18</v>
      </c>
      <c r="B280" s="3">
        <v>235.87531000000001</v>
      </c>
      <c r="C280" s="3">
        <v>35.724463999999998</v>
      </c>
      <c r="D280" s="3">
        <v>0.44769350000000002</v>
      </c>
      <c r="E280" s="3">
        <v>2.6346027493155209</v>
      </c>
      <c r="F280" s="3">
        <v>134308.05000000002</v>
      </c>
      <c r="G280" s="3">
        <v>26.401119999999999</v>
      </c>
      <c r="H280" s="3">
        <v>21.17193</v>
      </c>
      <c r="I280" s="3">
        <v>19.443259999999999</v>
      </c>
      <c r="J280" s="3">
        <v>18.670929999999998</v>
      </c>
      <c r="K280" s="3">
        <v>18.270869999999999</v>
      </c>
      <c r="L280" s="3">
        <f t="shared" si="40"/>
        <v>5.2291899999999991</v>
      </c>
      <c r="M280" s="3">
        <f t="shared" si="41"/>
        <v>6.9578600000000002</v>
      </c>
      <c r="N280" s="3">
        <f t="shared" si="42"/>
        <v>7.7301900000000003</v>
      </c>
      <c r="O280" s="3">
        <f t="shared" si="43"/>
        <v>8.1302500000000002</v>
      </c>
      <c r="P280" s="3">
        <f t="shared" si="44"/>
        <v>1.728670000000001</v>
      </c>
      <c r="Q280" s="3">
        <f t="shared" si="45"/>
        <v>2.5010000000000012</v>
      </c>
      <c r="R280" s="3">
        <f t="shared" si="46"/>
        <v>2.9010600000000011</v>
      </c>
      <c r="S280" s="3">
        <f t="shared" si="47"/>
        <v>0.77233000000000018</v>
      </c>
      <c r="T280" s="3">
        <f t="shared" si="48"/>
        <v>1.17239</v>
      </c>
      <c r="U280" s="3">
        <f t="shared" si="49"/>
        <v>0.40005999999999986</v>
      </c>
    </row>
    <row r="281" spans="1:21" x14ac:dyDescent="0.25">
      <c r="A281" s="3">
        <v>1.2376614659861299E+18</v>
      </c>
      <c r="B281" s="3">
        <v>235.91544999999999</v>
      </c>
      <c r="C281" s="3">
        <v>35.993147</v>
      </c>
      <c r="D281" s="3">
        <v>0.44975949999999998</v>
      </c>
      <c r="E281" s="3">
        <v>1.5727878532442023</v>
      </c>
      <c r="F281" s="3">
        <v>134927.85</v>
      </c>
      <c r="G281" s="3">
        <v>22.158919999999998</v>
      </c>
      <c r="H281" s="3">
        <v>20.88599</v>
      </c>
      <c r="I281" s="3">
        <v>19.449110000000001</v>
      </c>
      <c r="J281" s="3">
        <v>18.89066</v>
      </c>
      <c r="K281" s="3">
        <v>18.519369999999999</v>
      </c>
      <c r="L281" s="3">
        <f t="shared" si="40"/>
        <v>1.2729299999999988</v>
      </c>
      <c r="M281" s="3">
        <f t="shared" si="41"/>
        <v>2.7098099999999974</v>
      </c>
      <c r="N281" s="3">
        <f t="shared" si="42"/>
        <v>3.2682599999999979</v>
      </c>
      <c r="O281" s="3">
        <f t="shared" si="43"/>
        <v>3.6395499999999998</v>
      </c>
      <c r="P281" s="3">
        <f t="shared" si="44"/>
        <v>1.4368799999999986</v>
      </c>
      <c r="Q281" s="3">
        <f t="shared" si="45"/>
        <v>1.9953299999999992</v>
      </c>
      <c r="R281" s="3">
        <f t="shared" si="46"/>
        <v>2.3666200000000011</v>
      </c>
      <c r="S281" s="3">
        <f t="shared" si="47"/>
        <v>0.55845000000000056</v>
      </c>
      <c r="T281" s="3">
        <f t="shared" si="48"/>
        <v>0.92974000000000245</v>
      </c>
      <c r="U281" s="3">
        <f t="shared" si="49"/>
        <v>0.3712900000000019</v>
      </c>
    </row>
    <row r="282" spans="1:21" x14ac:dyDescent="0.25">
      <c r="A282" s="3">
        <v>1.23766247369087E+18</v>
      </c>
      <c r="B282" s="3">
        <v>236.18389999999999</v>
      </c>
      <c r="C282" s="3">
        <v>36.330131000000002</v>
      </c>
      <c r="D282" s="3">
        <v>0.45221420000000001</v>
      </c>
      <c r="E282" s="3">
        <v>1.2211331227157949</v>
      </c>
      <c r="F282" s="3">
        <v>135664.26</v>
      </c>
      <c r="G282" s="3">
        <v>21.737159999999999</v>
      </c>
      <c r="H282" s="3">
        <v>21.756769999999999</v>
      </c>
      <c r="I282" s="3">
        <v>19.92445</v>
      </c>
      <c r="J282" s="3">
        <v>19.086729999999999</v>
      </c>
      <c r="K282" s="3">
        <v>18.486889999999999</v>
      </c>
      <c r="L282" s="3">
        <f t="shared" si="40"/>
        <v>-1.9610000000000127E-2</v>
      </c>
      <c r="M282" s="3">
        <f t="shared" si="41"/>
        <v>1.8127099999999992</v>
      </c>
      <c r="N282" s="3">
        <f t="shared" si="42"/>
        <v>2.6504300000000001</v>
      </c>
      <c r="O282" s="3">
        <f t="shared" si="43"/>
        <v>3.2502700000000004</v>
      </c>
      <c r="P282" s="3">
        <f t="shared" si="44"/>
        <v>1.8323199999999993</v>
      </c>
      <c r="Q282" s="3">
        <f t="shared" si="45"/>
        <v>2.6700400000000002</v>
      </c>
      <c r="R282" s="3">
        <f t="shared" si="46"/>
        <v>3.2698800000000006</v>
      </c>
      <c r="S282" s="3">
        <f t="shared" si="47"/>
        <v>0.83772000000000091</v>
      </c>
      <c r="T282" s="3">
        <f t="shared" si="48"/>
        <v>1.4375600000000013</v>
      </c>
      <c r="U282" s="3">
        <f t="shared" si="49"/>
        <v>0.59984000000000037</v>
      </c>
    </row>
    <row r="283" spans="1:21" x14ac:dyDescent="0.25">
      <c r="A283" s="3">
        <v>1.2376625037558999E+18</v>
      </c>
      <c r="B283" s="3">
        <v>236.84650999999999</v>
      </c>
      <c r="C283" s="3">
        <v>36.171221000000003</v>
      </c>
      <c r="D283" s="3">
        <v>0.45268340000000001</v>
      </c>
      <c r="E283" s="3">
        <v>2.6383316315415168</v>
      </c>
      <c r="F283" s="3">
        <v>135805.01999999999</v>
      </c>
      <c r="G283" s="3">
        <v>25.15474</v>
      </c>
      <c r="H283" s="3">
        <v>21.651240000000001</v>
      </c>
      <c r="I283" s="3">
        <v>19.464490000000001</v>
      </c>
      <c r="J283" s="3">
        <v>18.753900000000002</v>
      </c>
      <c r="K283" s="3">
        <v>18.418340000000001</v>
      </c>
      <c r="L283" s="3">
        <f t="shared" si="40"/>
        <v>3.5034999999999989</v>
      </c>
      <c r="M283" s="3">
        <f t="shared" si="41"/>
        <v>5.6902499999999989</v>
      </c>
      <c r="N283" s="3">
        <f t="shared" si="42"/>
        <v>6.4008399999999988</v>
      </c>
      <c r="O283" s="3">
        <f t="shared" si="43"/>
        <v>6.7363999999999997</v>
      </c>
      <c r="P283" s="3">
        <f t="shared" si="44"/>
        <v>2.18675</v>
      </c>
      <c r="Q283" s="3">
        <f t="shared" si="45"/>
        <v>2.8973399999999998</v>
      </c>
      <c r="R283" s="3">
        <f t="shared" si="46"/>
        <v>3.2329000000000008</v>
      </c>
      <c r="S283" s="3">
        <f t="shared" si="47"/>
        <v>0.71058999999999983</v>
      </c>
      <c r="T283" s="3">
        <f t="shared" si="48"/>
        <v>1.0461500000000008</v>
      </c>
      <c r="U283" s="3">
        <f t="shared" si="49"/>
        <v>0.33556000000000097</v>
      </c>
    </row>
    <row r="284" spans="1:21" x14ac:dyDescent="0.25">
      <c r="A284" s="3">
        <v>1.2376624736911301E+18</v>
      </c>
      <c r="B284" s="3">
        <v>236.85522</v>
      </c>
      <c r="C284" s="3">
        <v>36.073076999999998</v>
      </c>
      <c r="D284" s="3">
        <v>0.45321679999999998</v>
      </c>
      <c r="E284" s="3">
        <v>2.6640600284924632</v>
      </c>
      <c r="F284" s="3">
        <v>135965.03999999998</v>
      </c>
      <c r="G284" s="3">
        <v>23.868030000000001</v>
      </c>
      <c r="H284" s="3">
        <v>21.02703</v>
      </c>
      <c r="I284" s="3">
        <v>20.066690000000001</v>
      </c>
      <c r="J284" s="3">
        <v>19.339770000000001</v>
      </c>
      <c r="K284" s="3">
        <v>18.962589999999999</v>
      </c>
      <c r="L284" s="3">
        <f t="shared" si="40"/>
        <v>2.8410000000000011</v>
      </c>
      <c r="M284" s="3">
        <f t="shared" si="41"/>
        <v>3.8013399999999997</v>
      </c>
      <c r="N284" s="3">
        <f t="shared" si="42"/>
        <v>4.5282599999999995</v>
      </c>
      <c r="O284" s="3">
        <f t="shared" si="43"/>
        <v>4.9054400000000022</v>
      </c>
      <c r="P284" s="3">
        <f t="shared" si="44"/>
        <v>0.96033999999999864</v>
      </c>
      <c r="Q284" s="3">
        <f t="shared" si="45"/>
        <v>1.6872599999999984</v>
      </c>
      <c r="R284" s="3">
        <f t="shared" si="46"/>
        <v>2.0644400000000012</v>
      </c>
      <c r="S284" s="3">
        <f t="shared" si="47"/>
        <v>0.72691999999999979</v>
      </c>
      <c r="T284" s="3">
        <f t="shared" si="48"/>
        <v>1.1041000000000025</v>
      </c>
      <c r="U284" s="3">
        <f t="shared" si="49"/>
        <v>0.37718000000000274</v>
      </c>
    </row>
    <row r="285" spans="1:21" x14ac:dyDescent="0.25">
      <c r="A285" s="3">
        <v>1.23766247422787E+18</v>
      </c>
      <c r="B285" s="3">
        <v>236.71001999999999</v>
      </c>
      <c r="C285" s="3">
        <v>36.484735999999998</v>
      </c>
      <c r="D285" s="3">
        <v>0.45355210000000001</v>
      </c>
      <c r="E285" s="3">
        <v>2.8592062115167556</v>
      </c>
      <c r="F285" s="3">
        <v>136065.63</v>
      </c>
      <c r="G285" s="3">
        <v>21.881810000000002</v>
      </c>
      <c r="H285" s="3">
        <v>21.059419999999999</v>
      </c>
      <c r="I285" s="3">
        <v>19.150359999999999</v>
      </c>
      <c r="J285" s="3">
        <v>18.401</v>
      </c>
      <c r="K285" s="3">
        <v>18.027670000000001</v>
      </c>
      <c r="L285" s="3">
        <f t="shared" si="40"/>
        <v>0.82239000000000217</v>
      </c>
      <c r="M285" s="3">
        <f t="shared" si="41"/>
        <v>2.7314500000000024</v>
      </c>
      <c r="N285" s="3">
        <f t="shared" si="42"/>
        <v>3.4808100000000017</v>
      </c>
      <c r="O285" s="3">
        <f t="shared" si="43"/>
        <v>3.854140000000001</v>
      </c>
      <c r="P285" s="3">
        <f t="shared" si="44"/>
        <v>1.9090600000000002</v>
      </c>
      <c r="Q285" s="3">
        <f t="shared" si="45"/>
        <v>2.6584199999999996</v>
      </c>
      <c r="R285" s="3">
        <f t="shared" si="46"/>
        <v>3.0317499999999988</v>
      </c>
      <c r="S285" s="3">
        <f t="shared" si="47"/>
        <v>0.74935999999999936</v>
      </c>
      <c r="T285" s="3">
        <f t="shared" si="48"/>
        <v>1.1226899999999986</v>
      </c>
      <c r="U285" s="3">
        <f t="shared" si="49"/>
        <v>0.37332999999999927</v>
      </c>
    </row>
    <row r="286" spans="1:21" x14ac:dyDescent="0.25">
      <c r="A286" s="3">
        <v>1.2376614659864E+18</v>
      </c>
      <c r="B286" s="3">
        <v>236.63032999999999</v>
      </c>
      <c r="C286" s="3">
        <v>35.652290999999998</v>
      </c>
      <c r="D286" s="3">
        <v>0.45419219999999999</v>
      </c>
      <c r="E286" s="3">
        <v>2.9851731011532454</v>
      </c>
      <c r="F286" s="3">
        <v>136257.66</v>
      </c>
      <c r="G286" s="3">
        <v>23.437080000000002</v>
      </c>
      <c r="H286" s="3">
        <v>22.039929999999998</v>
      </c>
      <c r="I286" s="3">
        <v>20.427849999999999</v>
      </c>
      <c r="J286" s="3">
        <v>19.60295</v>
      </c>
      <c r="K286" s="3">
        <v>19.37332</v>
      </c>
      <c r="L286" s="3">
        <f t="shared" si="40"/>
        <v>1.3971500000000034</v>
      </c>
      <c r="M286" s="3">
        <f t="shared" si="41"/>
        <v>3.0092300000000023</v>
      </c>
      <c r="N286" s="3">
        <f t="shared" si="42"/>
        <v>3.8341300000000018</v>
      </c>
      <c r="O286" s="3">
        <f t="shared" si="43"/>
        <v>4.063760000000002</v>
      </c>
      <c r="P286" s="3">
        <f t="shared" si="44"/>
        <v>1.6120799999999988</v>
      </c>
      <c r="Q286" s="3">
        <f t="shared" si="45"/>
        <v>2.4369799999999984</v>
      </c>
      <c r="R286" s="3">
        <f t="shared" si="46"/>
        <v>2.6666099999999986</v>
      </c>
      <c r="S286" s="3">
        <f t="shared" si="47"/>
        <v>0.82489999999999952</v>
      </c>
      <c r="T286" s="3">
        <f t="shared" si="48"/>
        <v>1.0545299999999997</v>
      </c>
      <c r="U286" s="3">
        <f t="shared" si="49"/>
        <v>0.22963000000000022</v>
      </c>
    </row>
    <row r="287" spans="1:21" x14ac:dyDescent="0.25">
      <c r="A287" s="3">
        <v>1.2376624736911301E+18</v>
      </c>
      <c r="B287" s="3">
        <v>236.76074</v>
      </c>
      <c r="C287" s="3">
        <v>35.896242999999998</v>
      </c>
      <c r="D287" s="3">
        <v>0.45424239999999999</v>
      </c>
      <c r="E287" s="3">
        <v>2.5247574763943064</v>
      </c>
      <c r="F287" s="3">
        <v>136272.72</v>
      </c>
      <c r="G287" s="3">
        <v>23.81775</v>
      </c>
      <c r="H287" s="3">
        <v>21.24249</v>
      </c>
      <c r="I287" s="3">
        <v>19.545719999999999</v>
      </c>
      <c r="J287" s="3">
        <v>18.684740000000001</v>
      </c>
      <c r="K287" s="3">
        <v>18.327179999999998</v>
      </c>
      <c r="L287" s="3">
        <f t="shared" si="40"/>
        <v>2.5752600000000001</v>
      </c>
      <c r="M287" s="3">
        <f t="shared" si="41"/>
        <v>4.2720300000000009</v>
      </c>
      <c r="N287" s="3">
        <f t="shared" si="42"/>
        <v>5.1330099999999987</v>
      </c>
      <c r="O287" s="3">
        <f t="shared" si="43"/>
        <v>5.4905700000000017</v>
      </c>
      <c r="P287" s="3">
        <f t="shared" si="44"/>
        <v>1.6967700000000008</v>
      </c>
      <c r="Q287" s="3">
        <f t="shared" si="45"/>
        <v>2.5577499999999986</v>
      </c>
      <c r="R287" s="3">
        <f t="shared" si="46"/>
        <v>2.9153100000000016</v>
      </c>
      <c r="S287" s="3">
        <f t="shared" si="47"/>
        <v>0.86097999999999786</v>
      </c>
      <c r="T287" s="3">
        <f t="shared" si="48"/>
        <v>1.2185400000000008</v>
      </c>
      <c r="U287" s="3">
        <f t="shared" si="49"/>
        <v>0.35756000000000299</v>
      </c>
    </row>
    <row r="288" spans="1:21" x14ac:dyDescent="0.25">
      <c r="A288" s="3">
        <v>1.2376624736909399E+18</v>
      </c>
      <c r="B288" s="3">
        <v>236.30473000000001</v>
      </c>
      <c r="C288" s="3">
        <v>36.326898999999997</v>
      </c>
      <c r="D288" s="3">
        <v>0.45480150000000003</v>
      </c>
      <c r="E288" s="3">
        <v>1.2009603889573677</v>
      </c>
      <c r="F288" s="3">
        <v>136440.45000000001</v>
      </c>
      <c r="G288" s="3">
        <v>21.407129999999999</v>
      </c>
      <c r="H288" s="3">
        <v>20.505579999999998</v>
      </c>
      <c r="I288" s="3">
        <v>18.972639999999998</v>
      </c>
      <c r="J288" s="3">
        <v>18.21049</v>
      </c>
      <c r="K288" s="3">
        <v>17.63588</v>
      </c>
      <c r="L288" s="3">
        <f t="shared" si="40"/>
        <v>0.9015500000000003</v>
      </c>
      <c r="M288" s="3">
        <f t="shared" si="41"/>
        <v>2.4344900000000003</v>
      </c>
      <c r="N288" s="3">
        <f t="shared" si="42"/>
        <v>3.1966399999999986</v>
      </c>
      <c r="O288" s="3">
        <f t="shared" si="43"/>
        <v>3.7712499999999984</v>
      </c>
      <c r="P288" s="3">
        <f t="shared" si="44"/>
        <v>1.53294</v>
      </c>
      <c r="Q288" s="3">
        <f t="shared" si="45"/>
        <v>2.2950899999999983</v>
      </c>
      <c r="R288" s="3">
        <f t="shared" si="46"/>
        <v>2.8696999999999981</v>
      </c>
      <c r="S288" s="3">
        <f t="shared" si="47"/>
        <v>0.76214999999999833</v>
      </c>
      <c r="T288" s="3">
        <f t="shared" si="48"/>
        <v>1.3367599999999982</v>
      </c>
      <c r="U288" s="3">
        <f t="shared" si="49"/>
        <v>0.57460999999999984</v>
      </c>
    </row>
    <row r="289" spans="1:21" x14ac:dyDescent="0.25">
      <c r="A289" s="3">
        <v>1.2376624736909399E+18</v>
      </c>
      <c r="B289" s="3">
        <v>236.30473000000001</v>
      </c>
      <c r="C289" s="3">
        <v>36.326898999999997</v>
      </c>
      <c r="D289" s="3">
        <v>0.45481579999999999</v>
      </c>
      <c r="E289" s="3">
        <v>1.2009603889573677</v>
      </c>
      <c r="F289" s="3">
        <v>136444.74</v>
      </c>
      <c r="G289" s="3">
        <v>21.407129999999999</v>
      </c>
      <c r="H289" s="3">
        <v>20.505579999999998</v>
      </c>
      <c r="I289" s="3">
        <v>18.972639999999998</v>
      </c>
      <c r="J289" s="3">
        <v>18.21049</v>
      </c>
      <c r="K289" s="3">
        <v>17.63588</v>
      </c>
      <c r="L289" s="3">
        <f t="shared" si="40"/>
        <v>0.9015500000000003</v>
      </c>
      <c r="M289" s="3">
        <f t="shared" si="41"/>
        <v>2.4344900000000003</v>
      </c>
      <c r="N289" s="3">
        <f t="shared" si="42"/>
        <v>3.1966399999999986</v>
      </c>
      <c r="O289" s="3">
        <f t="shared" si="43"/>
        <v>3.7712499999999984</v>
      </c>
      <c r="P289" s="3">
        <f t="shared" si="44"/>
        <v>1.53294</v>
      </c>
      <c r="Q289" s="3">
        <f t="shared" si="45"/>
        <v>2.2950899999999983</v>
      </c>
      <c r="R289" s="3">
        <f t="shared" si="46"/>
        <v>2.8696999999999981</v>
      </c>
      <c r="S289" s="3">
        <f t="shared" si="47"/>
        <v>0.76214999999999833</v>
      </c>
      <c r="T289" s="3">
        <f t="shared" si="48"/>
        <v>1.3367599999999982</v>
      </c>
      <c r="U289" s="3">
        <f t="shared" si="49"/>
        <v>0.57460999999999984</v>
      </c>
    </row>
    <row r="290" spans="1:21" x14ac:dyDescent="0.25">
      <c r="A290" s="3">
        <v>1.2376624736911301E+18</v>
      </c>
      <c r="B290" s="3">
        <v>236.83976999999999</v>
      </c>
      <c r="C290" s="3">
        <v>36.102243000000001</v>
      </c>
      <c r="D290" s="3">
        <v>0.45706819999999998</v>
      </c>
      <c r="E290" s="3">
        <v>2.5892485632967297</v>
      </c>
      <c r="F290" s="3">
        <v>137120.46</v>
      </c>
      <c r="G290" s="3">
        <v>24.48199</v>
      </c>
      <c r="H290" s="3">
        <v>21.194790000000001</v>
      </c>
      <c r="I290" s="3">
        <v>19.636019999999998</v>
      </c>
      <c r="J290" s="3">
        <v>18.721920000000001</v>
      </c>
      <c r="K290" s="3">
        <v>18.25103</v>
      </c>
      <c r="L290" s="3">
        <f t="shared" si="40"/>
        <v>3.2871999999999986</v>
      </c>
      <c r="M290" s="3">
        <f t="shared" si="41"/>
        <v>4.8459700000000012</v>
      </c>
      <c r="N290" s="3">
        <f t="shared" si="42"/>
        <v>5.7600699999999989</v>
      </c>
      <c r="O290" s="3">
        <f t="shared" si="43"/>
        <v>6.2309599999999996</v>
      </c>
      <c r="P290" s="3">
        <f t="shared" si="44"/>
        <v>1.5587700000000027</v>
      </c>
      <c r="Q290" s="3">
        <f t="shared" si="45"/>
        <v>2.4728700000000003</v>
      </c>
      <c r="R290" s="3">
        <f t="shared" si="46"/>
        <v>2.943760000000001</v>
      </c>
      <c r="S290" s="3">
        <f t="shared" si="47"/>
        <v>0.91409999999999769</v>
      </c>
      <c r="T290" s="3">
        <f t="shared" si="48"/>
        <v>1.3849899999999984</v>
      </c>
      <c r="U290" s="3">
        <f t="shared" si="49"/>
        <v>0.4708900000000007</v>
      </c>
    </row>
    <row r="291" spans="1:21" x14ac:dyDescent="0.25">
      <c r="A291" s="3">
        <v>1.2376624736911301E+18</v>
      </c>
      <c r="B291" s="3">
        <v>236.83976999999999</v>
      </c>
      <c r="C291" s="3">
        <v>36.102243000000001</v>
      </c>
      <c r="D291" s="3">
        <v>0.45709860000000002</v>
      </c>
      <c r="E291" s="3">
        <v>2.5892485632967297</v>
      </c>
      <c r="F291" s="3">
        <v>137129.58000000002</v>
      </c>
      <c r="G291" s="3">
        <v>24.48199</v>
      </c>
      <c r="H291" s="3">
        <v>21.194790000000001</v>
      </c>
      <c r="I291" s="3">
        <v>19.636019999999998</v>
      </c>
      <c r="J291" s="3">
        <v>18.721920000000001</v>
      </c>
      <c r="K291" s="3">
        <v>18.25103</v>
      </c>
      <c r="L291" s="3">
        <f t="shared" si="40"/>
        <v>3.2871999999999986</v>
      </c>
      <c r="M291" s="3">
        <f t="shared" si="41"/>
        <v>4.8459700000000012</v>
      </c>
      <c r="N291" s="3">
        <f t="shared" si="42"/>
        <v>5.7600699999999989</v>
      </c>
      <c r="O291" s="3">
        <f t="shared" si="43"/>
        <v>6.2309599999999996</v>
      </c>
      <c r="P291" s="3">
        <f t="shared" si="44"/>
        <v>1.5587700000000027</v>
      </c>
      <c r="Q291" s="3">
        <f t="shared" si="45"/>
        <v>2.4728700000000003</v>
      </c>
      <c r="R291" s="3">
        <f t="shared" si="46"/>
        <v>2.943760000000001</v>
      </c>
      <c r="S291" s="3">
        <f t="shared" si="47"/>
        <v>0.91409999999999769</v>
      </c>
      <c r="T291" s="3">
        <f t="shared" si="48"/>
        <v>1.3849899999999984</v>
      </c>
      <c r="U291" s="3">
        <f t="shared" si="49"/>
        <v>0.4708900000000007</v>
      </c>
    </row>
    <row r="292" spans="1:21" x14ac:dyDescent="0.25">
      <c r="A292" s="3">
        <v>1.2376623378635799E+18</v>
      </c>
      <c r="B292" s="3">
        <v>235.91431</v>
      </c>
      <c r="C292" s="3">
        <v>35.727079000000003</v>
      </c>
      <c r="D292" s="3">
        <v>0.45992169999999999</v>
      </c>
      <c r="E292" s="3">
        <v>2.5217827575147811</v>
      </c>
      <c r="F292" s="3">
        <v>137976.51</v>
      </c>
      <c r="G292" s="3">
        <v>24.87358</v>
      </c>
      <c r="H292" s="3">
        <v>21.929490000000001</v>
      </c>
      <c r="I292" s="3">
        <v>20.201519999999999</v>
      </c>
      <c r="J292" s="3">
        <v>19.31212</v>
      </c>
      <c r="K292" s="3">
        <v>18.794550000000001</v>
      </c>
      <c r="L292" s="3">
        <f t="shared" si="40"/>
        <v>2.9440899999999992</v>
      </c>
      <c r="M292" s="3">
        <f t="shared" si="41"/>
        <v>4.6720600000000019</v>
      </c>
      <c r="N292" s="3">
        <f t="shared" si="42"/>
        <v>5.5614600000000003</v>
      </c>
      <c r="O292" s="3">
        <f t="shared" si="43"/>
        <v>6.0790299999999995</v>
      </c>
      <c r="P292" s="3">
        <f t="shared" si="44"/>
        <v>1.7279700000000027</v>
      </c>
      <c r="Q292" s="3">
        <f t="shared" si="45"/>
        <v>2.6173700000000011</v>
      </c>
      <c r="R292" s="3">
        <f t="shared" si="46"/>
        <v>3.1349400000000003</v>
      </c>
      <c r="S292" s="3">
        <f t="shared" si="47"/>
        <v>0.88939999999999841</v>
      </c>
      <c r="T292" s="3">
        <f t="shared" si="48"/>
        <v>1.4069699999999976</v>
      </c>
      <c r="U292" s="3">
        <f t="shared" si="49"/>
        <v>0.5175699999999992</v>
      </c>
    </row>
    <row r="293" spans="1:21" x14ac:dyDescent="0.25">
      <c r="A293" s="3">
        <v>1.23766247369107E+18</v>
      </c>
      <c r="B293" s="3">
        <v>236.67248000000001</v>
      </c>
      <c r="C293" s="3">
        <v>36.199789000000003</v>
      </c>
      <c r="D293" s="3">
        <v>0.46114119999999997</v>
      </c>
      <c r="E293" s="3">
        <v>1.92125689731826</v>
      </c>
      <c r="F293" s="3">
        <v>138342.35999999999</v>
      </c>
      <c r="G293" s="3">
        <v>23.15155</v>
      </c>
      <c r="H293" s="3">
        <v>21.457059999999998</v>
      </c>
      <c r="I293" s="3">
        <v>19.738900000000001</v>
      </c>
      <c r="J293" s="3">
        <v>18.893560000000001</v>
      </c>
      <c r="K293" s="3">
        <v>18.398319999999998</v>
      </c>
      <c r="L293" s="3">
        <f t="shared" si="40"/>
        <v>1.6944900000000018</v>
      </c>
      <c r="M293" s="3">
        <f t="shared" si="41"/>
        <v>3.4126499999999993</v>
      </c>
      <c r="N293" s="3">
        <f t="shared" si="42"/>
        <v>4.2579899999999995</v>
      </c>
      <c r="O293" s="3">
        <f t="shared" si="43"/>
        <v>4.7532300000000021</v>
      </c>
      <c r="P293" s="3">
        <f t="shared" si="44"/>
        <v>1.7181599999999975</v>
      </c>
      <c r="Q293" s="3">
        <f t="shared" si="45"/>
        <v>2.5634999999999977</v>
      </c>
      <c r="R293" s="3">
        <f t="shared" si="46"/>
        <v>3.0587400000000002</v>
      </c>
      <c r="S293" s="3">
        <f t="shared" si="47"/>
        <v>0.8453400000000002</v>
      </c>
      <c r="T293" s="3">
        <f t="shared" si="48"/>
        <v>1.3405800000000028</v>
      </c>
      <c r="U293" s="3">
        <f t="shared" si="49"/>
        <v>0.49524000000000257</v>
      </c>
    </row>
    <row r="294" spans="1:21" x14ac:dyDescent="0.25">
      <c r="A294" s="3">
        <v>1.23766247369107E+18</v>
      </c>
      <c r="B294" s="3">
        <v>236.64713</v>
      </c>
      <c r="C294" s="3">
        <v>36.217866999999998</v>
      </c>
      <c r="D294" s="3">
        <v>0.46114240000000001</v>
      </c>
      <c r="E294" s="3">
        <v>1.843041255522732</v>
      </c>
      <c r="F294" s="3">
        <v>138342.72</v>
      </c>
      <c r="G294" s="3">
        <v>22.867719999999998</v>
      </c>
      <c r="H294" s="3">
        <v>21.621269999999999</v>
      </c>
      <c r="I294" s="3">
        <v>19.9009</v>
      </c>
      <c r="J294" s="3">
        <v>19.021619999999999</v>
      </c>
      <c r="K294" s="3">
        <v>18.635359999999999</v>
      </c>
      <c r="L294" s="3">
        <f t="shared" si="40"/>
        <v>1.2464499999999994</v>
      </c>
      <c r="M294" s="3">
        <f t="shared" si="41"/>
        <v>2.9668199999999985</v>
      </c>
      <c r="N294" s="3">
        <f t="shared" si="42"/>
        <v>3.8460999999999999</v>
      </c>
      <c r="O294" s="3">
        <f t="shared" si="43"/>
        <v>4.2323599999999999</v>
      </c>
      <c r="P294" s="3">
        <f t="shared" si="44"/>
        <v>1.7203699999999991</v>
      </c>
      <c r="Q294" s="3">
        <f t="shared" si="45"/>
        <v>2.5996500000000005</v>
      </c>
      <c r="R294" s="3">
        <f t="shared" si="46"/>
        <v>2.9859100000000005</v>
      </c>
      <c r="S294" s="3">
        <f t="shared" si="47"/>
        <v>0.87928000000000139</v>
      </c>
      <c r="T294" s="3">
        <f t="shared" si="48"/>
        <v>1.2655400000000014</v>
      </c>
      <c r="U294" s="3">
        <f t="shared" si="49"/>
        <v>0.38626000000000005</v>
      </c>
    </row>
    <row r="295" spans="1:21" x14ac:dyDescent="0.25">
      <c r="A295" s="3">
        <v>1.2376625037557701E+18</v>
      </c>
      <c r="B295" s="3">
        <v>236.59676999999999</v>
      </c>
      <c r="C295" s="3">
        <v>36.404626</v>
      </c>
      <c r="D295" s="3">
        <v>0.46420030000000001</v>
      </c>
      <c r="E295" s="3">
        <v>2.2062331266162816</v>
      </c>
      <c r="F295" s="3">
        <v>139260.09</v>
      </c>
      <c r="G295" s="3">
        <v>25.835899999999999</v>
      </c>
      <c r="H295" s="3">
        <v>21.815799999999999</v>
      </c>
      <c r="I295" s="3">
        <v>20.18515</v>
      </c>
      <c r="J295" s="3">
        <v>19.315560000000001</v>
      </c>
      <c r="K295" s="3">
        <v>18.71856</v>
      </c>
      <c r="L295" s="3">
        <f t="shared" si="40"/>
        <v>4.0200999999999993</v>
      </c>
      <c r="M295" s="3">
        <f t="shared" si="41"/>
        <v>5.6507499999999986</v>
      </c>
      <c r="N295" s="3">
        <f t="shared" si="42"/>
        <v>6.5203399999999974</v>
      </c>
      <c r="O295" s="3">
        <f t="shared" si="43"/>
        <v>7.1173399999999987</v>
      </c>
      <c r="P295" s="3">
        <f t="shared" si="44"/>
        <v>1.6306499999999993</v>
      </c>
      <c r="Q295" s="3">
        <f t="shared" si="45"/>
        <v>2.500239999999998</v>
      </c>
      <c r="R295" s="3">
        <f t="shared" si="46"/>
        <v>3.0972399999999993</v>
      </c>
      <c r="S295" s="3">
        <f t="shared" si="47"/>
        <v>0.86958999999999875</v>
      </c>
      <c r="T295" s="3">
        <f t="shared" si="48"/>
        <v>1.4665900000000001</v>
      </c>
      <c r="U295" s="3">
        <f t="shared" si="49"/>
        <v>0.59700000000000131</v>
      </c>
    </row>
    <row r="296" spans="1:21" x14ac:dyDescent="0.25">
      <c r="A296" s="3">
        <v>1.2376625037557701E+18</v>
      </c>
      <c r="B296" s="3">
        <v>236.59676999999999</v>
      </c>
      <c r="C296" s="3">
        <v>36.404626</v>
      </c>
      <c r="D296" s="3">
        <v>0.46448339999999999</v>
      </c>
      <c r="E296" s="3">
        <v>2.2062331266162816</v>
      </c>
      <c r="F296" s="3">
        <v>139345.01999999999</v>
      </c>
      <c r="G296" s="3">
        <v>25.835899999999999</v>
      </c>
      <c r="H296" s="3">
        <v>21.815799999999999</v>
      </c>
      <c r="I296" s="3">
        <v>20.18515</v>
      </c>
      <c r="J296" s="3">
        <v>19.315560000000001</v>
      </c>
      <c r="K296" s="3">
        <v>18.71856</v>
      </c>
      <c r="L296" s="3">
        <f t="shared" si="40"/>
        <v>4.0200999999999993</v>
      </c>
      <c r="M296" s="3">
        <f t="shared" si="41"/>
        <v>5.6507499999999986</v>
      </c>
      <c r="N296" s="3">
        <f t="shared" si="42"/>
        <v>6.5203399999999974</v>
      </c>
      <c r="O296" s="3">
        <f t="shared" si="43"/>
        <v>7.1173399999999987</v>
      </c>
      <c r="P296" s="3">
        <f t="shared" si="44"/>
        <v>1.6306499999999993</v>
      </c>
      <c r="Q296" s="3">
        <f t="shared" si="45"/>
        <v>2.500239999999998</v>
      </c>
      <c r="R296" s="3">
        <f t="shared" si="46"/>
        <v>3.0972399999999993</v>
      </c>
      <c r="S296" s="3">
        <f t="shared" si="47"/>
        <v>0.86958999999999875</v>
      </c>
      <c r="T296" s="3">
        <f t="shared" si="48"/>
        <v>1.4665900000000001</v>
      </c>
      <c r="U296" s="3">
        <f t="shared" si="49"/>
        <v>0.59700000000000131</v>
      </c>
    </row>
    <row r="297" spans="1:21" x14ac:dyDescent="0.25">
      <c r="A297" s="3">
        <v>1.2376624736908001E+18</v>
      </c>
      <c r="B297" s="3">
        <v>235.99757</v>
      </c>
      <c r="C297" s="3">
        <v>36.522393999999998</v>
      </c>
      <c r="D297" s="3">
        <v>0.46479520000000002</v>
      </c>
      <c r="E297" s="3">
        <v>2.4764205415155796</v>
      </c>
      <c r="F297" s="3">
        <v>139438.56</v>
      </c>
      <c r="G297" s="3">
        <v>24.73001</v>
      </c>
      <c r="H297" s="3">
        <v>21.55763</v>
      </c>
      <c r="I297" s="3">
        <v>20.072710000000001</v>
      </c>
      <c r="J297" s="3">
        <v>19.291540000000001</v>
      </c>
      <c r="K297" s="3">
        <v>18.881830000000001</v>
      </c>
      <c r="L297" s="3">
        <f t="shared" si="40"/>
        <v>3.1723800000000004</v>
      </c>
      <c r="M297" s="3">
        <f t="shared" si="41"/>
        <v>4.6572999999999993</v>
      </c>
      <c r="N297" s="3">
        <f t="shared" si="42"/>
        <v>5.4384699999999988</v>
      </c>
      <c r="O297" s="3">
        <f t="shared" si="43"/>
        <v>5.8481799999999993</v>
      </c>
      <c r="P297" s="3">
        <f t="shared" si="44"/>
        <v>1.4849199999999989</v>
      </c>
      <c r="Q297" s="3">
        <f t="shared" si="45"/>
        <v>2.2660899999999984</v>
      </c>
      <c r="R297" s="3">
        <f t="shared" si="46"/>
        <v>2.6757999999999988</v>
      </c>
      <c r="S297" s="3">
        <f t="shared" si="47"/>
        <v>0.78116999999999948</v>
      </c>
      <c r="T297" s="3">
        <f t="shared" si="48"/>
        <v>1.1908799999999999</v>
      </c>
      <c r="U297" s="3">
        <f t="shared" si="49"/>
        <v>0.40971000000000046</v>
      </c>
    </row>
    <row r="298" spans="1:21" x14ac:dyDescent="0.25">
      <c r="A298" s="3">
        <v>1.2376623378636401E+18</v>
      </c>
      <c r="B298" s="3">
        <v>235.91072</v>
      </c>
      <c r="C298" s="3">
        <v>35.596209999999999</v>
      </c>
      <c r="D298" s="3">
        <v>0.47092079999999997</v>
      </c>
      <c r="E298" s="3">
        <v>3.1340728015156372</v>
      </c>
      <c r="F298" s="3">
        <v>141276.24</v>
      </c>
      <c r="G298" s="3">
        <v>21.93309</v>
      </c>
      <c r="H298" s="3">
        <v>20.500859999999999</v>
      </c>
      <c r="I298" s="3">
        <v>18.809840000000001</v>
      </c>
      <c r="J298" s="3">
        <v>17.951319999999999</v>
      </c>
      <c r="K298" s="3">
        <v>17.47072</v>
      </c>
      <c r="L298" s="3">
        <f t="shared" si="40"/>
        <v>1.4322300000000006</v>
      </c>
      <c r="M298" s="3">
        <f t="shared" si="41"/>
        <v>3.1232499999999987</v>
      </c>
      <c r="N298" s="3">
        <f t="shared" si="42"/>
        <v>3.9817700000000009</v>
      </c>
      <c r="O298" s="3">
        <f t="shared" si="43"/>
        <v>4.4623699999999999</v>
      </c>
      <c r="P298" s="3">
        <f t="shared" si="44"/>
        <v>1.6910199999999982</v>
      </c>
      <c r="Q298" s="3">
        <f t="shared" si="45"/>
        <v>2.5495400000000004</v>
      </c>
      <c r="R298" s="3">
        <f t="shared" si="46"/>
        <v>3.0301399999999994</v>
      </c>
      <c r="S298" s="3">
        <f t="shared" si="47"/>
        <v>0.85852000000000217</v>
      </c>
      <c r="T298" s="3">
        <f t="shared" si="48"/>
        <v>1.3391200000000012</v>
      </c>
      <c r="U298" s="3">
        <f t="shared" si="49"/>
        <v>0.48059999999999903</v>
      </c>
    </row>
    <row r="299" spans="1:21" x14ac:dyDescent="0.25">
      <c r="A299" s="3">
        <v>1.23766247422781E+18</v>
      </c>
      <c r="B299" s="3">
        <v>236.59612999999999</v>
      </c>
      <c r="C299" s="3">
        <v>36.60924</v>
      </c>
      <c r="D299" s="3">
        <v>0.47444399999999998</v>
      </c>
      <c r="E299" s="3">
        <v>3.0968038759760277</v>
      </c>
      <c r="F299" s="3">
        <v>142333.19999999998</v>
      </c>
      <c r="G299" s="3">
        <v>22.39668</v>
      </c>
      <c r="H299" s="3">
        <v>21.593620000000001</v>
      </c>
      <c r="I299" s="3">
        <v>19.91506</v>
      </c>
      <c r="J299" s="3">
        <v>19.111329999999999</v>
      </c>
      <c r="K299" s="3">
        <v>18.71021</v>
      </c>
      <c r="L299" s="3">
        <f t="shared" si="40"/>
        <v>0.80305999999999855</v>
      </c>
      <c r="M299" s="3">
        <f t="shared" si="41"/>
        <v>2.4816199999999995</v>
      </c>
      <c r="N299" s="3">
        <f t="shared" si="42"/>
        <v>3.2853500000000011</v>
      </c>
      <c r="O299" s="3">
        <f t="shared" si="43"/>
        <v>3.6864699999999999</v>
      </c>
      <c r="P299" s="3">
        <f t="shared" si="44"/>
        <v>1.6785600000000009</v>
      </c>
      <c r="Q299" s="3">
        <f t="shared" si="45"/>
        <v>2.4822900000000025</v>
      </c>
      <c r="R299" s="3">
        <f t="shared" si="46"/>
        <v>2.8834100000000014</v>
      </c>
      <c r="S299" s="3">
        <f t="shared" si="47"/>
        <v>0.80373000000000161</v>
      </c>
      <c r="T299" s="3">
        <f t="shared" si="48"/>
        <v>1.2048500000000004</v>
      </c>
      <c r="U299" s="3">
        <f t="shared" si="49"/>
        <v>0.40111999999999881</v>
      </c>
    </row>
    <row r="300" spans="1:21" x14ac:dyDescent="0.25">
      <c r="A300" s="3">
        <v>1.2376624736910001E+18</v>
      </c>
      <c r="B300" s="3">
        <v>236.49501000000001</v>
      </c>
      <c r="C300" s="3">
        <v>36.296745999999999</v>
      </c>
      <c r="D300" s="3">
        <v>0.47511609999999999</v>
      </c>
      <c r="E300" s="3">
        <v>1.4823834176805151</v>
      </c>
      <c r="F300" s="3">
        <v>142534.82999999999</v>
      </c>
      <c r="G300" s="3">
        <v>24.325620000000001</v>
      </c>
      <c r="H300" s="3">
        <v>22.437010000000001</v>
      </c>
      <c r="I300" s="3">
        <v>20.706320000000002</v>
      </c>
      <c r="J300" s="3">
        <v>19.854050000000001</v>
      </c>
      <c r="K300" s="3">
        <v>19.307659999999998</v>
      </c>
      <c r="L300" s="3">
        <f t="shared" si="40"/>
        <v>1.8886099999999999</v>
      </c>
      <c r="M300" s="3">
        <f t="shared" si="41"/>
        <v>3.6192999999999991</v>
      </c>
      <c r="N300" s="3">
        <f t="shared" si="42"/>
        <v>4.4715699999999998</v>
      </c>
      <c r="O300" s="3">
        <f t="shared" si="43"/>
        <v>5.0179600000000022</v>
      </c>
      <c r="P300" s="3">
        <f t="shared" si="44"/>
        <v>1.7306899999999992</v>
      </c>
      <c r="Q300" s="3">
        <f t="shared" si="45"/>
        <v>2.5829599999999999</v>
      </c>
      <c r="R300" s="3">
        <f t="shared" si="46"/>
        <v>3.1293500000000023</v>
      </c>
      <c r="S300" s="3">
        <f t="shared" si="47"/>
        <v>0.85227000000000075</v>
      </c>
      <c r="T300" s="3">
        <f t="shared" si="48"/>
        <v>1.3986600000000031</v>
      </c>
      <c r="U300" s="3">
        <f t="shared" si="49"/>
        <v>0.54639000000000237</v>
      </c>
    </row>
    <row r="301" spans="1:21" x14ac:dyDescent="0.25">
      <c r="A301" s="3">
        <v>1.2376624736910001E+18</v>
      </c>
      <c r="B301" s="3">
        <v>236.49501000000001</v>
      </c>
      <c r="C301" s="3">
        <v>36.296745999999999</v>
      </c>
      <c r="D301" s="3">
        <v>0.47551729999999998</v>
      </c>
      <c r="E301" s="3">
        <v>1.4823834176805151</v>
      </c>
      <c r="F301" s="3">
        <v>142655.19</v>
      </c>
      <c r="G301" s="3">
        <v>24.325620000000001</v>
      </c>
      <c r="H301" s="3">
        <v>22.437010000000001</v>
      </c>
      <c r="I301" s="3">
        <v>20.706320000000002</v>
      </c>
      <c r="J301" s="3">
        <v>19.854050000000001</v>
      </c>
      <c r="K301" s="3">
        <v>19.307659999999998</v>
      </c>
      <c r="L301" s="3">
        <f t="shared" si="40"/>
        <v>1.8886099999999999</v>
      </c>
      <c r="M301" s="3">
        <f t="shared" si="41"/>
        <v>3.6192999999999991</v>
      </c>
      <c r="N301" s="3">
        <f t="shared" si="42"/>
        <v>4.4715699999999998</v>
      </c>
      <c r="O301" s="3">
        <f t="shared" si="43"/>
        <v>5.0179600000000022</v>
      </c>
      <c r="P301" s="3">
        <f t="shared" si="44"/>
        <v>1.7306899999999992</v>
      </c>
      <c r="Q301" s="3">
        <f t="shared" si="45"/>
        <v>2.5829599999999999</v>
      </c>
      <c r="R301" s="3">
        <f t="shared" si="46"/>
        <v>3.1293500000000023</v>
      </c>
      <c r="S301" s="3">
        <f t="shared" si="47"/>
        <v>0.85227000000000075</v>
      </c>
      <c r="T301" s="3">
        <f t="shared" si="48"/>
        <v>1.3986600000000031</v>
      </c>
      <c r="U301" s="3">
        <f t="shared" si="49"/>
        <v>0.54639000000000237</v>
      </c>
    </row>
    <row r="302" spans="1:21" x14ac:dyDescent="0.25">
      <c r="A302" s="3">
        <v>1.2376624731541299E+18</v>
      </c>
      <c r="B302" s="3">
        <v>236.28525999999999</v>
      </c>
      <c r="C302" s="3">
        <v>35.906967000000002</v>
      </c>
      <c r="D302" s="3">
        <v>0.47694170000000002</v>
      </c>
      <c r="E302" s="3">
        <v>1.1061210567004272</v>
      </c>
      <c r="F302" s="3">
        <v>143082.51</v>
      </c>
      <c r="G302" s="3">
        <v>23.540289999999999</v>
      </c>
      <c r="H302" s="3">
        <v>21.603870000000001</v>
      </c>
      <c r="I302" s="3">
        <v>19.690550000000002</v>
      </c>
      <c r="J302" s="3">
        <v>18.729959999999998</v>
      </c>
      <c r="K302" s="3">
        <v>18.395389999999999</v>
      </c>
      <c r="L302" s="3">
        <f t="shared" si="40"/>
        <v>1.9364199999999983</v>
      </c>
      <c r="M302" s="3">
        <f t="shared" si="41"/>
        <v>3.8497399999999971</v>
      </c>
      <c r="N302" s="3">
        <f t="shared" si="42"/>
        <v>4.8103300000000004</v>
      </c>
      <c r="O302" s="3">
        <f t="shared" si="43"/>
        <v>5.1448999999999998</v>
      </c>
      <c r="P302" s="3">
        <f t="shared" si="44"/>
        <v>1.9133199999999988</v>
      </c>
      <c r="Q302" s="3">
        <f t="shared" si="45"/>
        <v>2.8739100000000022</v>
      </c>
      <c r="R302" s="3">
        <f t="shared" si="46"/>
        <v>3.2084800000000016</v>
      </c>
      <c r="S302" s="3">
        <f t="shared" si="47"/>
        <v>0.96059000000000339</v>
      </c>
      <c r="T302" s="3">
        <f t="shared" si="48"/>
        <v>1.2951600000000028</v>
      </c>
      <c r="U302" s="3">
        <f t="shared" si="49"/>
        <v>0.33456999999999937</v>
      </c>
    </row>
    <row r="303" spans="1:21" x14ac:dyDescent="0.25">
      <c r="A303" s="3">
        <v>1.23766247422781E+18</v>
      </c>
      <c r="B303" s="3">
        <v>236.69828000000001</v>
      </c>
      <c r="C303" s="3">
        <v>36.560623</v>
      </c>
      <c r="D303" s="3">
        <v>0.4814427</v>
      </c>
      <c r="E303" s="3">
        <v>3.1295976177145461</v>
      </c>
      <c r="F303" s="3">
        <v>144432.81</v>
      </c>
      <c r="G303" s="3">
        <v>22.793430000000001</v>
      </c>
      <c r="H303" s="3">
        <v>21.455670000000001</v>
      </c>
      <c r="I303" s="3">
        <v>19.92821</v>
      </c>
      <c r="J303" s="3">
        <v>19.096879999999999</v>
      </c>
      <c r="K303" s="3">
        <v>18.55086</v>
      </c>
      <c r="L303" s="3">
        <f t="shared" si="40"/>
        <v>1.3377599999999994</v>
      </c>
      <c r="M303" s="3">
        <f t="shared" si="41"/>
        <v>2.8652200000000008</v>
      </c>
      <c r="N303" s="3">
        <f t="shared" si="42"/>
        <v>3.696550000000002</v>
      </c>
      <c r="O303" s="3">
        <f t="shared" si="43"/>
        <v>4.2425700000000006</v>
      </c>
      <c r="P303" s="3">
        <f t="shared" si="44"/>
        <v>1.5274600000000014</v>
      </c>
      <c r="Q303" s="3">
        <f t="shared" si="45"/>
        <v>2.3587900000000026</v>
      </c>
      <c r="R303" s="3">
        <f t="shared" si="46"/>
        <v>2.9048100000000012</v>
      </c>
      <c r="S303" s="3">
        <f t="shared" si="47"/>
        <v>0.83133000000000123</v>
      </c>
      <c r="T303" s="3">
        <f t="shared" si="48"/>
        <v>1.3773499999999999</v>
      </c>
      <c r="U303" s="3">
        <f t="shared" si="49"/>
        <v>0.54601999999999862</v>
      </c>
    </row>
    <row r="304" spans="1:21" x14ac:dyDescent="0.25">
      <c r="A304" s="3">
        <v>1.2376614659863301E+18</v>
      </c>
      <c r="B304" s="3">
        <v>236.34246999999999</v>
      </c>
      <c r="C304" s="3">
        <v>35.605102000000002</v>
      </c>
      <c r="D304" s="3">
        <v>0.48429060000000002</v>
      </c>
      <c r="E304" s="3">
        <v>2.7543420204931102</v>
      </c>
      <c r="F304" s="3">
        <v>145287.18</v>
      </c>
      <c r="G304" s="3">
        <v>24.939969999999999</v>
      </c>
      <c r="H304" s="3">
        <v>21.428170000000001</v>
      </c>
      <c r="I304" s="3">
        <v>20.001069999999999</v>
      </c>
      <c r="J304" s="3">
        <v>19.16921</v>
      </c>
      <c r="K304" s="3">
        <v>18.677219999999998</v>
      </c>
      <c r="L304" s="3">
        <f t="shared" si="40"/>
        <v>3.5117999999999974</v>
      </c>
      <c r="M304" s="3">
        <f t="shared" si="41"/>
        <v>4.9389000000000003</v>
      </c>
      <c r="N304" s="3">
        <f t="shared" si="42"/>
        <v>5.7707599999999992</v>
      </c>
      <c r="O304" s="3">
        <f t="shared" si="43"/>
        <v>6.2627500000000005</v>
      </c>
      <c r="P304" s="3">
        <f t="shared" si="44"/>
        <v>1.4271000000000029</v>
      </c>
      <c r="Q304" s="3">
        <f t="shared" si="45"/>
        <v>2.2589600000000019</v>
      </c>
      <c r="R304" s="3">
        <f t="shared" si="46"/>
        <v>2.7509500000000031</v>
      </c>
      <c r="S304" s="3">
        <f t="shared" si="47"/>
        <v>0.83185999999999893</v>
      </c>
      <c r="T304" s="3">
        <f t="shared" si="48"/>
        <v>1.3238500000000002</v>
      </c>
      <c r="U304" s="3">
        <f t="shared" si="49"/>
        <v>0.49199000000000126</v>
      </c>
    </row>
    <row r="305" spans="1:21" x14ac:dyDescent="0.25">
      <c r="A305" s="3">
        <v>1.2376624736910001E+18</v>
      </c>
      <c r="B305" s="3">
        <v>236.43652</v>
      </c>
      <c r="C305" s="3">
        <v>36.263806000000002</v>
      </c>
      <c r="D305" s="3">
        <v>0.48682690000000001</v>
      </c>
      <c r="E305" s="3">
        <v>1.1757931607913885</v>
      </c>
      <c r="F305" s="3">
        <v>146048.07</v>
      </c>
      <c r="G305" s="3">
        <v>26.639060000000001</v>
      </c>
      <c r="H305" s="3">
        <v>21.67999</v>
      </c>
      <c r="I305" s="3">
        <v>19.885639999999999</v>
      </c>
      <c r="J305" s="3">
        <v>19.007370000000002</v>
      </c>
      <c r="K305" s="3">
        <v>18.496089999999999</v>
      </c>
      <c r="L305" s="3">
        <f t="shared" si="40"/>
        <v>4.9590700000000005</v>
      </c>
      <c r="M305" s="3">
        <f t="shared" si="41"/>
        <v>6.753420000000002</v>
      </c>
      <c r="N305" s="3">
        <f t="shared" si="42"/>
        <v>7.631689999999999</v>
      </c>
      <c r="O305" s="3">
        <f t="shared" si="43"/>
        <v>8.1429700000000018</v>
      </c>
      <c r="P305" s="3">
        <f t="shared" si="44"/>
        <v>1.7943500000000014</v>
      </c>
      <c r="Q305" s="3">
        <f t="shared" si="45"/>
        <v>2.6726199999999984</v>
      </c>
      <c r="R305" s="3">
        <f t="shared" si="46"/>
        <v>3.1839000000000013</v>
      </c>
      <c r="S305" s="3">
        <f t="shared" si="47"/>
        <v>0.878269999999997</v>
      </c>
      <c r="T305" s="3">
        <f t="shared" si="48"/>
        <v>1.3895499999999998</v>
      </c>
      <c r="U305" s="3">
        <f t="shared" si="49"/>
        <v>0.51128000000000284</v>
      </c>
    </row>
    <row r="306" spans="1:21" x14ac:dyDescent="0.25">
      <c r="A306" s="3">
        <v>1.2376624736910001E+18</v>
      </c>
      <c r="B306" s="3">
        <v>236.43652</v>
      </c>
      <c r="C306" s="3">
        <v>36.263806000000002</v>
      </c>
      <c r="D306" s="3">
        <v>0.48692390000000002</v>
      </c>
      <c r="E306" s="3">
        <v>1.1757931607913885</v>
      </c>
      <c r="F306" s="3">
        <v>146077.17000000001</v>
      </c>
      <c r="G306" s="3">
        <v>26.639060000000001</v>
      </c>
      <c r="H306" s="3">
        <v>21.67999</v>
      </c>
      <c r="I306" s="3">
        <v>19.885639999999999</v>
      </c>
      <c r="J306" s="3">
        <v>19.007370000000002</v>
      </c>
      <c r="K306" s="3">
        <v>18.496089999999999</v>
      </c>
      <c r="L306" s="3">
        <f t="shared" si="40"/>
        <v>4.9590700000000005</v>
      </c>
      <c r="M306" s="3">
        <f t="shared" si="41"/>
        <v>6.753420000000002</v>
      </c>
      <c r="N306" s="3">
        <f t="shared" si="42"/>
        <v>7.631689999999999</v>
      </c>
      <c r="O306" s="3">
        <f t="shared" si="43"/>
        <v>8.1429700000000018</v>
      </c>
      <c r="P306" s="3">
        <f t="shared" si="44"/>
        <v>1.7943500000000014</v>
      </c>
      <c r="Q306" s="3">
        <f t="shared" si="45"/>
        <v>2.6726199999999984</v>
      </c>
      <c r="R306" s="3">
        <f t="shared" si="46"/>
        <v>3.1839000000000013</v>
      </c>
      <c r="S306" s="3">
        <f t="shared" si="47"/>
        <v>0.878269999999997</v>
      </c>
      <c r="T306" s="3">
        <f t="shared" si="48"/>
        <v>1.3895499999999998</v>
      </c>
      <c r="U306" s="3">
        <f t="shared" si="49"/>
        <v>0.51128000000000284</v>
      </c>
    </row>
    <row r="307" spans="1:21" x14ac:dyDescent="0.25">
      <c r="A307" s="3">
        <v>1.2376624736909399E+18</v>
      </c>
      <c r="B307" s="3">
        <v>236.37562</v>
      </c>
      <c r="C307" s="3">
        <v>36.267167999999998</v>
      </c>
      <c r="D307" s="3">
        <v>0.48791800000000002</v>
      </c>
      <c r="E307" s="3">
        <v>1.021335237621773</v>
      </c>
      <c r="F307" s="3">
        <v>146375.4</v>
      </c>
      <c r="G307" s="3">
        <v>25.847329999999999</v>
      </c>
      <c r="H307" s="3">
        <v>21.771460000000001</v>
      </c>
      <c r="I307" s="3">
        <v>20.10586</v>
      </c>
      <c r="J307" s="3">
        <v>19.218139999999998</v>
      </c>
      <c r="K307" s="3">
        <v>18.676179999999999</v>
      </c>
      <c r="L307" s="3">
        <f t="shared" si="40"/>
        <v>4.0758699999999983</v>
      </c>
      <c r="M307" s="3">
        <f t="shared" si="41"/>
        <v>5.7414699999999996</v>
      </c>
      <c r="N307" s="3">
        <f t="shared" si="42"/>
        <v>6.6291900000000012</v>
      </c>
      <c r="O307" s="3">
        <f t="shared" si="43"/>
        <v>7.1711500000000008</v>
      </c>
      <c r="P307" s="3">
        <f t="shared" si="44"/>
        <v>1.6656000000000013</v>
      </c>
      <c r="Q307" s="3">
        <f t="shared" si="45"/>
        <v>2.5533200000000029</v>
      </c>
      <c r="R307" s="3">
        <f t="shared" si="46"/>
        <v>3.0952800000000025</v>
      </c>
      <c r="S307" s="3">
        <f t="shared" si="47"/>
        <v>0.88772000000000162</v>
      </c>
      <c r="T307" s="3">
        <f t="shared" si="48"/>
        <v>1.4296800000000012</v>
      </c>
      <c r="U307" s="3">
        <f t="shared" si="49"/>
        <v>0.54195999999999955</v>
      </c>
    </row>
    <row r="308" spans="1:21" x14ac:dyDescent="0.25">
      <c r="A308" s="3">
        <v>1.2376624736909399E+18</v>
      </c>
      <c r="B308" s="3">
        <v>236.37562</v>
      </c>
      <c r="C308" s="3">
        <v>36.267167999999998</v>
      </c>
      <c r="D308" s="3">
        <v>0.48806119999999997</v>
      </c>
      <c r="E308" s="3">
        <v>1.021335237621773</v>
      </c>
      <c r="F308" s="3">
        <v>146418.35999999999</v>
      </c>
      <c r="G308" s="3">
        <v>25.847329999999999</v>
      </c>
      <c r="H308" s="3">
        <v>21.771460000000001</v>
      </c>
      <c r="I308" s="3">
        <v>20.10586</v>
      </c>
      <c r="J308" s="3">
        <v>19.218139999999998</v>
      </c>
      <c r="K308" s="3">
        <v>18.676179999999999</v>
      </c>
      <c r="L308" s="3">
        <f t="shared" si="40"/>
        <v>4.0758699999999983</v>
      </c>
      <c r="M308" s="3">
        <f t="shared" si="41"/>
        <v>5.7414699999999996</v>
      </c>
      <c r="N308" s="3">
        <f t="shared" si="42"/>
        <v>6.6291900000000012</v>
      </c>
      <c r="O308" s="3">
        <f t="shared" si="43"/>
        <v>7.1711500000000008</v>
      </c>
      <c r="P308" s="3">
        <f t="shared" si="44"/>
        <v>1.6656000000000013</v>
      </c>
      <c r="Q308" s="3">
        <f t="shared" si="45"/>
        <v>2.5533200000000029</v>
      </c>
      <c r="R308" s="3">
        <f t="shared" si="46"/>
        <v>3.0952800000000025</v>
      </c>
      <c r="S308" s="3">
        <f t="shared" si="47"/>
        <v>0.88772000000000162</v>
      </c>
      <c r="T308" s="3">
        <f t="shared" si="48"/>
        <v>1.4296800000000012</v>
      </c>
      <c r="U308" s="3">
        <f t="shared" si="49"/>
        <v>0.54195999999999955</v>
      </c>
    </row>
    <row r="309" spans="1:21" x14ac:dyDescent="0.25">
      <c r="A309" s="3">
        <v>1.2376614659864E+18</v>
      </c>
      <c r="B309" s="3">
        <v>236.53321</v>
      </c>
      <c r="C309" s="3">
        <v>35.662090999999997</v>
      </c>
      <c r="D309" s="3">
        <v>0.48877179999999998</v>
      </c>
      <c r="E309" s="3">
        <v>2.7213628528433791</v>
      </c>
      <c r="F309" s="3">
        <v>146631.53999999998</v>
      </c>
      <c r="G309" s="3">
        <v>23.955010000000001</v>
      </c>
      <c r="H309" s="3">
        <v>22.170649999999998</v>
      </c>
      <c r="I309" s="3">
        <v>20.495229999999999</v>
      </c>
      <c r="J309" s="3">
        <v>19.689699999999998</v>
      </c>
      <c r="K309" s="3">
        <v>19.227779999999999</v>
      </c>
      <c r="L309" s="3">
        <f t="shared" si="40"/>
        <v>1.7843600000000031</v>
      </c>
      <c r="M309" s="3">
        <f t="shared" si="41"/>
        <v>3.4597800000000021</v>
      </c>
      <c r="N309" s="3">
        <f t="shared" si="42"/>
        <v>4.265310000000003</v>
      </c>
      <c r="O309" s="3">
        <f t="shared" si="43"/>
        <v>4.7272300000000023</v>
      </c>
      <c r="P309" s="3">
        <f t="shared" si="44"/>
        <v>1.675419999999999</v>
      </c>
      <c r="Q309" s="3">
        <f t="shared" si="45"/>
        <v>2.48095</v>
      </c>
      <c r="R309" s="3">
        <f t="shared" si="46"/>
        <v>2.9428699999999992</v>
      </c>
      <c r="S309" s="3">
        <f t="shared" si="47"/>
        <v>0.80553000000000097</v>
      </c>
      <c r="T309" s="3">
        <f t="shared" si="48"/>
        <v>1.2674500000000002</v>
      </c>
      <c r="U309" s="3">
        <f t="shared" si="49"/>
        <v>0.46191999999999922</v>
      </c>
    </row>
    <row r="310" spans="1:21" x14ac:dyDescent="0.25">
      <c r="A310" s="3">
        <v>1.2376624736910001E+18</v>
      </c>
      <c r="B310" s="3">
        <v>236.511</v>
      </c>
      <c r="C310" s="3">
        <v>36.230271000000002</v>
      </c>
      <c r="D310" s="3">
        <v>0.48893579999999998</v>
      </c>
      <c r="E310" s="3">
        <v>1.3258988676377619</v>
      </c>
      <c r="F310" s="3">
        <v>146680.74</v>
      </c>
      <c r="G310" s="3">
        <v>23.044920000000001</v>
      </c>
      <c r="H310" s="3">
        <v>21.738430000000001</v>
      </c>
      <c r="I310" s="3">
        <v>20.026330000000002</v>
      </c>
      <c r="J310" s="3">
        <v>19.136410000000001</v>
      </c>
      <c r="K310" s="3">
        <v>18.632110000000001</v>
      </c>
      <c r="L310" s="3">
        <f t="shared" si="40"/>
        <v>1.3064900000000002</v>
      </c>
      <c r="M310" s="3">
        <f t="shared" si="41"/>
        <v>3.0185899999999997</v>
      </c>
      <c r="N310" s="3">
        <f t="shared" si="42"/>
        <v>3.9085099999999997</v>
      </c>
      <c r="O310" s="3">
        <f t="shared" si="43"/>
        <v>4.4128100000000003</v>
      </c>
      <c r="P310" s="3">
        <f t="shared" si="44"/>
        <v>1.7120999999999995</v>
      </c>
      <c r="Q310" s="3">
        <f t="shared" si="45"/>
        <v>2.6020199999999996</v>
      </c>
      <c r="R310" s="3">
        <f t="shared" si="46"/>
        <v>3.1063200000000002</v>
      </c>
      <c r="S310" s="3">
        <f t="shared" si="47"/>
        <v>0.88992000000000004</v>
      </c>
      <c r="T310" s="3">
        <f t="shared" si="48"/>
        <v>1.3942200000000007</v>
      </c>
      <c r="U310" s="3">
        <f t="shared" si="49"/>
        <v>0.50430000000000064</v>
      </c>
    </row>
    <row r="311" spans="1:21" x14ac:dyDescent="0.25">
      <c r="A311" s="3">
        <v>1.2376624736910001E+18</v>
      </c>
      <c r="B311" s="3">
        <v>236.511</v>
      </c>
      <c r="C311" s="3">
        <v>36.230271000000002</v>
      </c>
      <c r="D311" s="3">
        <v>0.4890215</v>
      </c>
      <c r="E311" s="3">
        <v>1.3258988676377619</v>
      </c>
      <c r="F311" s="3">
        <v>146706.45000000001</v>
      </c>
      <c r="G311" s="3">
        <v>23.044920000000001</v>
      </c>
      <c r="H311" s="3">
        <v>21.738430000000001</v>
      </c>
      <c r="I311" s="3">
        <v>20.026330000000002</v>
      </c>
      <c r="J311" s="3">
        <v>19.136410000000001</v>
      </c>
      <c r="K311" s="3">
        <v>18.632110000000001</v>
      </c>
      <c r="L311" s="3">
        <f t="shared" si="40"/>
        <v>1.3064900000000002</v>
      </c>
      <c r="M311" s="3">
        <f t="shared" si="41"/>
        <v>3.0185899999999997</v>
      </c>
      <c r="N311" s="3">
        <f t="shared" si="42"/>
        <v>3.9085099999999997</v>
      </c>
      <c r="O311" s="3">
        <f t="shared" si="43"/>
        <v>4.4128100000000003</v>
      </c>
      <c r="P311" s="3">
        <f t="shared" si="44"/>
        <v>1.7120999999999995</v>
      </c>
      <c r="Q311" s="3">
        <f t="shared" si="45"/>
        <v>2.6020199999999996</v>
      </c>
      <c r="R311" s="3">
        <f t="shared" si="46"/>
        <v>3.1063200000000002</v>
      </c>
      <c r="S311" s="3">
        <f t="shared" si="47"/>
        <v>0.88992000000000004</v>
      </c>
      <c r="T311" s="3">
        <f t="shared" si="48"/>
        <v>1.3942200000000007</v>
      </c>
      <c r="U311" s="3">
        <f t="shared" si="49"/>
        <v>0.50430000000000064</v>
      </c>
    </row>
    <row r="312" spans="1:21" x14ac:dyDescent="0.25">
      <c r="A312" s="3">
        <v>1.2376625037557701E+18</v>
      </c>
      <c r="B312" s="3">
        <v>236.57469</v>
      </c>
      <c r="C312" s="3">
        <v>36.377665999999998</v>
      </c>
      <c r="D312" s="3">
        <v>0.49893389999999999</v>
      </c>
      <c r="E312" s="3">
        <v>2.0351191496508694</v>
      </c>
      <c r="F312" s="3">
        <v>149680.16999999998</v>
      </c>
      <c r="G312" s="3">
        <v>23.492339999999999</v>
      </c>
      <c r="H312" s="3">
        <v>21.985109999999999</v>
      </c>
      <c r="I312" s="3">
        <v>19.935790000000001</v>
      </c>
      <c r="J312" s="3">
        <v>19.017749999999999</v>
      </c>
      <c r="K312" s="3">
        <v>18.40306</v>
      </c>
      <c r="L312" s="3">
        <f t="shared" si="40"/>
        <v>1.5072299999999998</v>
      </c>
      <c r="M312" s="3">
        <f t="shared" si="41"/>
        <v>3.5565499999999979</v>
      </c>
      <c r="N312" s="3">
        <f t="shared" si="42"/>
        <v>4.4745899999999992</v>
      </c>
      <c r="O312" s="3">
        <f t="shared" si="43"/>
        <v>5.0892799999999987</v>
      </c>
      <c r="P312" s="3">
        <f t="shared" si="44"/>
        <v>2.049319999999998</v>
      </c>
      <c r="Q312" s="3">
        <f t="shared" si="45"/>
        <v>2.9673599999999993</v>
      </c>
      <c r="R312" s="3">
        <f t="shared" si="46"/>
        <v>3.5820499999999988</v>
      </c>
      <c r="S312" s="3">
        <f t="shared" si="47"/>
        <v>0.9180400000000013</v>
      </c>
      <c r="T312" s="3">
        <f t="shared" si="48"/>
        <v>1.5327300000000008</v>
      </c>
      <c r="U312" s="3">
        <f t="shared" si="49"/>
        <v>0.61468999999999951</v>
      </c>
    </row>
    <row r="313" spans="1:21" x14ac:dyDescent="0.25">
      <c r="A313" s="3">
        <v>1.2376624736909299E+18</v>
      </c>
      <c r="B313" s="3">
        <v>236.38335000000001</v>
      </c>
      <c r="C313" s="3">
        <v>36.318854000000002</v>
      </c>
      <c r="D313" s="3">
        <v>0.49973709999999999</v>
      </c>
      <c r="E313" s="3">
        <v>1.2785183750660056</v>
      </c>
      <c r="F313" s="3">
        <v>149921.13</v>
      </c>
      <c r="G313" s="3">
        <v>23.695740000000001</v>
      </c>
      <c r="H313" s="3">
        <v>22.615549999999999</v>
      </c>
      <c r="I313" s="3">
        <v>21.052299999999999</v>
      </c>
      <c r="J313" s="3">
        <v>20.08418</v>
      </c>
      <c r="K313" s="3">
        <v>19.728470000000002</v>
      </c>
      <c r="L313" s="3">
        <f t="shared" si="40"/>
        <v>1.0801900000000018</v>
      </c>
      <c r="M313" s="3">
        <f t="shared" si="41"/>
        <v>2.6434400000000018</v>
      </c>
      <c r="N313" s="3">
        <f t="shared" si="42"/>
        <v>3.6115600000000008</v>
      </c>
      <c r="O313" s="3">
        <f t="shared" si="43"/>
        <v>3.9672699999999992</v>
      </c>
      <c r="P313" s="3">
        <f t="shared" si="44"/>
        <v>1.56325</v>
      </c>
      <c r="Q313" s="3">
        <f t="shared" si="45"/>
        <v>2.531369999999999</v>
      </c>
      <c r="R313" s="3">
        <f t="shared" si="46"/>
        <v>2.8870799999999974</v>
      </c>
      <c r="S313" s="3">
        <f t="shared" si="47"/>
        <v>0.96811999999999898</v>
      </c>
      <c r="T313" s="3">
        <f t="shared" si="48"/>
        <v>1.3238299999999974</v>
      </c>
      <c r="U313" s="3">
        <f t="shared" si="49"/>
        <v>0.35570999999999842</v>
      </c>
    </row>
    <row r="314" spans="1:21" x14ac:dyDescent="0.25">
      <c r="A314" s="3">
        <v>1.2376624736909299E+18</v>
      </c>
      <c r="B314" s="3">
        <v>236.38335000000001</v>
      </c>
      <c r="C314" s="3">
        <v>36.318854000000002</v>
      </c>
      <c r="D314" s="3">
        <v>0.49991029999999997</v>
      </c>
      <c r="E314" s="3">
        <v>1.2785183750660056</v>
      </c>
      <c r="F314" s="3">
        <v>149973.09</v>
      </c>
      <c r="G314" s="3">
        <v>23.695740000000001</v>
      </c>
      <c r="H314" s="3">
        <v>22.615549999999999</v>
      </c>
      <c r="I314" s="3">
        <v>21.052299999999999</v>
      </c>
      <c r="J314" s="3">
        <v>20.08418</v>
      </c>
      <c r="K314" s="3">
        <v>19.728470000000002</v>
      </c>
      <c r="L314" s="3">
        <f t="shared" si="40"/>
        <v>1.0801900000000018</v>
      </c>
      <c r="M314" s="3">
        <f t="shared" si="41"/>
        <v>2.6434400000000018</v>
      </c>
      <c r="N314" s="3">
        <f t="shared" si="42"/>
        <v>3.6115600000000008</v>
      </c>
      <c r="O314" s="3">
        <f t="shared" si="43"/>
        <v>3.9672699999999992</v>
      </c>
      <c r="P314" s="3">
        <f t="shared" si="44"/>
        <v>1.56325</v>
      </c>
      <c r="Q314" s="3">
        <f t="shared" si="45"/>
        <v>2.531369999999999</v>
      </c>
      <c r="R314" s="3">
        <f t="shared" si="46"/>
        <v>2.8870799999999974</v>
      </c>
      <c r="S314" s="3">
        <f t="shared" si="47"/>
        <v>0.96811999999999898</v>
      </c>
      <c r="T314" s="3">
        <f t="shared" si="48"/>
        <v>1.3238299999999974</v>
      </c>
      <c r="U314" s="3">
        <f t="shared" si="49"/>
        <v>0.35570999999999842</v>
      </c>
    </row>
    <row r="315" spans="1:21" x14ac:dyDescent="0.25">
      <c r="A315" s="3">
        <v>1.23766247422787E+18</v>
      </c>
      <c r="B315" s="3">
        <v>236.77708000000001</v>
      </c>
      <c r="C315" s="3">
        <v>36.612729000000002</v>
      </c>
      <c r="D315" s="3">
        <v>0.50017730000000005</v>
      </c>
      <c r="E315" s="3">
        <v>3.5642607530936217</v>
      </c>
      <c r="F315" s="3">
        <v>150053.19</v>
      </c>
      <c r="G315" s="3">
        <v>25.931909999999998</v>
      </c>
      <c r="H315" s="3">
        <v>22.216439999999999</v>
      </c>
      <c r="I315" s="3">
        <v>20.845220000000001</v>
      </c>
      <c r="J315" s="3">
        <v>19.85249</v>
      </c>
      <c r="K315" s="3">
        <v>19.290900000000001</v>
      </c>
      <c r="L315" s="3">
        <f t="shared" si="40"/>
        <v>3.7154699999999998</v>
      </c>
      <c r="M315" s="3">
        <f t="shared" si="41"/>
        <v>5.0866899999999973</v>
      </c>
      <c r="N315" s="3">
        <f t="shared" si="42"/>
        <v>6.0794199999999989</v>
      </c>
      <c r="O315" s="3">
        <f t="shared" si="43"/>
        <v>6.6410099999999979</v>
      </c>
      <c r="P315" s="3">
        <f t="shared" si="44"/>
        <v>1.3712199999999974</v>
      </c>
      <c r="Q315" s="3">
        <f t="shared" si="45"/>
        <v>2.3639499999999991</v>
      </c>
      <c r="R315" s="3">
        <f t="shared" si="46"/>
        <v>2.925539999999998</v>
      </c>
      <c r="S315" s="3">
        <f t="shared" si="47"/>
        <v>0.99273000000000167</v>
      </c>
      <c r="T315" s="3">
        <f t="shared" si="48"/>
        <v>1.5543200000000006</v>
      </c>
      <c r="U315" s="3">
        <f t="shared" si="49"/>
        <v>0.56158999999999892</v>
      </c>
    </row>
    <row r="316" spans="1:21" x14ac:dyDescent="0.25">
      <c r="A316" s="3">
        <v>1.23766247422787E+18</v>
      </c>
      <c r="B316" s="3">
        <v>236.77206000000001</v>
      </c>
      <c r="C316" s="3">
        <v>36.457030000000003</v>
      </c>
      <c r="D316" s="3">
        <v>0.50160280000000002</v>
      </c>
      <c r="E316" s="3">
        <v>2.9590103249622168</v>
      </c>
      <c r="F316" s="3">
        <v>150480.84</v>
      </c>
      <c r="G316" s="3">
        <v>25.769380000000002</v>
      </c>
      <c r="H316" s="3">
        <v>23.10641</v>
      </c>
      <c r="I316" s="3">
        <v>20.54271</v>
      </c>
      <c r="J316" s="3">
        <v>19.604330000000001</v>
      </c>
      <c r="K316" s="3">
        <v>19.34967</v>
      </c>
      <c r="L316" s="3">
        <f t="shared" si="40"/>
        <v>2.6629700000000014</v>
      </c>
      <c r="M316" s="3">
        <f t="shared" si="41"/>
        <v>5.2266700000000021</v>
      </c>
      <c r="N316" s="3">
        <f t="shared" si="42"/>
        <v>6.1650500000000008</v>
      </c>
      <c r="O316" s="3">
        <f t="shared" si="43"/>
        <v>6.419710000000002</v>
      </c>
      <c r="P316" s="3">
        <f t="shared" si="44"/>
        <v>2.5637000000000008</v>
      </c>
      <c r="Q316" s="3">
        <f t="shared" si="45"/>
        <v>3.5020799999999994</v>
      </c>
      <c r="R316" s="3">
        <f t="shared" si="46"/>
        <v>3.7567400000000006</v>
      </c>
      <c r="S316" s="3">
        <f t="shared" si="47"/>
        <v>0.93837999999999866</v>
      </c>
      <c r="T316" s="3">
        <f t="shared" si="48"/>
        <v>1.1930399999999999</v>
      </c>
      <c r="U316" s="3">
        <f t="shared" si="49"/>
        <v>0.25466000000000122</v>
      </c>
    </row>
    <row r="317" spans="1:21" x14ac:dyDescent="0.25">
      <c r="A317" s="3">
        <v>1.23766247422787E+18</v>
      </c>
      <c r="B317" s="3">
        <v>236.77206000000001</v>
      </c>
      <c r="C317" s="3">
        <v>36.457030000000003</v>
      </c>
      <c r="D317" s="3">
        <v>0.50189079999999997</v>
      </c>
      <c r="E317" s="3">
        <v>2.9590103249622168</v>
      </c>
      <c r="F317" s="3">
        <v>150567.24</v>
      </c>
      <c r="G317" s="3">
        <v>25.769380000000002</v>
      </c>
      <c r="H317" s="3">
        <v>23.10641</v>
      </c>
      <c r="I317" s="3">
        <v>20.54271</v>
      </c>
      <c r="J317" s="3">
        <v>19.604330000000001</v>
      </c>
      <c r="K317" s="3">
        <v>19.34967</v>
      </c>
      <c r="L317" s="3">
        <f t="shared" si="40"/>
        <v>2.6629700000000014</v>
      </c>
      <c r="M317" s="3">
        <f t="shared" si="41"/>
        <v>5.2266700000000021</v>
      </c>
      <c r="N317" s="3">
        <f t="shared" si="42"/>
        <v>6.1650500000000008</v>
      </c>
      <c r="O317" s="3">
        <f t="shared" si="43"/>
        <v>6.419710000000002</v>
      </c>
      <c r="P317" s="3">
        <f t="shared" si="44"/>
        <v>2.5637000000000008</v>
      </c>
      <c r="Q317" s="3">
        <f t="shared" si="45"/>
        <v>3.5020799999999994</v>
      </c>
      <c r="R317" s="3">
        <f t="shared" si="46"/>
        <v>3.7567400000000006</v>
      </c>
      <c r="S317" s="3">
        <f t="shared" si="47"/>
        <v>0.93837999999999866</v>
      </c>
      <c r="T317" s="3">
        <f t="shared" si="48"/>
        <v>1.1930399999999999</v>
      </c>
      <c r="U317" s="3">
        <f t="shared" si="49"/>
        <v>0.25466000000000122</v>
      </c>
    </row>
    <row r="318" spans="1:21" x14ac:dyDescent="0.25">
      <c r="A318" s="3">
        <v>1.23766247369107E+18</v>
      </c>
      <c r="B318" s="3">
        <v>236.50611000000001</v>
      </c>
      <c r="C318" s="3">
        <v>36.073979000000001</v>
      </c>
      <c r="D318" s="3">
        <v>0.50234250000000003</v>
      </c>
      <c r="E318" s="3">
        <v>1.1504106847796711</v>
      </c>
      <c r="F318" s="3">
        <v>150702.75</v>
      </c>
      <c r="G318" s="3">
        <v>22.086839999999999</v>
      </c>
      <c r="H318" s="3">
        <v>22.247450000000001</v>
      </c>
      <c r="I318" s="3">
        <v>20.54194</v>
      </c>
      <c r="J318" s="3">
        <v>19.58989</v>
      </c>
      <c r="K318" s="3">
        <v>19.273890000000002</v>
      </c>
      <c r="L318" s="3">
        <f t="shared" si="40"/>
        <v>-0.16061000000000192</v>
      </c>
      <c r="M318" s="3">
        <f t="shared" si="41"/>
        <v>1.5448999999999984</v>
      </c>
      <c r="N318" s="3">
        <f t="shared" si="42"/>
        <v>2.4969499999999982</v>
      </c>
      <c r="O318" s="3">
        <f t="shared" si="43"/>
        <v>2.8129499999999972</v>
      </c>
      <c r="P318" s="3">
        <f t="shared" si="44"/>
        <v>1.7055100000000003</v>
      </c>
      <c r="Q318" s="3">
        <f t="shared" si="45"/>
        <v>2.6575600000000001</v>
      </c>
      <c r="R318" s="3">
        <f t="shared" si="46"/>
        <v>2.9735599999999991</v>
      </c>
      <c r="S318" s="3">
        <f t="shared" si="47"/>
        <v>0.95204999999999984</v>
      </c>
      <c r="T318" s="3">
        <f t="shared" si="48"/>
        <v>1.2680499999999988</v>
      </c>
      <c r="U318" s="3">
        <f t="shared" si="49"/>
        <v>0.31599999999999895</v>
      </c>
    </row>
    <row r="319" spans="1:21" x14ac:dyDescent="0.25">
      <c r="A319" s="3">
        <v>1.2376625037557701E+18</v>
      </c>
      <c r="B319" s="3">
        <v>236.66847999999999</v>
      </c>
      <c r="C319" s="3">
        <v>36.275706</v>
      </c>
      <c r="D319" s="3">
        <v>0.50268520000000005</v>
      </c>
      <c r="E319" s="3">
        <v>2.0471295791601163</v>
      </c>
      <c r="F319" s="3">
        <v>150805.56000000003</v>
      </c>
      <c r="G319" s="3">
        <v>22.916810000000002</v>
      </c>
      <c r="H319" s="3">
        <v>21.85783</v>
      </c>
      <c r="I319" s="3">
        <v>20.345680000000002</v>
      </c>
      <c r="J319" s="3">
        <v>19.571770000000001</v>
      </c>
      <c r="K319" s="3">
        <v>19.001940000000001</v>
      </c>
      <c r="L319" s="3">
        <f t="shared" si="40"/>
        <v>1.0589800000000018</v>
      </c>
      <c r="M319" s="3">
        <f t="shared" si="41"/>
        <v>2.5711300000000001</v>
      </c>
      <c r="N319" s="3">
        <f t="shared" si="42"/>
        <v>3.3450400000000009</v>
      </c>
      <c r="O319" s="3">
        <f t="shared" si="43"/>
        <v>3.9148700000000005</v>
      </c>
      <c r="P319" s="3">
        <f t="shared" si="44"/>
        <v>1.5121499999999983</v>
      </c>
      <c r="Q319" s="3">
        <f t="shared" si="45"/>
        <v>2.2860599999999991</v>
      </c>
      <c r="R319" s="3">
        <f t="shared" si="46"/>
        <v>2.8558899999999987</v>
      </c>
      <c r="S319" s="3">
        <f t="shared" si="47"/>
        <v>0.77391000000000076</v>
      </c>
      <c r="T319" s="3">
        <f t="shared" si="48"/>
        <v>1.3437400000000004</v>
      </c>
      <c r="U319" s="3">
        <f t="shared" si="49"/>
        <v>0.56982999999999961</v>
      </c>
    </row>
    <row r="320" spans="1:21" x14ac:dyDescent="0.25">
      <c r="A320" s="3">
        <v>1.23766146598627E+18</v>
      </c>
      <c r="B320" s="3">
        <v>236.30378999999999</v>
      </c>
      <c r="C320" s="3">
        <v>35.821069999999999</v>
      </c>
      <c r="D320" s="3">
        <v>0.50426159999999998</v>
      </c>
      <c r="E320" s="3">
        <v>1.5766479713455177</v>
      </c>
      <c r="F320" s="3">
        <v>151278.47999999998</v>
      </c>
      <c r="G320" s="3">
        <v>23.996970000000001</v>
      </c>
      <c r="H320" s="3">
        <v>22.113</v>
      </c>
      <c r="I320" s="3">
        <v>20.707159999999998</v>
      </c>
      <c r="J320" s="3">
        <v>19.752459999999999</v>
      </c>
      <c r="K320" s="3">
        <v>19.270779999999998</v>
      </c>
      <c r="L320" s="3">
        <f t="shared" si="40"/>
        <v>1.8839700000000015</v>
      </c>
      <c r="M320" s="3">
        <f t="shared" si="41"/>
        <v>3.2898100000000028</v>
      </c>
      <c r="N320" s="3">
        <f t="shared" si="42"/>
        <v>4.2445100000000018</v>
      </c>
      <c r="O320" s="3">
        <f t="shared" si="43"/>
        <v>4.7261900000000026</v>
      </c>
      <c r="P320" s="3">
        <f t="shared" si="44"/>
        <v>1.4058400000000013</v>
      </c>
      <c r="Q320" s="3">
        <f t="shared" si="45"/>
        <v>2.3605400000000003</v>
      </c>
      <c r="R320" s="3">
        <f t="shared" si="46"/>
        <v>2.8422200000000011</v>
      </c>
      <c r="S320" s="3">
        <f t="shared" si="47"/>
        <v>0.95469999999999899</v>
      </c>
      <c r="T320" s="3">
        <f t="shared" si="48"/>
        <v>1.4363799999999998</v>
      </c>
      <c r="U320" s="3">
        <f t="shared" si="49"/>
        <v>0.48168000000000077</v>
      </c>
    </row>
    <row r="321" spans="1:21" x14ac:dyDescent="0.25">
      <c r="A321" s="3">
        <v>1.2376614659863301E+18</v>
      </c>
      <c r="B321" s="3">
        <v>236.39053000000001</v>
      </c>
      <c r="C321" s="3">
        <v>35.756470999999998</v>
      </c>
      <c r="D321" s="3">
        <v>0.50478540000000005</v>
      </c>
      <c r="E321" s="3">
        <v>2.0069014846998958</v>
      </c>
      <c r="F321" s="3">
        <v>151435.62000000002</v>
      </c>
      <c r="G321" s="3">
        <v>21.344370000000001</v>
      </c>
      <c r="H321" s="3">
        <v>20.581050000000001</v>
      </c>
      <c r="I321" s="3">
        <v>19.230429999999998</v>
      </c>
      <c r="J321" s="3">
        <v>18.434100000000001</v>
      </c>
      <c r="K321" s="3">
        <v>18.04731</v>
      </c>
      <c r="L321" s="3">
        <f t="shared" si="40"/>
        <v>0.76332000000000022</v>
      </c>
      <c r="M321" s="3">
        <f t="shared" si="41"/>
        <v>2.113940000000003</v>
      </c>
      <c r="N321" s="3">
        <f t="shared" si="42"/>
        <v>2.9102700000000006</v>
      </c>
      <c r="O321" s="3">
        <f t="shared" si="43"/>
        <v>3.2970600000000019</v>
      </c>
      <c r="P321" s="3">
        <f t="shared" si="44"/>
        <v>1.3506200000000028</v>
      </c>
      <c r="Q321" s="3">
        <f t="shared" si="45"/>
        <v>2.1469500000000004</v>
      </c>
      <c r="R321" s="3">
        <f t="shared" si="46"/>
        <v>2.5337400000000017</v>
      </c>
      <c r="S321" s="3">
        <f t="shared" si="47"/>
        <v>0.79632999999999754</v>
      </c>
      <c r="T321" s="3">
        <f t="shared" si="48"/>
        <v>1.1831199999999988</v>
      </c>
      <c r="U321" s="3">
        <f t="shared" si="49"/>
        <v>0.3867900000000013</v>
      </c>
    </row>
    <row r="322" spans="1:21" x14ac:dyDescent="0.25">
      <c r="A322" s="3">
        <v>1.23766146598607E+18</v>
      </c>
      <c r="B322" s="3">
        <v>235.80842999999999</v>
      </c>
      <c r="C322" s="3">
        <v>36.016514000000001</v>
      </c>
      <c r="D322" s="3">
        <v>0.50828139999999999</v>
      </c>
      <c r="E322" s="3">
        <v>1.9735670171085449</v>
      </c>
      <c r="F322" s="3">
        <v>152484.42000000001</v>
      </c>
      <c r="G322" s="3">
        <v>24.588830000000002</v>
      </c>
      <c r="H322" s="3">
        <v>22.432739999999999</v>
      </c>
      <c r="I322" s="3">
        <v>20.743880000000001</v>
      </c>
      <c r="J322" s="3">
        <v>19.77535</v>
      </c>
      <c r="K322" s="3">
        <v>19.401039999999998</v>
      </c>
      <c r="L322" s="3">
        <f t="shared" ref="L322:L385" si="50">G322-H322</f>
        <v>2.1560900000000025</v>
      </c>
      <c r="M322" s="3">
        <f t="shared" ref="M322:M385" si="51">G322-I322</f>
        <v>3.8449500000000008</v>
      </c>
      <c r="N322" s="3">
        <f t="shared" ref="N322:N385" si="52">G322-J322</f>
        <v>4.813480000000002</v>
      </c>
      <c r="O322" s="3">
        <f t="shared" ref="O322:O385" si="53">G322-K322</f>
        <v>5.1877900000000032</v>
      </c>
      <c r="P322" s="3">
        <f t="shared" ref="P322:P385" si="54">H322-I322</f>
        <v>1.6888599999999983</v>
      </c>
      <c r="Q322" s="3">
        <f t="shared" ref="Q322:Q385" si="55">H322-J322</f>
        <v>2.6573899999999995</v>
      </c>
      <c r="R322" s="3">
        <f t="shared" ref="R322:R385" si="56">H322-K322</f>
        <v>3.0317000000000007</v>
      </c>
      <c r="S322" s="3">
        <f t="shared" ref="S322:S385" si="57">I322-J322</f>
        <v>0.96853000000000122</v>
      </c>
      <c r="T322" s="3">
        <f t="shared" ref="T322:T385" si="58">I322-K322</f>
        <v>1.3428400000000025</v>
      </c>
      <c r="U322" s="3">
        <f t="shared" ref="U322:U385" si="59">J322-K322</f>
        <v>0.37431000000000125</v>
      </c>
    </row>
    <row r="323" spans="1:21" x14ac:dyDescent="0.25">
      <c r="A323" s="3">
        <v>1.23766250375584E+18</v>
      </c>
      <c r="B323" s="3">
        <v>236.68878000000001</v>
      </c>
      <c r="C323" s="3">
        <v>36.205488000000003</v>
      </c>
      <c r="D323" s="3">
        <v>0.51101370000000002</v>
      </c>
      <c r="E323" s="3">
        <v>1.9977285577248767</v>
      </c>
      <c r="F323" s="3">
        <v>153304.11000000002</v>
      </c>
      <c r="G323" s="3">
        <v>22.912960000000002</v>
      </c>
      <c r="H323" s="3">
        <v>22.070720000000001</v>
      </c>
      <c r="I323" s="3">
        <v>20.648050000000001</v>
      </c>
      <c r="J323" s="3">
        <v>19.696840000000002</v>
      </c>
      <c r="K323" s="3">
        <v>19.862719999999999</v>
      </c>
      <c r="L323" s="3">
        <f t="shared" si="50"/>
        <v>0.84224000000000032</v>
      </c>
      <c r="M323" s="3">
        <f t="shared" si="51"/>
        <v>2.2649100000000004</v>
      </c>
      <c r="N323" s="3">
        <f t="shared" si="52"/>
        <v>3.2161200000000001</v>
      </c>
      <c r="O323" s="3">
        <f t="shared" si="53"/>
        <v>3.0502400000000023</v>
      </c>
      <c r="P323" s="3">
        <f t="shared" si="54"/>
        <v>1.4226700000000001</v>
      </c>
      <c r="Q323" s="3">
        <f t="shared" si="55"/>
        <v>2.3738799999999998</v>
      </c>
      <c r="R323" s="3">
        <f t="shared" si="56"/>
        <v>2.208000000000002</v>
      </c>
      <c r="S323" s="3">
        <f t="shared" si="57"/>
        <v>0.95120999999999967</v>
      </c>
      <c r="T323" s="3">
        <f t="shared" si="58"/>
        <v>0.78533000000000186</v>
      </c>
      <c r="U323" s="3">
        <f t="shared" si="59"/>
        <v>-0.16587999999999781</v>
      </c>
    </row>
    <row r="324" spans="1:21" x14ac:dyDescent="0.25">
      <c r="A324" s="3">
        <v>1.2376623378635799E+18</v>
      </c>
      <c r="B324" s="3">
        <v>235.90980999999999</v>
      </c>
      <c r="C324" s="3">
        <v>35.747709999999998</v>
      </c>
      <c r="D324" s="3">
        <v>0.51307579999999997</v>
      </c>
      <c r="E324" s="3">
        <v>2.4431766126746099</v>
      </c>
      <c r="F324" s="3">
        <v>153922.74</v>
      </c>
      <c r="G324" s="3">
        <v>22.859269999999999</v>
      </c>
      <c r="H324" s="3">
        <v>22.051030000000001</v>
      </c>
      <c r="I324" s="3">
        <v>20.243040000000001</v>
      </c>
      <c r="J324" s="3">
        <v>19.378789999999999</v>
      </c>
      <c r="K324" s="3">
        <v>18.876159999999999</v>
      </c>
      <c r="L324" s="3">
        <f t="shared" si="50"/>
        <v>0.80823999999999785</v>
      </c>
      <c r="M324" s="3">
        <f t="shared" si="51"/>
        <v>2.6162299999999981</v>
      </c>
      <c r="N324" s="3">
        <f t="shared" si="52"/>
        <v>3.48048</v>
      </c>
      <c r="O324" s="3">
        <f t="shared" si="53"/>
        <v>3.9831099999999999</v>
      </c>
      <c r="P324" s="3">
        <f t="shared" si="54"/>
        <v>1.8079900000000002</v>
      </c>
      <c r="Q324" s="3">
        <f t="shared" si="55"/>
        <v>2.6722400000000022</v>
      </c>
      <c r="R324" s="3">
        <f t="shared" si="56"/>
        <v>3.1748700000000021</v>
      </c>
      <c r="S324" s="3">
        <f t="shared" si="57"/>
        <v>0.86425000000000196</v>
      </c>
      <c r="T324" s="3">
        <f t="shared" si="58"/>
        <v>1.3668800000000019</v>
      </c>
      <c r="U324" s="3">
        <f t="shared" si="59"/>
        <v>0.50262999999999991</v>
      </c>
    </row>
    <row r="325" spans="1:21" x14ac:dyDescent="0.25">
      <c r="A325" s="3">
        <v>1.2376623378635799E+18</v>
      </c>
      <c r="B325" s="3">
        <v>235.90980999999999</v>
      </c>
      <c r="C325" s="3">
        <v>35.747709999999998</v>
      </c>
      <c r="D325" s="3">
        <v>0.51317179999999996</v>
      </c>
      <c r="E325" s="3">
        <v>2.4431766126746099</v>
      </c>
      <c r="F325" s="3">
        <v>153951.53999999998</v>
      </c>
      <c r="G325" s="3">
        <v>22.859269999999999</v>
      </c>
      <c r="H325" s="3">
        <v>22.051030000000001</v>
      </c>
      <c r="I325" s="3">
        <v>20.243040000000001</v>
      </c>
      <c r="J325" s="3">
        <v>19.378789999999999</v>
      </c>
      <c r="K325" s="3">
        <v>18.876159999999999</v>
      </c>
      <c r="L325" s="3">
        <f t="shared" si="50"/>
        <v>0.80823999999999785</v>
      </c>
      <c r="M325" s="3">
        <f t="shared" si="51"/>
        <v>2.6162299999999981</v>
      </c>
      <c r="N325" s="3">
        <f t="shared" si="52"/>
        <v>3.48048</v>
      </c>
      <c r="O325" s="3">
        <f t="shared" si="53"/>
        <v>3.9831099999999999</v>
      </c>
      <c r="P325" s="3">
        <f t="shared" si="54"/>
        <v>1.8079900000000002</v>
      </c>
      <c r="Q325" s="3">
        <f t="shared" si="55"/>
        <v>2.6722400000000022</v>
      </c>
      <c r="R325" s="3">
        <f t="shared" si="56"/>
        <v>3.1748700000000021</v>
      </c>
      <c r="S325" s="3">
        <f t="shared" si="57"/>
        <v>0.86425000000000196</v>
      </c>
      <c r="T325" s="3">
        <f t="shared" si="58"/>
        <v>1.3668800000000019</v>
      </c>
      <c r="U325" s="3">
        <f t="shared" si="59"/>
        <v>0.50262999999999991</v>
      </c>
    </row>
    <row r="326" spans="1:21" x14ac:dyDescent="0.25">
      <c r="A326" s="3">
        <v>1.23766247369074E+18</v>
      </c>
      <c r="B326" s="3">
        <v>235.84210999999999</v>
      </c>
      <c r="C326" s="3">
        <v>36.522838999999998</v>
      </c>
      <c r="D326" s="3">
        <v>0.52174149999999997</v>
      </c>
      <c r="E326" s="3">
        <v>2.8391537839714411</v>
      </c>
      <c r="F326" s="3">
        <v>156522.44999999998</v>
      </c>
      <c r="G326" s="3">
        <v>23.806809999999999</v>
      </c>
      <c r="H326" s="3">
        <v>21.895849999999999</v>
      </c>
      <c r="I326" s="3">
        <v>20.42831</v>
      </c>
      <c r="J326" s="3">
        <v>19.445329999999998</v>
      </c>
      <c r="K326" s="3">
        <v>19.112749999999998</v>
      </c>
      <c r="L326" s="3">
        <f t="shared" si="50"/>
        <v>1.9109599999999993</v>
      </c>
      <c r="M326" s="3">
        <f t="shared" si="51"/>
        <v>3.3784999999999989</v>
      </c>
      <c r="N326" s="3">
        <f t="shared" si="52"/>
        <v>4.3614800000000002</v>
      </c>
      <c r="O326" s="3">
        <f t="shared" si="53"/>
        <v>4.6940600000000003</v>
      </c>
      <c r="P326" s="3">
        <f t="shared" si="54"/>
        <v>1.4675399999999996</v>
      </c>
      <c r="Q326" s="3">
        <f t="shared" si="55"/>
        <v>2.4505200000000009</v>
      </c>
      <c r="R326" s="3">
        <f t="shared" si="56"/>
        <v>2.783100000000001</v>
      </c>
      <c r="S326" s="3">
        <f t="shared" si="57"/>
        <v>0.9829800000000013</v>
      </c>
      <c r="T326" s="3">
        <f t="shared" si="58"/>
        <v>1.3155600000000014</v>
      </c>
      <c r="U326" s="3">
        <f t="shared" si="59"/>
        <v>0.3325800000000001</v>
      </c>
    </row>
    <row r="327" spans="1:21" x14ac:dyDescent="0.25">
      <c r="A327" s="3">
        <v>1.2376624736911301E+18</v>
      </c>
      <c r="B327" s="3">
        <v>236.69861</v>
      </c>
      <c r="C327" s="3">
        <v>35.951822999999997</v>
      </c>
      <c r="D327" s="3">
        <v>0.5257349</v>
      </c>
      <c r="E327" s="3">
        <v>2.150754213297049</v>
      </c>
      <c r="F327" s="3">
        <v>157720.47</v>
      </c>
      <c r="G327" s="3">
        <v>23.136469999999999</v>
      </c>
      <c r="H327" s="3">
        <v>22.308330000000002</v>
      </c>
      <c r="I327" s="3">
        <v>20.532699999999998</v>
      </c>
      <c r="J327" s="3">
        <v>19.72758</v>
      </c>
      <c r="K327" s="3">
        <v>19.367789999999999</v>
      </c>
      <c r="L327" s="3">
        <f t="shared" si="50"/>
        <v>0.82813999999999766</v>
      </c>
      <c r="M327" s="3">
        <f t="shared" si="51"/>
        <v>2.6037700000000008</v>
      </c>
      <c r="N327" s="3">
        <f t="shared" si="52"/>
        <v>3.4088899999999995</v>
      </c>
      <c r="O327" s="3">
        <f t="shared" si="53"/>
        <v>3.7686799999999998</v>
      </c>
      <c r="P327" s="3">
        <f t="shared" si="54"/>
        <v>1.7756300000000032</v>
      </c>
      <c r="Q327" s="3">
        <f t="shared" si="55"/>
        <v>2.5807500000000019</v>
      </c>
      <c r="R327" s="3">
        <f t="shared" si="56"/>
        <v>2.9405400000000022</v>
      </c>
      <c r="S327" s="3">
        <f t="shared" si="57"/>
        <v>0.80511999999999873</v>
      </c>
      <c r="T327" s="3">
        <f t="shared" si="58"/>
        <v>1.164909999999999</v>
      </c>
      <c r="U327" s="3">
        <f t="shared" si="59"/>
        <v>0.35979000000000028</v>
      </c>
    </row>
    <row r="328" spans="1:21" x14ac:dyDescent="0.25">
      <c r="A328" s="3">
        <v>1.2376614659862001E+18</v>
      </c>
      <c r="B328" s="3">
        <v>236.08600999999999</v>
      </c>
      <c r="C328" s="3">
        <v>35.839691000000002</v>
      </c>
      <c r="D328" s="3">
        <v>0.52591169999999998</v>
      </c>
      <c r="E328" s="3">
        <v>1.6147654070410393</v>
      </c>
      <c r="F328" s="3">
        <v>157773.50999999998</v>
      </c>
      <c r="G328" s="3">
        <v>22.872299999999999</v>
      </c>
      <c r="H328" s="3">
        <v>21.58512</v>
      </c>
      <c r="I328" s="3">
        <v>20.394490000000001</v>
      </c>
      <c r="J328" s="3">
        <v>19.394169999999999</v>
      </c>
      <c r="K328" s="3">
        <v>19.31343</v>
      </c>
      <c r="L328" s="3">
        <f t="shared" si="50"/>
        <v>1.2871799999999993</v>
      </c>
      <c r="M328" s="3">
        <f t="shared" si="51"/>
        <v>2.4778099999999981</v>
      </c>
      <c r="N328" s="3">
        <f t="shared" si="52"/>
        <v>3.4781300000000002</v>
      </c>
      <c r="O328" s="3">
        <f t="shared" si="53"/>
        <v>3.5588699999999989</v>
      </c>
      <c r="P328" s="3">
        <f t="shared" si="54"/>
        <v>1.1906299999999987</v>
      </c>
      <c r="Q328" s="3">
        <f t="shared" si="55"/>
        <v>2.1909500000000008</v>
      </c>
      <c r="R328" s="3">
        <f t="shared" si="56"/>
        <v>2.2716899999999995</v>
      </c>
      <c r="S328" s="3">
        <f t="shared" si="57"/>
        <v>1.0003200000000021</v>
      </c>
      <c r="T328" s="3">
        <f t="shared" si="58"/>
        <v>1.0810600000000008</v>
      </c>
      <c r="U328" s="3">
        <f t="shared" si="59"/>
        <v>8.0739999999998702E-2</v>
      </c>
    </row>
    <row r="329" spans="1:21" x14ac:dyDescent="0.25">
      <c r="A329" s="3">
        <v>1.2376624736911301E+18</v>
      </c>
      <c r="B329" s="3">
        <v>236.73108999999999</v>
      </c>
      <c r="C329" s="3">
        <v>36.068480999999998</v>
      </c>
      <c r="D329" s="3">
        <v>0.52675000000000005</v>
      </c>
      <c r="E329" s="3">
        <v>2.1270715456638598</v>
      </c>
      <c r="F329" s="3">
        <v>158025.00000000003</v>
      </c>
      <c r="G329" s="3">
        <v>23.405049999999999</v>
      </c>
      <c r="H329" s="3">
        <v>23.382670000000001</v>
      </c>
      <c r="I329" s="3">
        <v>20.792940000000002</v>
      </c>
      <c r="J329" s="3">
        <v>19.716370000000001</v>
      </c>
      <c r="K329" s="3">
        <v>19.364519999999999</v>
      </c>
      <c r="L329" s="3">
        <f t="shared" si="50"/>
        <v>2.237999999999829E-2</v>
      </c>
      <c r="M329" s="3">
        <f t="shared" si="51"/>
        <v>2.6121099999999977</v>
      </c>
      <c r="N329" s="3">
        <f t="shared" si="52"/>
        <v>3.688679999999998</v>
      </c>
      <c r="O329" s="3">
        <f t="shared" si="53"/>
        <v>4.0405300000000004</v>
      </c>
      <c r="P329" s="3">
        <f t="shared" si="54"/>
        <v>2.5897299999999994</v>
      </c>
      <c r="Q329" s="3">
        <f t="shared" si="55"/>
        <v>3.6662999999999997</v>
      </c>
      <c r="R329" s="3">
        <f t="shared" si="56"/>
        <v>4.0181500000000021</v>
      </c>
      <c r="S329" s="3">
        <f t="shared" si="57"/>
        <v>1.0765700000000002</v>
      </c>
      <c r="T329" s="3">
        <f t="shared" si="58"/>
        <v>1.4284200000000027</v>
      </c>
      <c r="U329" s="3">
        <f t="shared" si="59"/>
        <v>0.35185000000000244</v>
      </c>
    </row>
    <row r="330" spans="1:21" x14ac:dyDescent="0.25">
      <c r="A330" s="3">
        <v>1.23766250375584E+18</v>
      </c>
      <c r="B330" s="3">
        <v>236.86367999999999</v>
      </c>
      <c r="C330" s="3">
        <v>36.247342000000003</v>
      </c>
      <c r="D330" s="3">
        <v>0.5274221</v>
      </c>
      <c r="E330" s="3">
        <v>2.7917141425308278</v>
      </c>
      <c r="F330" s="3">
        <v>158226.63</v>
      </c>
      <c r="G330" s="3">
        <v>22.341899999999999</v>
      </c>
      <c r="H330" s="3">
        <v>21.30198</v>
      </c>
      <c r="I330" s="3">
        <v>19.536439999999999</v>
      </c>
      <c r="J330" s="3">
        <v>18.496400000000001</v>
      </c>
      <c r="K330" s="3">
        <v>18.03464</v>
      </c>
      <c r="L330" s="3">
        <f t="shared" si="50"/>
        <v>1.0399199999999986</v>
      </c>
      <c r="M330" s="3">
        <f t="shared" si="51"/>
        <v>2.8054600000000001</v>
      </c>
      <c r="N330" s="3">
        <f t="shared" si="52"/>
        <v>3.8454999999999977</v>
      </c>
      <c r="O330" s="3">
        <f t="shared" si="53"/>
        <v>4.3072599999999994</v>
      </c>
      <c r="P330" s="3">
        <f t="shared" si="54"/>
        <v>1.7655400000000014</v>
      </c>
      <c r="Q330" s="3">
        <f t="shared" si="55"/>
        <v>2.8055799999999991</v>
      </c>
      <c r="R330" s="3">
        <f t="shared" si="56"/>
        <v>3.2673400000000008</v>
      </c>
      <c r="S330" s="3">
        <f t="shared" si="57"/>
        <v>1.0400399999999976</v>
      </c>
      <c r="T330" s="3">
        <f t="shared" si="58"/>
        <v>1.5017999999999994</v>
      </c>
      <c r="U330" s="3">
        <f t="shared" si="59"/>
        <v>0.46176000000000172</v>
      </c>
    </row>
    <row r="331" spans="1:21" x14ac:dyDescent="0.25">
      <c r="A331" s="3">
        <v>1.2376625037558999E+18</v>
      </c>
      <c r="B331" s="3">
        <v>236.86318</v>
      </c>
      <c r="C331" s="3">
        <v>36.162860000000002</v>
      </c>
      <c r="D331" s="3">
        <v>0.52834449999999999</v>
      </c>
      <c r="E331" s="3">
        <v>2.7053831883161843</v>
      </c>
      <c r="F331" s="3">
        <v>158503.35</v>
      </c>
      <c r="G331" s="3">
        <v>23.27947</v>
      </c>
      <c r="H331" s="3">
        <v>21.774930000000001</v>
      </c>
      <c r="I331" s="3">
        <v>20.39236</v>
      </c>
      <c r="J331" s="3">
        <v>19.386209999999998</v>
      </c>
      <c r="K331" s="3">
        <v>18.930569999999999</v>
      </c>
      <c r="L331" s="3">
        <f t="shared" si="50"/>
        <v>1.5045399999999987</v>
      </c>
      <c r="M331" s="3">
        <f t="shared" si="51"/>
        <v>2.8871099999999998</v>
      </c>
      <c r="N331" s="3">
        <f t="shared" si="52"/>
        <v>3.8932600000000015</v>
      </c>
      <c r="O331" s="3">
        <f t="shared" si="53"/>
        <v>4.3489000000000004</v>
      </c>
      <c r="P331" s="3">
        <f t="shared" si="54"/>
        <v>1.3825700000000012</v>
      </c>
      <c r="Q331" s="3">
        <f t="shared" si="55"/>
        <v>2.3887200000000028</v>
      </c>
      <c r="R331" s="3">
        <f t="shared" si="56"/>
        <v>2.8443600000000018</v>
      </c>
      <c r="S331" s="3">
        <f t="shared" si="57"/>
        <v>1.0061500000000017</v>
      </c>
      <c r="T331" s="3">
        <f t="shared" si="58"/>
        <v>1.4617900000000006</v>
      </c>
      <c r="U331" s="3">
        <f t="shared" si="59"/>
        <v>0.45563999999999893</v>
      </c>
    </row>
    <row r="332" spans="1:21" x14ac:dyDescent="0.25">
      <c r="A332" s="3">
        <v>1.2376625037556401E+18</v>
      </c>
      <c r="B332" s="3">
        <v>236.33627000000001</v>
      </c>
      <c r="C332" s="3">
        <v>36.486868999999999</v>
      </c>
      <c r="D332" s="3">
        <v>0.52961060000000004</v>
      </c>
      <c r="E332" s="3">
        <v>2.0742146328938218</v>
      </c>
      <c r="F332" s="3">
        <v>158883.18000000002</v>
      </c>
      <c r="G332" s="3">
        <v>24.344380000000001</v>
      </c>
      <c r="H332" s="3">
        <v>21.909759999999999</v>
      </c>
      <c r="I332" s="3">
        <v>20.29683</v>
      </c>
      <c r="J332" s="3">
        <v>19.25554</v>
      </c>
      <c r="K332" s="3">
        <v>18.805009999999999</v>
      </c>
      <c r="L332" s="3">
        <f t="shared" si="50"/>
        <v>2.4346200000000024</v>
      </c>
      <c r="M332" s="3">
        <f t="shared" si="51"/>
        <v>4.0475500000000011</v>
      </c>
      <c r="N332" s="3">
        <f t="shared" si="52"/>
        <v>5.0888400000000011</v>
      </c>
      <c r="O332" s="3">
        <f t="shared" si="53"/>
        <v>5.5393700000000017</v>
      </c>
      <c r="P332" s="3">
        <f t="shared" si="54"/>
        <v>1.6129299999999986</v>
      </c>
      <c r="Q332" s="3">
        <f t="shared" si="55"/>
        <v>2.6542199999999987</v>
      </c>
      <c r="R332" s="3">
        <f t="shared" si="56"/>
        <v>3.1047499999999992</v>
      </c>
      <c r="S332" s="3">
        <f t="shared" si="57"/>
        <v>1.04129</v>
      </c>
      <c r="T332" s="3">
        <f t="shared" si="58"/>
        <v>1.4918200000000006</v>
      </c>
      <c r="U332" s="3">
        <f t="shared" si="59"/>
        <v>0.45053000000000054</v>
      </c>
    </row>
    <row r="333" spans="1:21" x14ac:dyDescent="0.25">
      <c r="A333" s="3">
        <v>1.2376625037556401E+18</v>
      </c>
      <c r="B333" s="3">
        <v>236.33627000000001</v>
      </c>
      <c r="C333" s="3">
        <v>36.486868999999999</v>
      </c>
      <c r="D333" s="3">
        <v>0.52992499999999998</v>
      </c>
      <c r="E333" s="3">
        <v>2.0742146328938218</v>
      </c>
      <c r="F333" s="3">
        <v>158977.5</v>
      </c>
      <c r="G333" s="3">
        <v>24.344380000000001</v>
      </c>
      <c r="H333" s="3">
        <v>21.909759999999999</v>
      </c>
      <c r="I333" s="3">
        <v>20.29683</v>
      </c>
      <c r="J333" s="3">
        <v>19.25554</v>
      </c>
      <c r="K333" s="3">
        <v>18.805009999999999</v>
      </c>
      <c r="L333" s="3">
        <f t="shared" si="50"/>
        <v>2.4346200000000024</v>
      </c>
      <c r="M333" s="3">
        <f t="shared" si="51"/>
        <v>4.0475500000000011</v>
      </c>
      <c r="N333" s="3">
        <f t="shared" si="52"/>
        <v>5.0888400000000011</v>
      </c>
      <c r="O333" s="3">
        <f t="shared" si="53"/>
        <v>5.5393700000000017</v>
      </c>
      <c r="P333" s="3">
        <f t="shared" si="54"/>
        <v>1.6129299999999986</v>
      </c>
      <c r="Q333" s="3">
        <f t="shared" si="55"/>
        <v>2.6542199999999987</v>
      </c>
      <c r="R333" s="3">
        <f t="shared" si="56"/>
        <v>3.1047499999999992</v>
      </c>
      <c r="S333" s="3">
        <f t="shared" si="57"/>
        <v>1.04129</v>
      </c>
      <c r="T333" s="3">
        <f t="shared" si="58"/>
        <v>1.4918200000000006</v>
      </c>
      <c r="U333" s="3">
        <f t="shared" si="59"/>
        <v>0.45053000000000054</v>
      </c>
    </row>
    <row r="334" spans="1:21" x14ac:dyDescent="0.25">
      <c r="A334" s="3">
        <v>1.23766247422781E+18</v>
      </c>
      <c r="B334" s="3">
        <v>236.60076000000001</v>
      </c>
      <c r="C334" s="3">
        <v>36.570005000000002</v>
      </c>
      <c r="D334" s="3">
        <v>0.53062200000000004</v>
      </c>
      <c r="E334" s="3">
        <v>2.9250041066745438</v>
      </c>
      <c r="F334" s="3">
        <v>159186.6</v>
      </c>
      <c r="G334" s="3">
        <v>23.378900000000002</v>
      </c>
      <c r="H334" s="3">
        <v>22.339379999999998</v>
      </c>
      <c r="I334" s="3">
        <v>20.826530000000002</v>
      </c>
      <c r="J334" s="3">
        <v>19.87772</v>
      </c>
      <c r="K334" s="3">
        <v>19.437819999999999</v>
      </c>
      <c r="L334" s="3">
        <f t="shared" si="50"/>
        <v>1.0395200000000031</v>
      </c>
      <c r="M334" s="3">
        <f t="shared" si="51"/>
        <v>2.5523699999999998</v>
      </c>
      <c r="N334" s="3">
        <f t="shared" si="52"/>
        <v>3.5011800000000015</v>
      </c>
      <c r="O334" s="3">
        <f t="shared" si="53"/>
        <v>3.941080000000003</v>
      </c>
      <c r="P334" s="3">
        <f t="shared" si="54"/>
        <v>1.5128499999999967</v>
      </c>
      <c r="Q334" s="3">
        <f t="shared" si="55"/>
        <v>2.4616599999999984</v>
      </c>
      <c r="R334" s="3">
        <f t="shared" si="56"/>
        <v>2.9015599999999999</v>
      </c>
      <c r="S334" s="3">
        <f t="shared" si="57"/>
        <v>0.94881000000000171</v>
      </c>
      <c r="T334" s="3">
        <f t="shared" si="58"/>
        <v>1.3887100000000032</v>
      </c>
      <c r="U334" s="3">
        <f t="shared" si="59"/>
        <v>0.43990000000000151</v>
      </c>
    </row>
    <row r="335" spans="1:21" x14ac:dyDescent="0.25">
      <c r="A335" s="3">
        <v>1.23766146598607E+18</v>
      </c>
      <c r="B335" s="3">
        <v>235.89977999999999</v>
      </c>
      <c r="C335" s="3">
        <v>36.042614999999998</v>
      </c>
      <c r="D335" s="3">
        <v>0.53627650000000004</v>
      </c>
      <c r="E335" s="3">
        <v>1.5524916680878378</v>
      </c>
      <c r="F335" s="3">
        <v>160882.95000000001</v>
      </c>
      <c r="G335" s="3">
        <v>25.387170000000001</v>
      </c>
      <c r="H335" s="3">
        <v>23.30583</v>
      </c>
      <c r="I335" s="3">
        <v>21.54881</v>
      </c>
      <c r="J335" s="3">
        <v>20.494350000000001</v>
      </c>
      <c r="K335" s="3">
        <v>19.83897</v>
      </c>
      <c r="L335" s="3">
        <f t="shared" si="50"/>
        <v>2.0813400000000009</v>
      </c>
      <c r="M335" s="3">
        <f t="shared" si="51"/>
        <v>3.8383600000000015</v>
      </c>
      <c r="N335" s="3">
        <f t="shared" si="52"/>
        <v>4.8928200000000004</v>
      </c>
      <c r="O335" s="3">
        <f t="shared" si="53"/>
        <v>5.5482000000000014</v>
      </c>
      <c r="P335" s="3">
        <f t="shared" si="54"/>
        <v>1.7570200000000007</v>
      </c>
      <c r="Q335" s="3">
        <f t="shared" si="55"/>
        <v>2.8114799999999995</v>
      </c>
      <c r="R335" s="3">
        <f t="shared" si="56"/>
        <v>3.4668600000000005</v>
      </c>
      <c r="S335" s="3">
        <f t="shared" si="57"/>
        <v>1.0544599999999988</v>
      </c>
      <c r="T335" s="3">
        <f t="shared" si="58"/>
        <v>1.7098399999999998</v>
      </c>
      <c r="U335" s="3">
        <f t="shared" si="59"/>
        <v>0.65538000000000096</v>
      </c>
    </row>
    <row r="336" spans="1:21" x14ac:dyDescent="0.25">
      <c r="A336" s="3">
        <v>1.2376624731539999E+18</v>
      </c>
      <c r="B336" s="3">
        <v>235.90816000000001</v>
      </c>
      <c r="C336" s="3">
        <v>36.137295000000002</v>
      </c>
      <c r="D336" s="3">
        <v>0.53643940000000001</v>
      </c>
      <c r="E336" s="3">
        <v>1.4802041013924563</v>
      </c>
      <c r="F336" s="3">
        <v>160931.82</v>
      </c>
      <c r="G336" s="3">
        <v>23.728120000000001</v>
      </c>
      <c r="H336" s="3">
        <v>22.46406</v>
      </c>
      <c r="I336" s="3">
        <v>20.715009999999999</v>
      </c>
      <c r="J336" s="3">
        <v>19.860900000000001</v>
      </c>
      <c r="K336" s="3">
        <v>19.449919999999999</v>
      </c>
      <c r="L336" s="3">
        <f t="shared" si="50"/>
        <v>1.2640600000000006</v>
      </c>
      <c r="M336" s="3">
        <f t="shared" si="51"/>
        <v>3.0131100000000011</v>
      </c>
      <c r="N336" s="3">
        <f t="shared" si="52"/>
        <v>3.8672199999999997</v>
      </c>
      <c r="O336" s="3">
        <f t="shared" si="53"/>
        <v>4.2782000000000018</v>
      </c>
      <c r="P336" s="3">
        <f t="shared" si="54"/>
        <v>1.7490500000000004</v>
      </c>
      <c r="Q336" s="3">
        <f t="shared" si="55"/>
        <v>2.603159999999999</v>
      </c>
      <c r="R336" s="3">
        <f t="shared" si="56"/>
        <v>3.0141400000000012</v>
      </c>
      <c r="S336" s="3">
        <f t="shared" si="57"/>
        <v>0.85410999999999859</v>
      </c>
      <c r="T336" s="3">
        <f t="shared" si="58"/>
        <v>1.2650900000000007</v>
      </c>
      <c r="U336" s="3">
        <f t="shared" si="59"/>
        <v>0.41098000000000212</v>
      </c>
    </row>
    <row r="337" spans="1:21" x14ac:dyDescent="0.25">
      <c r="A337" s="3">
        <v>1.2376624736911301E+18</v>
      </c>
      <c r="B337" s="3">
        <v>236.72568999999999</v>
      </c>
      <c r="C337" s="3">
        <v>36.086035000000003</v>
      </c>
      <c r="D337" s="3">
        <v>0.53951959999999999</v>
      </c>
      <c r="E337" s="3">
        <v>2.0955771896863014</v>
      </c>
      <c r="F337" s="3">
        <v>161855.88</v>
      </c>
      <c r="G337" s="3">
        <v>25.54843</v>
      </c>
      <c r="H337" s="3">
        <v>22.929220000000001</v>
      </c>
      <c r="I337" s="3">
        <v>21.103339999999999</v>
      </c>
      <c r="J337" s="3">
        <v>19.920819999999999</v>
      </c>
      <c r="K337" s="3">
        <v>19.515979999999999</v>
      </c>
      <c r="L337" s="3">
        <f t="shared" si="50"/>
        <v>2.6192099999999989</v>
      </c>
      <c r="M337" s="3">
        <f t="shared" si="51"/>
        <v>4.4450900000000004</v>
      </c>
      <c r="N337" s="3">
        <f t="shared" si="52"/>
        <v>5.6276100000000007</v>
      </c>
      <c r="O337" s="3">
        <f t="shared" si="53"/>
        <v>6.0324500000000008</v>
      </c>
      <c r="P337" s="3">
        <f t="shared" si="54"/>
        <v>1.8258800000000015</v>
      </c>
      <c r="Q337" s="3">
        <f t="shared" si="55"/>
        <v>3.0084000000000017</v>
      </c>
      <c r="R337" s="3">
        <f t="shared" si="56"/>
        <v>3.4132400000000018</v>
      </c>
      <c r="S337" s="3">
        <f t="shared" si="57"/>
        <v>1.1825200000000002</v>
      </c>
      <c r="T337" s="3">
        <f t="shared" si="58"/>
        <v>1.5873600000000003</v>
      </c>
      <c r="U337" s="3">
        <f t="shared" si="59"/>
        <v>0.40484000000000009</v>
      </c>
    </row>
    <row r="338" spans="1:21" x14ac:dyDescent="0.25">
      <c r="A338" s="3">
        <v>1.2376614659863301E+18</v>
      </c>
      <c r="B338" s="3">
        <v>236.49252999999999</v>
      </c>
      <c r="C338" s="3">
        <v>35.737130000000001</v>
      </c>
      <c r="D338" s="3">
        <v>0.54048229999999997</v>
      </c>
      <c r="E338" s="3">
        <v>2.2799541324909778</v>
      </c>
      <c r="F338" s="3">
        <v>162144.69</v>
      </c>
      <c r="G338" s="3">
        <v>24.602830000000001</v>
      </c>
      <c r="H338" s="3">
        <v>22.943339999999999</v>
      </c>
      <c r="I338" s="3">
        <v>21.453399999999998</v>
      </c>
      <c r="J338" s="3">
        <v>20.380369999999999</v>
      </c>
      <c r="K338" s="3">
        <v>19.718330000000002</v>
      </c>
      <c r="L338" s="3">
        <f t="shared" si="50"/>
        <v>1.6594900000000017</v>
      </c>
      <c r="M338" s="3">
        <f t="shared" si="51"/>
        <v>3.1494300000000024</v>
      </c>
      <c r="N338" s="3">
        <f t="shared" si="52"/>
        <v>4.2224600000000017</v>
      </c>
      <c r="O338" s="3">
        <f t="shared" si="53"/>
        <v>4.8844999999999992</v>
      </c>
      <c r="P338" s="3">
        <f t="shared" si="54"/>
        <v>1.4899400000000007</v>
      </c>
      <c r="Q338" s="3">
        <f t="shared" si="55"/>
        <v>2.56297</v>
      </c>
      <c r="R338" s="3">
        <f t="shared" si="56"/>
        <v>3.2250099999999975</v>
      </c>
      <c r="S338" s="3">
        <f t="shared" si="57"/>
        <v>1.0730299999999993</v>
      </c>
      <c r="T338" s="3">
        <f t="shared" si="58"/>
        <v>1.7350699999999968</v>
      </c>
      <c r="U338" s="3">
        <f t="shared" si="59"/>
        <v>0.66203999999999752</v>
      </c>
    </row>
    <row r="339" spans="1:21" x14ac:dyDescent="0.25">
      <c r="A339" s="3">
        <v>1.2376623378636401E+18</v>
      </c>
      <c r="B339" s="3">
        <v>235.91525999999999</v>
      </c>
      <c r="C339" s="3">
        <v>35.668117000000002</v>
      </c>
      <c r="D339" s="3">
        <v>0.54120729999999995</v>
      </c>
      <c r="E339" s="3">
        <v>2.7862977014942296</v>
      </c>
      <c r="F339" s="3">
        <v>162362.18999999997</v>
      </c>
      <c r="G339" s="3">
        <v>22.877420000000001</v>
      </c>
      <c r="H339" s="3">
        <v>21.74492</v>
      </c>
      <c r="I339" s="3">
        <v>20.02805</v>
      </c>
      <c r="J339" s="3">
        <v>19.027670000000001</v>
      </c>
      <c r="K339" s="3">
        <v>18.475989999999999</v>
      </c>
      <c r="L339" s="3">
        <f t="shared" si="50"/>
        <v>1.1325000000000003</v>
      </c>
      <c r="M339" s="3">
        <f t="shared" si="51"/>
        <v>2.8493700000000004</v>
      </c>
      <c r="N339" s="3">
        <f t="shared" si="52"/>
        <v>3.8497500000000002</v>
      </c>
      <c r="O339" s="3">
        <f t="shared" si="53"/>
        <v>4.4014300000000013</v>
      </c>
      <c r="P339" s="3">
        <f t="shared" si="54"/>
        <v>1.7168700000000001</v>
      </c>
      <c r="Q339" s="3">
        <f t="shared" si="55"/>
        <v>2.7172499999999999</v>
      </c>
      <c r="R339" s="3">
        <f t="shared" si="56"/>
        <v>3.268930000000001</v>
      </c>
      <c r="S339" s="3">
        <f t="shared" si="57"/>
        <v>1.0003799999999998</v>
      </c>
      <c r="T339" s="3">
        <f t="shared" si="58"/>
        <v>1.5520600000000009</v>
      </c>
      <c r="U339" s="3">
        <f t="shared" si="59"/>
        <v>0.55168000000000106</v>
      </c>
    </row>
    <row r="340" spans="1:21" x14ac:dyDescent="0.25">
      <c r="A340" s="3">
        <v>1.2376623378636401E+18</v>
      </c>
      <c r="B340" s="3">
        <v>235.91525999999999</v>
      </c>
      <c r="C340" s="3">
        <v>35.668117000000002</v>
      </c>
      <c r="D340" s="3">
        <v>0.54141649999999997</v>
      </c>
      <c r="E340" s="3">
        <v>2.7862977014942296</v>
      </c>
      <c r="F340" s="3">
        <v>162424.94999999998</v>
      </c>
      <c r="G340" s="3">
        <v>22.877420000000001</v>
      </c>
      <c r="H340" s="3">
        <v>21.74492</v>
      </c>
      <c r="I340" s="3">
        <v>20.02805</v>
      </c>
      <c r="J340" s="3">
        <v>19.027670000000001</v>
      </c>
      <c r="K340" s="3">
        <v>18.475989999999999</v>
      </c>
      <c r="L340" s="3">
        <f t="shared" si="50"/>
        <v>1.1325000000000003</v>
      </c>
      <c r="M340" s="3">
        <f t="shared" si="51"/>
        <v>2.8493700000000004</v>
      </c>
      <c r="N340" s="3">
        <f t="shared" si="52"/>
        <v>3.8497500000000002</v>
      </c>
      <c r="O340" s="3">
        <f t="shared" si="53"/>
        <v>4.4014300000000013</v>
      </c>
      <c r="P340" s="3">
        <f t="shared" si="54"/>
        <v>1.7168700000000001</v>
      </c>
      <c r="Q340" s="3">
        <f t="shared" si="55"/>
        <v>2.7172499999999999</v>
      </c>
      <c r="R340" s="3">
        <f t="shared" si="56"/>
        <v>3.268930000000001</v>
      </c>
      <c r="S340" s="3">
        <f t="shared" si="57"/>
        <v>1.0003799999999998</v>
      </c>
      <c r="T340" s="3">
        <f t="shared" si="58"/>
        <v>1.5520600000000009</v>
      </c>
      <c r="U340" s="3">
        <f t="shared" si="59"/>
        <v>0.55168000000000106</v>
      </c>
    </row>
    <row r="341" spans="1:21" x14ac:dyDescent="0.25">
      <c r="A341" s="3">
        <v>1.2376614659862001E+18</v>
      </c>
      <c r="B341" s="3">
        <v>236.13220999999999</v>
      </c>
      <c r="C341" s="3">
        <v>35.763306999999998</v>
      </c>
      <c r="D341" s="3">
        <v>0.54212579999999999</v>
      </c>
      <c r="E341" s="3">
        <v>1.9330355744472338</v>
      </c>
      <c r="F341" s="3">
        <v>162637.74</v>
      </c>
      <c r="G341" s="3">
        <v>23.902840000000001</v>
      </c>
      <c r="H341" s="3">
        <v>21.294119999999999</v>
      </c>
      <c r="I341" s="3">
        <v>19.597519999999999</v>
      </c>
      <c r="J341" s="3">
        <v>18.67878</v>
      </c>
      <c r="K341" s="3">
        <v>18.100090000000002</v>
      </c>
      <c r="L341" s="3">
        <f t="shared" si="50"/>
        <v>2.6087200000000017</v>
      </c>
      <c r="M341" s="3">
        <f t="shared" si="51"/>
        <v>4.3053200000000018</v>
      </c>
      <c r="N341" s="3">
        <f t="shared" si="52"/>
        <v>5.2240600000000015</v>
      </c>
      <c r="O341" s="3">
        <f t="shared" si="53"/>
        <v>5.8027499999999996</v>
      </c>
      <c r="P341" s="3">
        <f t="shared" si="54"/>
        <v>1.6966000000000001</v>
      </c>
      <c r="Q341" s="3">
        <f t="shared" si="55"/>
        <v>2.6153399999999998</v>
      </c>
      <c r="R341" s="3">
        <f t="shared" si="56"/>
        <v>3.1940299999999979</v>
      </c>
      <c r="S341" s="3">
        <f t="shared" si="57"/>
        <v>0.91873999999999967</v>
      </c>
      <c r="T341" s="3">
        <f t="shared" si="58"/>
        <v>1.4974299999999978</v>
      </c>
      <c r="U341" s="3">
        <f t="shared" si="59"/>
        <v>0.57868999999999815</v>
      </c>
    </row>
    <row r="342" spans="1:21" x14ac:dyDescent="0.25">
      <c r="A342" s="3">
        <v>1.2376614659862001E+18</v>
      </c>
      <c r="B342" s="3">
        <v>236.06861000000001</v>
      </c>
      <c r="C342" s="3">
        <v>35.751274000000002</v>
      </c>
      <c r="D342" s="3">
        <v>0.54225440000000003</v>
      </c>
      <c r="E342" s="3">
        <v>2.0825623744894446</v>
      </c>
      <c r="F342" s="3">
        <v>162676.32</v>
      </c>
      <c r="G342" s="3">
        <v>26.28463</v>
      </c>
      <c r="H342" s="3">
        <v>22.098420000000001</v>
      </c>
      <c r="I342" s="3">
        <v>20.49652</v>
      </c>
      <c r="J342" s="3">
        <v>19.458780000000001</v>
      </c>
      <c r="K342" s="3">
        <v>18.964939999999999</v>
      </c>
      <c r="L342" s="3">
        <f t="shared" si="50"/>
        <v>4.1862099999999991</v>
      </c>
      <c r="M342" s="3">
        <f t="shared" si="51"/>
        <v>5.7881099999999996</v>
      </c>
      <c r="N342" s="3">
        <f t="shared" si="52"/>
        <v>6.8258499999999991</v>
      </c>
      <c r="O342" s="3">
        <f t="shared" si="53"/>
        <v>7.3196900000000014</v>
      </c>
      <c r="P342" s="3">
        <f t="shared" si="54"/>
        <v>1.6019000000000005</v>
      </c>
      <c r="Q342" s="3">
        <f t="shared" si="55"/>
        <v>2.63964</v>
      </c>
      <c r="R342" s="3">
        <f t="shared" si="56"/>
        <v>3.1334800000000023</v>
      </c>
      <c r="S342" s="3">
        <f t="shared" si="57"/>
        <v>1.0377399999999994</v>
      </c>
      <c r="T342" s="3">
        <f t="shared" si="58"/>
        <v>1.5315800000000017</v>
      </c>
      <c r="U342" s="3">
        <f t="shared" si="59"/>
        <v>0.49384000000000228</v>
      </c>
    </row>
    <row r="343" spans="1:21" x14ac:dyDescent="0.25">
      <c r="A343" s="3">
        <v>1.2376614659862001E+18</v>
      </c>
      <c r="B343" s="3">
        <v>236.06861000000001</v>
      </c>
      <c r="C343" s="3">
        <v>35.751274000000002</v>
      </c>
      <c r="D343" s="3">
        <v>0.54251059999999995</v>
      </c>
      <c r="E343" s="3">
        <v>2.0825623744894446</v>
      </c>
      <c r="F343" s="3">
        <v>162753.18</v>
      </c>
      <c r="G343" s="3">
        <v>26.28463</v>
      </c>
      <c r="H343" s="3">
        <v>22.098420000000001</v>
      </c>
      <c r="I343" s="3">
        <v>20.49652</v>
      </c>
      <c r="J343" s="3">
        <v>19.458780000000001</v>
      </c>
      <c r="K343" s="3">
        <v>18.964939999999999</v>
      </c>
      <c r="L343" s="3">
        <f t="shared" si="50"/>
        <v>4.1862099999999991</v>
      </c>
      <c r="M343" s="3">
        <f t="shared" si="51"/>
        <v>5.7881099999999996</v>
      </c>
      <c r="N343" s="3">
        <f t="shared" si="52"/>
        <v>6.8258499999999991</v>
      </c>
      <c r="O343" s="3">
        <f t="shared" si="53"/>
        <v>7.3196900000000014</v>
      </c>
      <c r="P343" s="3">
        <f t="shared" si="54"/>
        <v>1.6019000000000005</v>
      </c>
      <c r="Q343" s="3">
        <f t="shared" si="55"/>
        <v>2.63964</v>
      </c>
      <c r="R343" s="3">
        <f t="shared" si="56"/>
        <v>3.1334800000000023</v>
      </c>
      <c r="S343" s="3">
        <f t="shared" si="57"/>
        <v>1.0377399999999994</v>
      </c>
      <c r="T343" s="3">
        <f t="shared" si="58"/>
        <v>1.5315800000000017</v>
      </c>
      <c r="U343" s="3">
        <f t="shared" si="59"/>
        <v>0.49384000000000228</v>
      </c>
    </row>
    <row r="344" spans="1:21" x14ac:dyDescent="0.25">
      <c r="A344" s="3">
        <v>1.2376614659863301E+18</v>
      </c>
      <c r="B344" s="3">
        <v>236.36223000000001</v>
      </c>
      <c r="C344" s="3">
        <v>35.749028000000003</v>
      </c>
      <c r="D344" s="3">
        <v>0.54267540000000003</v>
      </c>
      <c r="E344" s="3">
        <v>2.0103230440982154</v>
      </c>
      <c r="F344" s="3">
        <v>162802.62</v>
      </c>
      <c r="G344" s="3">
        <v>22.86346</v>
      </c>
      <c r="H344" s="3">
        <v>21.704730000000001</v>
      </c>
      <c r="I344" s="3">
        <v>20.463819999999998</v>
      </c>
      <c r="J344" s="3">
        <v>19.432259999999999</v>
      </c>
      <c r="K344" s="3">
        <v>18.88382</v>
      </c>
      <c r="L344" s="3">
        <f t="shared" si="50"/>
        <v>1.1587299999999985</v>
      </c>
      <c r="M344" s="3">
        <f t="shared" si="51"/>
        <v>2.3996400000000015</v>
      </c>
      <c r="N344" s="3">
        <f t="shared" si="52"/>
        <v>3.4312000000000005</v>
      </c>
      <c r="O344" s="3">
        <f t="shared" si="53"/>
        <v>3.9796399999999998</v>
      </c>
      <c r="P344" s="3">
        <f t="shared" si="54"/>
        <v>1.2409100000000031</v>
      </c>
      <c r="Q344" s="3">
        <f t="shared" si="55"/>
        <v>2.272470000000002</v>
      </c>
      <c r="R344" s="3">
        <f t="shared" si="56"/>
        <v>2.8209100000000014</v>
      </c>
      <c r="S344" s="3">
        <f t="shared" si="57"/>
        <v>1.0315599999999989</v>
      </c>
      <c r="T344" s="3">
        <f t="shared" si="58"/>
        <v>1.5799999999999983</v>
      </c>
      <c r="U344" s="3">
        <f t="shared" si="59"/>
        <v>0.54843999999999937</v>
      </c>
    </row>
    <row r="345" spans="1:21" x14ac:dyDescent="0.25">
      <c r="A345" s="3">
        <v>1.2376623378635799E+18</v>
      </c>
      <c r="B345" s="3">
        <v>235.88549</v>
      </c>
      <c r="C345" s="3">
        <v>35.751984999999998</v>
      </c>
      <c r="D345" s="3">
        <v>0.54372220000000004</v>
      </c>
      <c r="E345" s="3">
        <v>2.4905773558067761</v>
      </c>
      <c r="F345" s="3">
        <v>163116.66</v>
      </c>
      <c r="G345" s="3">
        <v>26.02834</v>
      </c>
      <c r="H345" s="3">
        <v>22.36581</v>
      </c>
      <c r="I345" s="3">
        <v>20.70072</v>
      </c>
      <c r="J345" s="3">
        <v>19.641100000000002</v>
      </c>
      <c r="K345" s="3">
        <v>19.28876</v>
      </c>
      <c r="L345" s="3">
        <f t="shared" si="50"/>
        <v>3.6625300000000003</v>
      </c>
      <c r="M345" s="3">
        <f t="shared" si="51"/>
        <v>5.3276199999999996</v>
      </c>
      <c r="N345" s="3">
        <f t="shared" si="52"/>
        <v>6.3872399999999985</v>
      </c>
      <c r="O345" s="3">
        <f t="shared" si="53"/>
        <v>6.7395800000000001</v>
      </c>
      <c r="P345" s="3">
        <f t="shared" si="54"/>
        <v>1.6650899999999993</v>
      </c>
      <c r="Q345" s="3">
        <f t="shared" si="55"/>
        <v>2.7247099999999982</v>
      </c>
      <c r="R345" s="3">
        <f t="shared" si="56"/>
        <v>3.0770499999999998</v>
      </c>
      <c r="S345" s="3">
        <f t="shared" si="57"/>
        <v>1.0596199999999989</v>
      </c>
      <c r="T345" s="3">
        <f t="shared" si="58"/>
        <v>1.4119600000000005</v>
      </c>
      <c r="U345" s="3">
        <f t="shared" si="59"/>
        <v>0.35234000000000165</v>
      </c>
    </row>
    <row r="346" spans="1:21" x14ac:dyDescent="0.25">
      <c r="A346" s="3">
        <v>1.23766146544926E+18</v>
      </c>
      <c r="B346" s="3">
        <v>235.65893</v>
      </c>
      <c r="C346" s="3">
        <v>35.619235000000003</v>
      </c>
      <c r="D346" s="3">
        <v>0.54387209999999997</v>
      </c>
      <c r="E346" s="3">
        <v>3.6866041780063914</v>
      </c>
      <c r="F346" s="3">
        <v>163161.63</v>
      </c>
      <c r="G346" s="3">
        <v>22.80462</v>
      </c>
      <c r="H346" s="3">
        <v>21.79571</v>
      </c>
      <c r="I346" s="3">
        <v>20.316690000000001</v>
      </c>
      <c r="J346" s="3">
        <v>19.502500000000001</v>
      </c>
      <c r="K346" s="3">
        <v>18.922319999999999</v>
      </c>
      <c r="L346" s="3">
        <f t="shared" si="50"/>
        <v>1.0089100000000002</v>
      </c>
      <c r="M346" s="3">
        <f t="shared" si="51"/>
        <v>2.4879299999999986</v>
      </c>
      <c r="N346" s="3">
        <f t="shared" si="52"/>
        <v>3.3021199999999986</v>
      </c>
      <c r="O346" s="3">
        <f t="shared" si="53"/>
        <v>3.8823000000000008</v>
      </c>
      <c r="P346" s="3">
        <f t="shared" si="54"/>
        <v>1.4790199999999984</v>
      </c>
      <c r="Q346" s="3">
        <f t="shared" si="55"/>
        <v>2.2932099999999984</v>
      </c>
      <c r="R346" s="3">
        <f t="shared" si="56"/>
        <v>2.8733900000000006</v>
      </c>
      <c r="S346" s="3">
        <f t="shared" si="57"/>
        <v>0.81418999999999997</v>
      </c>
      <c r="T346" s="3">
        <f t="shared" si="58"/>
        <v>1.3943700000000021</v>
      </c>
      <c r="U346" s="3">
        <f t="shared" si="59"/>
        <v>0.58018000000000214</v>
      </c>
    </row>
    <row r="347" spans="1:21" x14ac:dyDescent="0.25">
      <c r="A347" s="3">
        <v>1.2376614659862001E+18</v>
      </c>
      <c r="B347" s="3">
        <v>236.18845999999999</v>
      </c>
      <c r="C347" s="3">
        <v>35.844822000000001</v>
      </c>
      <c r="D347" s="3">
        <v>0.54441819999999996</v>
      </c>
      <c r="E347" s="3">
        <v>1.4500414920889575</v>
      </c>
      <c r="F347" s="3">
        <v>163325.46</v>
      </c>
      <c r="G347" s="3">
        <v>25.317260000000001</v>
      </c>
      <c r="H347" s="3">
        <v>21.719000000000001</v>
      </c>
      <c r="I347" s="3">
        <v>20.229479999999999</v>
      </c>
      <c r="J347" s="3">
        <v>19.18149</v>
      </c>
      <c r="K347" s="3">
        <v>18.624269999999999</v>
      </c>
      <c r="L347" s="3">
        <f t="shared" si="50"/>
        <v>3.5982599999999998</v>
      </c>
      <c r="M347" s="3">
        <f t="shared" si="51"/>
        <v>5.0877800000000022</v>
      </c>
      <c r="N347" s="3">
        <f t="shared" si="52"/>
        <v>6.1357700000000008</v>
      </c>
      <c r="O347" s="3">
        <f t="shared" si="53"/>
        <v>6.6929900000000018</v>
      </c>
      <c r="P347" s="3">
        <f t="shared" si="54"/>
        <v>1.4895200000000024</v>
      </c>
      <c r="Q347" s="3">
        <f t="shared" si="55"/>
        <v>2.537510000000001</v>
      </c>
      <c r="R347" s="3">
        <f t="shared" si="56"/>
        <v>3.094730000000002</v>
      </c>
      <c r="S347" s="3">
        <f t="shared" si="57"/>
        <v>1.0479899999999986</v>
      </c>
      <c r="T347" s="3">
        <f t="shared" si="58"/>
        <v>1.6052099999999996</v>
      </c>
      <c r="U347" s="3">
        <f t="shared" si="59"/>
        <v>0.55722000000000094</v>
      </c>
    </row>
    <row r="348" spans="1:21" x14ac:dyDescent="0.25">
      <c r="A348" s="3">
        <v>1.2376624736909299E+18</v>
      </c>
      <c r="B348" s="3">
        <v>236.41211999999999</v>
      </c>
      <c r="C348" s="3">
        <v>36.278419999999997</v>
      </c>
      <c r="D348" s="3">
        <v>0.54758949999999995</v>
      </c>
      <c r="E348" s="3">
        <v>1.1639969845533369</v>
      </c>
      <c r="F348" s="3">
        <v>164276.84999999998</v>
      </c>
      <c r="G348" s="3">
        <v>24.264050000000001</v>
      </c>
      <c r="H348" s="3">
        <v>21.91253</v>
      </c>
      <c r="I348" s="3">
        <v>20.25404</v>
      </c>
      <c r="J348" s="3">
        <v>19.363659999999999</v>
      </c>
      <c r="K348" s="3">
        <v>18.920459999999999</v>
      </c>
      <c r="L348" s="3">
        <f t="shared" si="50"/>
        <v>2.3515200000000007</v>
      </c>
      <c r="M348" s="3">
        <f t="shared" si="51"/>
        <v>4.0100100000000012</v>
      </c>
      <c r="N348" s="3">
        <f t="shared" si="52"/>
        <v>4.9003900000000016</v>
      </c>
      <c r="O348" s="3">
        <f t="shared" si="53"/>
        <v>5.3435900000000025</v>
      </c>
      <c r="P348" s="3">
        <f t="shared" si="54"/>
        <v>1.6584900000000005</v>
      </c>
      <c r="Q348" s="3">
        <f t="shared" si="55"/>
        <v>2.5488700000000009</v>
      </c>
      <c r="R348" s="3">
        <f t="shared" si="56"/>
        <v>2.9920700000000018</v>
      </c>
      <c r="S348" s="3">
        <f t="shared" si="57"/>
        <v>0.89038000000000039</v>
      </c>
      <c r="T348" s="3">
        <f t="shared" si="58"/>
        <v>1.3335800000000013</v>
      </c>
      <c r="U348" s="3">
        <f t="shared" si="59"/>
        <v>0.44320000000000093</v>
      </c>
    </row>
    <row r="349" spans="1:21" x14ac:dyDescent="0.25">
      <c r="A349" s="3">
        <v>1.23766247422787E+18</v>
      </c>
      <c r="B349" s="3">
        <v>236.64350999999999</v>
      </c>
      <c r="C349" s="3">
        <v>36.486133000000002</v>
      </c>
      <c r="D349" s="3">
        <v>0.54784379999999999</v>
      </c>
      <c r="E349" s="3">
        <v>2.6686181106961619</v>
      </c>
      <c r="F349" s="3">
        <v>164353.13999999998</v>
      </c>
      <c r="G349" s="3">
        <v>23.227920000000001</v>
      </c>
      <c r="H349" s="3">
        <v>21.422820000000002</v>
      </c>
      <c r="I349" s="3">
        <v>19.564589999999999</v>
      </c>
      <c r="J349" s="3">
        <v>18.636579999999999</v>
      </c>
      <c r="K349" s="3">
        <v>18.133130000000001</v>
      </c>
      <c r="L349" s="3">
        <f t="shared" si="50"/>
        <v>1.8050999999999995</v>
      </c>
      <c r="M349" s="3">
        <f t="shared" si="51"/>
        <v>3.663330000000002</v>
      </c>
      <c r="N349" s="3">
        <f t="shared" si="52"/>
        <v>4.5913400000000024</v>
      </c>
      <c r="O349" s="3">
        <f t="shared" si="53"/>
        <v>5.0947899999999997</v>
      </c>
      <c r="P349" s="3">
        <f t="shared" si="54"/>
        <v>1.8582300000000025</v>
      </c>
      <c r="Q349" s="3">
        <f t="shared" si="55"/>
        <v>2.7862400000000029</v>
      </c>
      <c r="R349" s="3">
        <f t="shared" si="56"/>
        <v>3.2896900000000002</v>
      </c>
      <c r="S349" s="3">
        <f t="shared" si="57"/>
        <v>0.92801000000000045</v>
      </c>
      <c r="T349" s="3">
        <f t="shared" si="58"/>
        <v>1.4314599999999977</v>
      </c>
      <c r="U349" s="3">
        <f t="shared" si="59"/>
        <v>0.50344999999999729</v>
      </c>
    </row>
    <row r="350" spans="1:21" x14ac:dyDescent="0.25">
      <c r="A350" s="3">
        <v>1.23766250375571E+18</v>
      </c>
      <c r="B350" s="3">
        <v>236.39384000000001</v>
      </c>
      <c r="C350" s="3">
        <v>36.380113000000001</v>
      </c>
      <c r="D350" s="3">
        <v>0.54818100000000003</v>
      </c>
      <c r="E350" s="3">
        <v>1.5960636182952244</v>
      </c>
      <c r="F350" s="3">
        <v>164454.30000000002</v>
      </c>
      <c r="G350" s="3">
        <v>22.276430000000001</v>
      </c>
      <c r="H350" s="3">
        <v>22.045120000000001</v>
      </c>
      <c r="I350" s="3">
        <v>20.605560000000001</v>
      </c>
      <c r="J350" s="3">
        <v>19.792470000000002</v>
      </c>
      <c r="K350" s="3">
        <v>19.3583</v>
      </c>
      <c r="L350" s="3">
        <f t="shared" si="50"/>
        <v>0.23131000000000057</v>
      </c>
      <c r="M350" s="3">
        <f t="shared" si="51"/>
        <v>1.6708700000000007</v>
      </c>
      <c r="N350" s="3">
        <f t="shared" si="52"/>
        <v>2.4839599999999997</v>
      </c>
      <c r="O350" s="3">
        <f t="shared" si="53"/>
        <v>2.9181300000000014</v>
      </c>
      <c r="P350" s="3">
        <f t="shared" si="54"/>
        <v>1.4395600000000002</v>
      </c>
      <c r="Q350" s="3">
        <f t="shared" si="55"/>
        <v>2.2526499999999992</v>
      </c>
      <c r="R350" s="3">
        <f t="shared" si="56"/>
        <v>2.6868200000000009</v>
      </c>
      <c r="S350" s="3">
        <f t="shared" si="57"/>
        <v>0.81308999999999898</v>
      </c>
      <c r="T350" s="3">
        <f t="shared" si="58"/>
        <v>1.2472600000000007</v>
      </c>
      <c r="U350" s="3">
        <f t="shared" si="59"/>
        <v>0.43417000000000172</v>
      </c>
    </row>
    <row r="351" spans="1:21" x14ac:dyDescent="0.25">
      <c r="A351" s="3">
        <v>1.23766250375571E+18</v>
      </c>
      <c r="B351" s="3">
        <v>236.39384000000001</v>
      </c>
      <c r="C351" s="3">
        <v>36.380113000000001</v>
      </c>
      <c r="D351" s="3">
        <v>0.54828149999999998</v>
      </c>
      <c r="E351" s="3">
        <v>1.5960636182952244</v>
      </c>
      <c r="F351" s="3">
        <v>164484.44999999998</v>
      </c>
      <c r="G351" s="3">
        <v>22.276430000000001</v>
      </c>
      <c r="H351" s="3">
        <v>22.045120000000001</v>
      </c>
      <c r="I351" s="3">
        <v>20.605560000000001</v>
      </c>
      <c r="J351" s="3">
        <v>19.792470000000002</v>
      </c>
      <c r="K351" s="3">
        <v>19.3583</v>
      </c>
      <c r="L351" s="3">
        <f t="shared" si="50"/>
        <v>0.23131000000000057</v>
      </c>
      <c r="M351" s="3">
        <f t="shared" si="51"/>
        <v>1.6708700000000007</v>
      </c>
      <c r="N351" s="3">
        <f t="shared" si="52"/>
        <v>2.4839599999999997</v>
      </c>
      <c r="O351" s="3">
        <f t="shared" si="53"/>
        <v>2.9181300000000014</v>
      </c>
      <c r="P351" s="3">
        <f t="shared" si="54"/>
        <v>1.4395600000000002</v>
      </c>
      <c r="Q351" s="3">
        <f t="shared" si="55"/>
        <v>2.2526499999999992</v>
      </c>
      <c r="R351" s="3">
        <f t="shared" si="56"/>
        <v>2.6868200000000009</v>
      </c>
      <c r="S351" s="3">
        <f t="shared" si="57"/>
        <v>0.81308999999999898</v>
      </c>
      <c r="T351" s="3">
        <f t="shared" si="58"/>
        <v>1.2472600000000007</v>
      </c>
      <c r="U351" s="3">
        <f t="shared" si="59"/>
        <v>0.43417000000000172</v>
      </c>
    </row>
    <row r="352" spans="1:21" x14ac:dyDescent="0.25">
      <c r="A352" s="3">
        <v>1.2376624731543301E+18</v>
      </c>
      <c r="B352" s="3">
        <v>236.68618000000001</v>
      </c>
      <c r="C352" s="3">
        <v>35.672313000000003</v>
      </c>
      <c r="D352" s="3">
        <v>0.54847179999999995</v>
      </c>
      <c r="E352" s="3">
        <v>3.0445537028296279</v>
      </c>
      <c r="F352" s="3">
        <v>164541.53999999998</v>
      </c>
      <c r="G352" s="3">
        <v>26.205719999999999</v>
      </c>
      <c r="H352" s="3">
        <v>21.54522</v>
      </c>
      <c r="I352" s="3">
        <v>19.981819999999999</v>
      </c>
      <c r="J352" s="3">
        <v>18.939710000000002</v>
      </c>
      <c r="K352" s="3">
        <v>18.548919999999999</v>
      </c>
      <c r="L352" s="3">
        <f t="shared" si="50"/>
        <v>4.660499999999999</v>
      </c>
      <c r="M352" s="3">
        <f t="shared" si="51"/>
        <v>6.2239000000000004</v>
      </c>
      <c r="N352" s="3">
        <f t="shared" si="52"/>
        <v>7.2660099999999979</v>
      </c>
      <c r="O352" s="3">
        <f t="shared" si="53"/>
        <v>7.6568000000000005</v>
      </c>
      <c r="P352" s="3">
        <f t="shared" si="54"/>
        <v>1.5634000000000015</v>
      </c>
      <c r="Q352" s="3">
        <f t="shared" si="55"/>
        <v>2.6055099999999989</v>
      </c>
      <c r="R352" s="3">
        <f t="shared" si="56"/>
        <v>2.9963000000000015</v>
      </c>
      <c r="S352" s="3">
        <f t="shared" si="57"/>
        <v>1.0421099999999974</v>
      </c>
      <c r="T352" s="3">
        <f t="shared" si="58"/>
        <v>1.4329000000000001</v>
      </c>
      <c r="U352" s="3">
        <f t="shared" si="59"/>
        <v>0.39079000000000264</v>
      </c>
    </row>
    <row r="353" spans="1:21" x14ac:dyDescent="0.25">
      <c r="A353" s="3">
        <v>1.2376624742279401E+18</v>
      </c>
      <c r="B353" s="3">
        <v>236.82606999999999</v>
      </c>
      <c r="C353" s="3">
        <v>36.413358000000002</v>
      </c>
      <c r="D353" s="3">
        <v>0.54851039999999995</v>
      </c>
      <c r="E353" s="3">
        <v>3.0102088361431454</v>
      </c>
      <c r="F353" s="3">
        <v>164553.12</v>
      </c>
      <c r="G353" s="3">
        <v>24.940919999999998</v>
      </c>
      <c r="H353" s="3">
        <v>23.011289999999999</v>
      </c>
      <c r="I353" s="3">
        <v>21.631160000000001</v>
      </c>
      <c r="J353" s="3">
        <v>20.556719999999999</v>
      </c>
      <c r="K353" s="3">
        <v>19.872309999999999</v>
      </c>
      <c r="L353" s="3">
        <f t="shared" si="50"/>
        <v>1.9296299999999995</v>
      </c>
      <c r="M353" s="3">
        <f t="shared" si="51"/>
        <v>3.3097599999999971</v>
      </c>
      <c r="N353" s="3">
        <f t="shared" si="52"/>
        <v>4.3841999999999999</v>
      </c>
      <c r="O353" s="3">
        <f t="shared" si="53"/>
        <v>5.0686099999999996</v>
      </c>
      <c r="P353" s="3">
        <f t="shared" si="54"/>
        <v>1.3801299999999976</v>
      </c>
      <c r="Q353" s="3">
        <f t="shared" si="55"/>
        <v>2.4545700000000004</v>
      </c>
      <c r="R353" s="3">
        <f t="shared" si="56"/>
        <v>3.1389800000000001</v>
      </c>
      <c r="S353" s="3">
        <f t="shared" si="57"/>
        <v>1.0744400000000027</v>
      </c>
      <c r="T353" s="3">
        <f t="shared" si="58"/>
        <v>1.7588500000000025</v>
      </c>
      <c r="U353" s="3">
        <f t="shared" si="59"/>
        <v>0.68440999999999974</v>
      </c>
    </row>
    <row r="354" spans="1:21" x14ac:dyDescent="0.25">
      <c r="A354" s="3">
        <v>1.2376614659863301E+18</v>
      </c>
      <c r="B354" s="3">
        <v>236.37029000000001</v>
      </c>
      <c r="C354" s="3">
        <v>35.660674999999998</v>
      </c>
      <c r="D354" s="3">
        <v>0.55088800000000004</v>
      </c>
      <c r="E354" s="3">
        <v>2.4821382286388203</v>
      </c>
      <c r="F354" s="3">
        <v>165266.40000000002</v>
      </c>
      <c r="G354" s="3">
        <v>25.084309999999999</v>
      </c>
      <c r="H354" s="3">
        <v>22.376460000000002</v>
      </c>
      <c r="I354" s="3">
        <v>20.823</v>
      </c>
      <c r="J354" s="3">
        <v>19.754799999999999</v>
      </c>
      <c r="K354" s="3">
        <v>19.341889999999999</v>
      </c>
      <c r="L354" s="3">
        <f t="shared" si="50"/>
        <v>2.707849999999997</v>
      </c>
      <c r="M354" s="3">
        <f t="shared" si="51"/>
        <v>4.2613099999999982</v>
      </c>
      <c r="N354" s="3">
        <f t="shared" si="52"/>
        <v>5.3295099999999991</v>
      </c>
      <c r="O354" s="3">
        <f t="shared" si="53"/>
        <v>5.7424199999999992</v>
      </c>
      <c r="P354" s="3">
        <f t="shared" si="54"/>
        <v>1.5534600000000012</v>
      </c>
      <c r="Q354" s="3">
        <f t="shared" si="55"/>
        <v>2.6216600000000021</v>
      </c>
      <c r="R354" s="3">
        <f t="shared" si="56"/>
        <v>3.0345700000000022</v>
      </c>
      <c r="S354" s="3">
        <f t="shared" si="57"/>
        <v>1.0682000000000009</v>
      </c>
      <c r="T354" s="3">
        <f t="shared" si="58"/>
        <v>1.481110000000001</v>
      </c>
      <c r="U354" s="3">
        <f t="shared" si="59"/>
        <v>0.41291000000000011</v>
      </c>
    </row>
    <row r="355" spans="1:21" x14ac:dyDescent="0.25">
      <c r="A355" s="3">
        <v>1.2376614659863301E+18</v>
      </c>
      <c r="B355" s="3">
        <v>236.37747999999999</v>
      </c>
      <c r="C355" s="3">
        <v>35.666274000000001</v>
      </c>
      <c r="D355" s="3">
        <v>0.55253479999999999</v>
      </c>
      <c r="E355" s="3">
        <v>2.4598167214244047</v>
      </c>
      <c r="F355" s="3">
        <v>165760.44</v>
      </c>
      <c r="G355" s="3">
        <v>24.463740000000001</v>
      </c>
      <c r="H355" s="3">
        <v>22.11392</v>
      </c>
      <c r="I355" s="3">
        <v>20.575790000000001</v>
      </c>
      <c r="J355" s="3">
        <v>19.499289999999998</v>
      </c>
      <c r="K355" s="3">
        <v>19.261970000000002</v>
      </c>
      <c r="L355" s="3">
        <f t="shared" si="50"/>
        <v>2.3498200000000011</v>
      </c>
      <c r="M355" s="3">
        <f t="shared" si="51"/>
        <v>3.88795</v>
      </c>
      <c r="N355" s="3">
        <f t="shared" si="52"/>
        <v>4.9644500000000029</v>
      </c>
      <c r="O355" s="3">
        <f t="shared" si="53"/>
        <v>5.2017699999999998</v>
      </c>
      <c r="P355" s="3">
        <f t="shared" si="54"/>
        <v>1.5381299999999989</v>
      </c>
      <c r="Q355" s="3">
        <f t="shared" si="55"/>
        <v>2.6146300000000018</v>
      </c>
      <c r="R355" s="3">
        <f t="shared" si="56"/>
        <v>2.8519499999999987</v>
      </c>
      <c r="S355" s="3">
        <f t="shared" si="57"/>
        <v>1.0765000000000029</v>
      </c>
      <c r="T355" s="3">
        <f t="shared" si="58"/>
        <v>1.3138199999999998</v>
      </c>
      <c r="U355" s="3">
        <f t="shared" si="59"/>
        <v>0.23731999999999687</v>
      </c>
    </row>
    <row r="356" spans="1:21" x14ac:dyDescent="0.25">
      <c r="A356" s="3">
        <v>1.2376614659861299E+18</v>
      </c>
      <c r="B356" s="3">
        <v>235.92670000000001</v>
      </c>
      <c r="C356" s="3">
        <v>35.834781</v>
      </c>
      <c r="D356" s="3">
        <v>0.55517689999999997</v>
      </c>
      <c r="E356" s="3">
        <v>2.0351141957677976</v>
      </c>
      <c r="F356" s="3">
        <v>166553.06999999998</v>
      </c>
      <c r="G356" s="3">
        <v>22.956499999999998</v>
      </c>
      <c r="H356" s="3">
        <v>21.960170000000002</v>
      </c>
      <c r="I356" s="3">
        <v>20.421140000000001</v>
      </c>
      <c r="J356" s="3">
        <v>19.42146</v>
      </c>
      <c r="K356" s="3">
        <v>18.93553</v>
      </c>
      <c r="L356" s="3">
        <f t="shared" si="50"/>
        <v>0.99632999999999683</v>
      </c>
      <c r="M356" s="3">
        <f t="shared" si="51"/>
        <v>2.5353599999999972</v>
      </c>
      <c r="N356" s="3">
        <f t="shared" si="52"/>
        <v>3.5350399999999986</v>
      </c>
      <c r="O356" s="3">
        <f t="shared" si="53"/>
        <v>4.0209699999999984</v>
      </c>
      <c r="P356" s="3">
        <f t="shared" si="54"/>
        <v>1.5390300000000003</v>
      </c>
      <c r="Q356" s="3">
        <f t="shared" si="55"/>
        <v>2.5387100000000018</v>
      </c>
      <c r="R356" s="3">
        <f t="shared" si="56"/>
        <v>3.0246400000000015</v>
      </c>
      <c r="S356" s="3">
        <f t="shared" si="57"/>
        <v>0.99968000000000146</v>
      </c>
      <c r="T356" s="3">
        <f t="shared" si="58"/>
        <v>1.4856100000000012</v>
      </c>
      <c r="U356" s="3">
        <f t="shared" si="59"/>
        <v>0.48592999999999975</v>
      </c>
    </row>
    <row r="357" spans="1:21" x14ac:dyDescent="0.25">
      <c r="A357" s="3">
        <v>1.2376614659861299E+18</v>
      </c>
      <c r="B357" s="3">
        <v>235.81912</v>
      </c>
      <c r="C357" s="3">
        <v>35.868046</v>
      </c>
      <c r="D357" s="3">
        <v>0.55590569999999995</v>
      </c>
      <c r="E357" s="3">
        <v>2.2740678333313702</v>
      </c>
      <c r="F357" s="3">
        <v>166771.71</v>
      </c>
      <c r="G357" s="3">
        <v>23.270019999999999</v>
      </c>
      <c r="H357" s="3">
        <v>21.92334</v>
      </c>
      <c r="I357" s="3">
        <v>20.23349</v>
      </c>
      <c r="J357" s="3">
        <v>19.238029999999998</v>
      </c>
      <c r="K357" s="3">
        <v>18.788730000000001</v>
      </c>
      <c r="L357" s="3">
        <f t="shared" si="50"/>
        <v>1.3466799999999992</v>
      </c>
      <c r="M357" s="3">
        <f t="shared" si="51"/>
        <v>3.0365299999999991</v>
      </c>
      <c r="N357" s="3">
        <f t="shared" si="52"/>
        <v>4.0319900000000004</v>
      </c>
      <c r="O357" s="3">
        <f t="shared" si="53"/>
        <v>4.4812899999999978</v>
      </c>
      <c r="P357" s="3">
        <f t="shared" si="54"/>
        <v>1.6898499999999999</v>
      </c>
      <c r="Q357" s="3">
        <f t="shared" si="55"/>
        <v>2.6853100000000012</v>
      </c>
      <c r="R357" s="3">
        <f t="shared" si="56"/>
        <v>3.1346099999999986</v>
      </c>
      <c r="S357" s="3">
        <f t="shared" si="57"/>
        <v>0.99546000000000134</v>
      </c>
      <c r="T357" s="3">
        <f t="shared" si="58"/>
        <v>1.4447599999999987</v>
      </c>
      <c r="U357" s="3">
        <f t="shared" si="59"/>
        <v>0.44929999999999737</v>
      </c>
    </row>
    <row r="358" spans="1:21" x14ac:dyDescent="0.25">
      <c r="A358" s="3">
        <v>1.2376623378635799E+18</v>
      </c>
      <c r="B358" s="3">
        <v>235.88399000000001</v>
      </c>
      <c r="C358" s="3">
        <v>35.804220999999998</v>
      </c>
      <c r="D358" s="3">
        <v>0.55748390000000003</v>
      </c>
      <c r="E358" s="3">
        <v>2.2833787784148645</v>
      </c>
      <c r="F358" s="3">
        <v>167245.17000000001</v>
      </c>
      <c r="G358" s="3">
        <v>22.770790000000002</v>
      </c>
      <c r="H358" s="3">
        <v>21.934529999999999</v>
      </c>
      <c r="I358" s="3">
        <v>20.36336</v>
      </c>
      <c r="J358" s="3">
        <v>19.509080000000001</v>
      </c>
      <c r="K358" s="3">
        <v>19.201460000000001</v>
      </c>
      <c r="L358" s="3">
        <f t="shared" si="50"/>
        <v>0.83626000000000289</v>
      </c>
      <c r="M358" s="3">
        <f t="shared" si="51"/>
        <v>2.4074300000000015</v>
      </c>
      <c r="N358" s="3">
        <f t="shared" si="52"/>
        <v>3.2617100000000008</v>
      </c>
      <c r="O358" s="3">
        <f t="shared" si="53"/>
        <v>3.5693300000000008</v>
      </c>
      <c r="P358" s="3">
        <f t="shared" si="54"/>
        <v>1.5711699999999986</v>
      </c>
      <c r="Q358" s="3">
        <f t="shared" si="55"/>
        <v>2.4254499999999979</v>
      </c>
      <c r="R358" s="3">
        <f t="shared" si="56"/>
        <v>2.7330699999999979</v>
      </c>
      <c r="S358" s="3">
        <f t="shared" si="57"/>
        <v>0.85427999999999926</v>
      </c>
      <c r="T358" s="3">
        <f t="shared" si="58"/>
        <v>1.1618999999999993</v>
      </c>
      <c r="U358" s="3">
        <f t="shared" si="59"/>
        <v>0.30762</v>
      </c>
    </row>
    <row r="359" spans="1:21" x14ac:dyDescent="0.25">
      <c r="A359" s="3">
        <v>1.2376623378635799E+18</v>
      </c>
      <c r="B359" s="3">
        <v>235.88399000000001</v>
      </c>
      <c r="C359" s="3">
        <v>35.804220999999998</v>
      </c>
      <c r="D359" s="3">
        <v>0.55753070000000005</v>
      </c>
      <c r="E359" s="3">
        <v>2.2833787784148645</v>
      </c>
      <c r="F359" s="3">
        <v>167259.21000000002</v>
      </c>
      <c r="G359" s="3">
        <v>22.770790000000002</v>
      </c>
      <c r="H359" s="3">
        <v>21.934529999999999</v>
      </c>
      <c r="I359" s="3">
        <v>20.36336</v>
      </c>
      <c r="J359" s="3">
        <v>19.509080000000001</v>
      </c>
      <c r="K359" s="3">
        <v>19.201460000000001</v>
      </c>
      <c r="L359" s="3">
        <f t="shared" si="50"/>
        <v>0.83626000000000289</v>
      </c>
      <c r="M359" s="3">
        <f t="shared" si="51"/>
        <v>2.4074300000000015</v>
      </c>
      <c r="N359" s="3">
        <f t="shared" si="52"/>
        <v>3.2617100000000008</v>
      </c>
      <c r="O359" s="3">
        <f t="shared" si="53"/>
        <v>3.5693300000000008</v>
      </c>
      <c r="P359" s="3">
        <f t="shared" si="54"/>
        <v>1.5711699999999986</v>
      </c>
      <c r="Q359" s="3">
        <f t="shared" si="55"/>
        <v>2.4254499999999979</v>
      </c>
      <c r="R359" s="3">
        <f t="shared" si="56"/>
        <v>2.7330699999999979</v>
      </c>
      <c r="S359" s="3">
        <f t="shared" si="57"/>
        <v>0.85427999999999926</v>
      </c>
      <c r="T359" s="3">
        <f t="shared" si="58"/>
        <v>1.1618999999999993</v>
      </c>
      <c r="U359" s="3">
        <f t="shared" si="59"/>
        <v>0.30762</v>
      </c>
    </row>
    <row r="360" spans="1:21" x14ac:dyDescent="0.25">
      <c r="A360" s="3">
        <v>1.2376624736911301E+18</v>
      </c>
      <c r="B360" s="3">
        <v>236.75480999999999</v>
      </c>
      <c r="C360" s="3">
        <v>35.893577000000001</v>
      </c>
      <c r="D360" s="3">
        <v>0.55971649999999995</v>
      </c>
      <c r="E360" s="3">
        <v>2.5084235679469296</v>
      </c>
      <c r="F360" s="3">
        <v>167914.94999999998</v>
      </c>
      <c r="G360" s="3">
        <v>24.86225</v>
      </c>
      <c r="H360" s="3">
        <v>23.261109999999999</v>
      </c>
      <c r="I360" s="3">
        <v>20.632719999999999</v>
      </c>
      <c r="J360" s="3">
        <v>19.524069999999998</v>
      </c>
      <c r="K360" s="3">
        <v>18.945959999999999</v>
      </c>
      <c r="L360" s="3">
        <f t="shared" si="50"/>
        <v>1.6011400000000009</v>
      </c>
      <c r="M360" s="3">
        <f t="shared" si="51"/>
        <v>4.2295300000000005</v>
      </c>
      <c r="N360" s="3">
        <f t="shared" si="52"/>
        <v>5.3381800000000013</v>
      </c>
      <c r="O360" s="3">
        <f t="shared" si="53"/>
        <v>5.91629</v>
      </c>
      <c r="P360" s="3">
        <f t="shared" si="54"/>
        <v>2.6283899999999996</v>
      </c>
      <c r="Q360" s="3">
        <f t="shared" si="55"/>
        <v>3.7370400000000004</v>
      </c>
      <c r="R360" s="3">
        <f t="shared" si="56"/>
        <v>4.3151499999999992</v>
      </c>
      <c r="S360" s="3">
        <f t="shared" si="57"/>
        <v>1.1086500000000008</v>
      </c>
      <c r="T360" s="3">
        <f t="shared" si="58"/>
        <v>1.6867599999999996</v>
      </c>
      <c r="U360" s="3">
        <f t="shared" si="59"/>
        <v>0.57810999999999879</v>
      </c>
    </row>
    <row r="361" spans="1:21" x14ac:dyDescent="0.25">
      <c r="A361" s="3">
        <v>1.2376623378636401E+18</v>
      </c>
      <c r="B361" s="3">
        <v>235.96710999999999</v>
      </c>
      <c r="C361" s="3">
        <v>35.660018000000001</v>
      </c>
      <c r="D361" s="3">
        <v>0.56007799999999996</v>
      </c>
      <c r="E361" s="3">
        <v>2.7146870078005927</v>
      </c>
      <c r="F361" s="3">
        <v>168023.4</v>
      </c>
      <c r="G361" s="3">
        <v>22.534890000000001</v>
      </c>
      <c r="H361" s="3">
        <v>21.885850000000001</v>
      </c>
      <c r="I361" s="3">
        <v>20.491620000000001</v>
      </c>
      <c r="J361" s="3">
        <v>19.603739999999998</v>
      </c>
      <c r="K361" s="3">
        <v>19.025870000000001</v>
      </c>
      <c r="L361" s="3">
        <f t="shared" si="50"/>
        <v>0.6490399999999994</v>
      </c>
      <c r="M361" s="3">
        <f t="shared" si="51"/>
        <v>2.0432699999999997</v>
      </c>
      <c r="N361" s="3">
        <f t="shared" si="52"/>
        <v>2.9311500000000024</v>
      </c>
      <c r="O361" s="3">
        <f t="shared" si="53"/>
        <v>3.5090199999999996</v>
      </c>
      <c r="P361" s="3">
        <f t="shared" si="54"/>
        <v>1.3942300000000003</v>
      </c>
      <c r="Q361" s="3">
        <f t="shared" si="55"/>
        <v>2.282110000000003</v>
      </c>
      <c r="R361" s="3">
        <f t="shared" si="56"/>
        <v>2.8599800000000002</v>
      </c>
      <c r="S361" s="3">
        <f t="shared" si="57"/>
        <v>0.88788000000000267</v>
      </c>
      <c r="T361" s="3">
        <f t="shared" si="58"/>
        <v>1.4657499999999999</v>
      </c>
      <c r="U361" s="3">
        <f t="shared" si="59"/>
        <v>0.57786999999999722</v>
      </c>
    </row>
    <row r="362" spans="1:21" x14ac:dyDescent="0.25">
      <c r="A362" s="3">
        <v>1.23766250375584E+18</v>
      </c>
      <c r="B362" s="3">
        <v>236.7901</v>
      </c>
      <c r="C362" s="3">
        <v>36.223827999999997</v>
      </c>
      <c r="D362" s="3">
        <v>0.56812600000000002</v>
      </c>
      <c r="E362" s="3">
        <v>2.4495772272092418</v>
      </c>
      <c r="F362" s="3">
        <v>170437.80000000002</v>
      </c>
      <c r="G362" s="3">
        <v>22.36711</v>
      </c>
      <c r="H362" s="3">
        <v>21.851610000000001</v>
      </c>
      <c r="I362" s="3">
        <v>20.715689999999999</v>
      </c>
      <c r="J362" s="3">
        <v>19.88261</v>
      </c>
      <c r="K362" s="3">
        <v>19.733789999999999</v>
      </c>
      <c r="L362" s="3">
        <f t="shared" si="50"/>
        <v>0.5154999999999994</v>
      </c>
      <c r="M362" s="3">
        <f t="shared" si="51"/>
        <v>1.6514200000000017</v>
      </c>
      <c r="N362" s="3">
        <f t="shared" si="52"/>
        <v>2.4845000000000006</v>
      </c>
      <c r="O362" s="3">
        <f t="shared" si="53"/>
        <v>2.6333200000000012</v>
      </c>
      <c r="P362" s="3">
        <f t="shared" si="54"/>
        <v>1.1359200000000023</v>
      </c>
      <c r="Q362" s="3">
        <f t="shared" si="55"/>
        <v>1.9690000000000012</v>
      </c>
      <c r="R362" s="3">
        <f t="shared" si="56"/>
        <v>2.1178200000000018</v>
      </c>
      <c r="S362" s="3">
        <f t="shared" si="57"/>
        <v>0.83307999999999893</v>
      </c>
      <c r="T362" s="3">
        <f t="shared" si="58"/>
        <v>0.98189999999999955</v>
      </c>
      <c r="U362" s="3">
        <f t="shared" si="59"/>
        <v>0.14882000000000062</v>
      </c>
    </row>
    <row r="363" spans="1:21" x14ac:dyDescent="0.25">
      <c r="A363" s="3">
        <v>1.2376625037557701E+18</v>
      </c>
      <c r="B363" s="3">
        <v>236.65296000000001</v>
      </c>
      <c r="C363" s="3">
        <v>36.262743</v>
      </c>
      <c r="D363" s="3">
        <v>0.5693281</v>
      </c>
      <c r="E363" s="3">
        <v>1.9561293851876838</v>
      </c>
      <c r="F363" s="3">
        <v>170798.43</v>
      </c>
      <c r="G363" s="3">
        <v>26.225709999999999</v>
      </c>
      <c r="H363" s="3">
        <v>22.50179</v>
      </c>
      <c r="I363" s="3">
        <v>20.62181</v>
      </c>
      <c r="J363" s="3">
        <v>19.720939999999999</v>
      </c>
      <c r="K363" s="3">
        <v>19.186990000000002</v>
      </c>
      <c r="L363" s="3">
        <f t="shared" si="50"/>
        <v>3.7239199999999997</v>
      </c>
      <c r="M363" s="3">
        <f t="shared" si="51"/>
        <v>5.6038999999999994</v>
      </c>
      <c r="N363" s="3">
        <f t="shared" si="52"/>
        <v>6.5047700000000006</v>
      </c>
      <c r="O363" s="3">
        <f t="shared" si="53"/>
        <v>7.0387199999999979</v>
      </c>
      <c r="P363" s="3">
        <f t="shared" si="54"/>
        <v>1.8799799999999998</v>
      </c>
      <c r="Q363" s="3">
        <f t="shared" si="55"/>
        <v>2.7808500000000009</v>
      </c>
      <c r="R363" s="3">
        <f t="shared" si="56"/>
        <v>3.3147999999999982</v>
      </c>
      <c r="S363" s="3">
        <f t="shared" si="57"/>
        <v>0.90087000000000117</v>
      </c>
      <c r="T363" s="3">
        <f t="shared" si="58"/>
        <v>1.4348199999999984</v>
      </c>
      <c r="U363" s="3">
        <f t="shared" si="59"/>
        <v>0.53394999999999726</v>
      </c>
    </row>
    <row r="364" spans="1:21" x14ac:dyDescent="0.25">
      <c r="A364" s="3">
        <v>1.23766250375584E+18</v>
      </c>
      <c r="B364" s="3">
        <v>236.76983000000001</v>
      </c>
      <c r="C364" s="3">
        <v>36.157921999999999</v>
      </c>
      <c r="D364" s="3">
        <v>0.57193450000000001</v>
      </c>
      <c r="E364" s="3">
        <v>2.2981226413568567</v>
      </c>
      <c r="F364" s="3">
        <v>171580.35</v>
      </c>
      <c r="G364" s="3">
        <v>25.190999999999999</v>
      </c>
      <c r="H364" s="3">
        <v>22.268650000000001</v>
      </c>
      <c r="I364" s="3">
        <v>20.52946</v>
      </c>
      <c r="J364" s="3">
        <v>19.52702</v>
      </c>
      <c r="K364" s="3">
        <v>18.896719999999998</v>
      </c>
      <c r="L364" s="3">
        <f t="shared" si="50"/>
        <v>2.922349999999998</v>
      </c>
      <c r="M364" s="3">
        <f t="shared" si="51"/>
        <v>4.6615399999999987</v>
      </c>
      <c r="N364" s="3">
        <f t="shared" si="52"/>
        <v>5.6639799999999987</v>
      </c>
      <c r="O364" s="3">
        <f t="shared" si="53"/>
        <v>6.2942800000000005</v>
      </c>
      <c r="P364" s="3">
        <f t="shared" si="54"/>
        <v>1.7391900000000007</v>
      </c>
      <c r="Q364" s="3">
        <f t="shared" si="55"/>
        <v>2.7416300000000007</v>
      </c>
      <c r="R364" s="3">
        <f t="shared" si="56"/>
        <v>3.3719300000000025</v>
      </c>
      <c r="S364" s="3">
        <f t="shared" si="57"/>
        <v>1.00244</v>
      </c>
      <c r="T364" s="3">
        <f t="shared" si="58"/>
        <v>1.6327400000000019</v>
      </c>
      <c r="U364" s="3">
        <f t="shared" si="59"/>
        <v>0.63030000000000186</v>
      </c>
    </row>
    <row r="365" spans="1:21" x14ac:dyDescent="0.25">
      <c r="A365" s="3">
        <v>1.2376624736909399E+18</v>
      </c>
      <c r="B365" s="3">
        <v>236.42551</v>
      </c>
      <c r="C365" s="3">
        <v>36.336641999999998</v>
      </c>
      <c r="D365" s="3">
        <v>0.57215170000000004</v>
      </c>
      <c r="E365" s="3">
        <v>1.4539284237727739</v>
      </c>
      <c r="F365" s="3">
        <v>171645.51</v>
      </c>
      <c r="G365" s="3">
        <v>25.780750000000001</v>
      </c>
      <c r="H365" s="3">
        <v>22.098669999999998</v>
      </c>
      <c r="I365" s="3">
        <v>20.435359999999999</v>
      </c>
      <c r="J365" s="3">
        <v>19.38456</v>
      </c>
      <c r="K365" s="3">
        <v>18.752749999999999</v>
      </c>
      <c r="L365" s="3">
        <f t="shared" si="50"/>
        <v>3.6820800000000027</v>
      </c>
      <c r="M365" s="3">
        <f t="shared" si="51"/>
        <v>5.3453900000000019</v>
      </c>
      <c r="N365" s="3">
        <f t="shared" si="52"/>
        <v>6.3961900000000007</v>
      </c>
      <c r="O365" s="3">
        <f t="shared" si="53"/>
        <v>7.0280000000000022</v>
      </c>
      <c r="P365" s="3">
        <f t="shared" si="54"/>
        <v>1.6633099999999992</v>
      </c>
      <c r="Q365" s="3">
        <f t="shared" si="55"/>
        <v>2.714109999999998</v>
      </c>
      <c r="R365" s="3">
        <f t="shared" si="56"/>
        <v>3.3459199999999996</v>
      </c>
      <c r="S365" s="3">
        <f t="shared" si="57"/>
        <v>1.0507999999999988</v>
      </c>
      <c r="T365" s="3">
        <f t="shared" si="58"/>
        <v>1.6826100000000004</v>
      </c>
      <c r="U365" s="3">
        <f t="shared" si="59"/>
        <v>0.63181000000000154</v>
      </c>
    </row>
    <row r="366" spans="1:21" x14ac:dyDescent="0.25">
      <c r="A366" s="3">
        <v>1.2376624736911301E+18</v>
      </c>
      <c r="B366" s="3">
        <v>236.74807999999999</v>
      </c>
      <c r="C366" s="3">
        <v>36.076872000000002</v>
      </c>
      <c r="D366" s="3">
        <v>0.57257769999999997</v>
      </c>
      <c r="E366" s="3">
        <v>2.1965737251954196</v>
      </c>
      <c r="F366" s="3">
        <v>171773.31</v>
      </c>
      <c r="G366" s="3">
        <v>25.522780000000001</v>
      </c>
      <c r="H366" s="3">
        <v>23.140740000000001</v>
      </c>
      <c r="I366" s="3">
        <v>21.65935</v>
      </c>
      <c r="J366" s="3">
        <v>20.60989</v>
      </c>
      <c r="K366" s="3">
        <v>19.878730000000001</v>
      </c>
      <c r="L366" s="3">
        <f t="shared" si="50"/>
        <v>2.3820399999999999</v>
      </c>
      <c r="M366" s="3">
        <f t="shared" si="51"/>
        <v>3.863430000000001</v>
      </c>
      <c r="N366" s="3">
        <f t="shared" si="52"/>
        <v>4.9128900000000009</v>
      </c>
      <c r="O366" s="3">
        <f t="shared" si="53"/>
        <v>5.64405</v>
      </c>
      <c r="P366" s="3">
        <f t="shared" si="54"/>
        <v>1.4813900000000011</v>
      </c>
      <c r="Q366" s="3">
        <f t="shared" si="55"/>
        <v>2.5308500000000009</v>
      </c>
      <c r="R366" s="3">
        <f t="shared" si="56"/>
        <v>3.2620100000000001</v>
      </c>
      <c r="S366" s="3">
        <f t="shared" si="57"/>
        <v>1.0494599999999998</v>
      </c>
      <c r="T366" s="3">
        <f t="shared" si="58"/>
        <v>1.780619999999999</v>
      </c>
      <c r="U366" s="3">
        <f t="shared" si="59"/>
        <v>0.73115999999999914</v>
      </c>
    </row>
    <row r="367" spans="1:21" x14ac:dyDescent="0.25">
      <c r="A367" s="3">
        <v>1.2376625037557701E+18</v>
      </c>
      <c r="B367" s="3">
        <v>236.55561</v>
      </c>
      <c r="C367" s="3">
        <v>36.29954</v>
      </c>
      <c r="D367" s="3">
        <v>0.57280359999999997</v>
      </c>
      <c r="E367" s="3">
        <v>1.6941313541667096</v>
      </c>
      <c r="F367" s="3">
        <v>171841.08</v>
      </c>
      <c r="G367" s="3">
        <v>22.90307</v>
      </c>
      <c r="H367" s="3">
        <v>23.49869</v>
      </c>
      <c r="I367" s="3">
        <v>21.649260000000002</v>
      </c>
      <c r="J367" s="3">
        <v>20.576509999999999</v>
      </c>
      <c r="K367" s="3">
        <v>19.80002</v>
      </c>
      <c r="L367" s="3">
        <f t="shared" si="50"/>
        <v>-0.59562000000000026</v>
      </c>
      <c r="M367" s="3">
        <f t="shared" si="51"/>
        <v>1.2538099999999979</v>
      </c>
      <c r="N367" s="3">
        <f t="shared" si="52"/>
        <v>2.3265600000000006</v>
      </c>
      <c r="O367" s="3">
        <f t="shared" si="53"/>
        <v>3.1030499999999996</v>
      </c>
      <c r="P367" s="3">
        <f t="shared" si="54"/>
        <v>1.8494299999999981</v>
      </c>
      <c r="Q367" s="3">
        <f t="shared" si="55"/>
        <v>2.9221800000000009</v>
      </c>
      <c r="R367" s="3">
        <f t="shared" si="56"/>
        <v>3.6986699999999999</v>
      </c>
      <c r="S367" s="3">
        <f t="shared" si="57"/>
        <v>1.0727500000000028</v>
      </c>
      <c r="T367" s="3">
        <f t="shared" si="58"/>
        <v>1.8492400000000018</v>
      </c>
      <c r="U367" s="3">
        <f t="shared" si="59"/>
        <v>0.77648999999999901</v>
      </c>
    </row>
    <row r="368" spans="1:21" x14ac:dyDescent="0.25">
      <c r="A368" s="3">
        <v>1.2376625037557701E+18</v>
      </c>
      <c r="B368" s="3">
        <v>236.55592999999999</v>
      </c>
      <c r="C368" s="3">
        <v>36.315261</v>
      </c>
      <c r="D368" s="3">
        <v>0.57286389999999998</v>
      </c>
      <c r="E368" s="3">
        <v>1.747777106399204</v>
      </c>
      <c r="F368" s="3">
        <v>171859.16999999998</v>
      </c>
      <c r="G368" s="3">
        <v>25.170120000000001</v>
      </c>
      <c r="H368" s="3">
        <v>21.28323</v>
      </c>
      <c r="I368" s="3">
        <v>20.118670000000002</v>
      </c>
      <c r="J368" s="3">
        <v>19.06467</v>
      </c>
      <c r="K368" s="3">
        <v>18.632739999999998</v>
      </c>
      <c r="L368" s="3">
        <f t="shared" si="50"/>
        <v>3.8868900000000011</v>
      </c>
      <c r="M368" s="3">
        <f t="shared" si="51"/>
        <v>5.0514499999999991</v>
      </c>
      <c r="N368" s="3">
        <f t="shared" si="52"/>
        <v>6.1054500000000012</v>
      </c>
      <c r="O368" s="3">
        <f t="shared" si="53"/>
        <v>6.5373800000000024</v>
      </c>
      <c r="P368" s="3">
        <f t="shared" si="54"/>
        <v>1.164559999999998</v>
      </c>
      <c r="Q368" s="3">
        <f t="shared" si="55"/>
        <v>2.2185600000000001</v>
      </c>
      <c r="R368" s="3">
        <f t="shared" si="56"/>
        <v>2.6504900000000013</v>
      </c>
      <c r="S368" s="3">
        <f t="shared" si="57"/>
        <v>1.054000000000002</v>
      </c>
      <c r="T368" s="3">
        <f t="shared" si="58"/>
        <v>1.4859300000000033</v>
      </c>
      <c r="U368" s="3">
        <f t="shared" si="59"/>
        <v>0.43193000000000126</v>
      </c>
    </row>
    <row r="369" spans="1:21" x14ac:dyDescent="0.25">
      <c r="A369" s="3">
        <v>1.2376625037557701E+18</v>
      </c>
      <c r="B369" s="3">
        <v>236.55592999999999</v>
      </c>
      <c r="C369" s="3">
        <v>36.315261</v>
      </c>
      <c r="D369" s="3">
        <v>0.57297379999999998</v>
      </c>
      <c r="E369" s="3">
        <v>1.747777106399204</v>
      </c>
      <c r="F369" s="3">
        <v>171892.13999999998</v>
      </c>
      <c r="G369" s="3">
        <v>25.170120000000001</v>
      </c>
      <c r="H369" s="3">
        <v>21.28323</v>
      </c>
      <c r="I369" s="3">
        <v>20.118670000000002</v>
      </c>
      <c r="J369" s="3">
        <v>19.06467</v>
      </c>
      <c r="K369" s="3">
        <v>18.632739999999998</v>
      </c>
      <c r="L369" s="3">
        <f t="shared" si="50"/>
        <v>3.8868900000000011</v>
      </c>
      <c r="M369" s="3">
        <f t="shared" si="51"/>
        <v>5.0514499999999991</v>
      </c>
      <c r="N369" s="3">
        <f t="shared" si="52"/>
        <v>6.1054500000000012</v>
      </c>
      <c r="O369" s="3">
        <f t="shared" si="53"/>
        <v>6.5373800000000024</v>
      </c>
      <c r="P369" s="3">
        <f t="shared" si="54"/>
        <v>1.164559999999998</v>
      </c>
      <c r="Q369" s="3">
        <f t="shared" si="55"/>
        <v>2.2185600000000001</v>
      </c>
      <c r="R369" s="3">
        <f t="shared" si="56"/>
        <v>2.6504900000000013</v>
      </c>
      <c r="S369" s="3">
        <f t="shared" si="57"/>
        <v>1.054000000000002</v>
      </c>
      <c r="T369" s="3">
        <f t="shared" si="58"/>
        <v>1.4859300000000033</v>
      </c>
      <c r="U369" s="3">
        <f t="shared" si="59"/>
        <v>0.43193000000000126</v>
      </c>
    </row>
    <row r="370" spans="1:21" x14ac:dyDescent="0.25">
      <c r="A370" s="3">
        <v>1.2376625032189701E+18</v>
      </c>
      <c r="B370" s="3">
        <v>236.48553999999999</v>
      </c>
      <c r="C370" s="3">
        <v>36.019148000000001</v>
      </c>
      <c r="D370" s="3">
        <v>0.57327910000000004</v>
      </c>
      <c r="E370" s="3">
        <v>1.15308708818876</v>
      </c>
      <c r="F370" s="3">
        <v>171983.73</v>
      </c>
      <c r="G370" s="3">
        <v>23.479649999999999</v>
      </c>
      <c r="H370" s="3">
        <v>22.974309999999999</v>
      </c>
      <c r="I370" s="3">
        <v>21.142119999999998</v>
      </c>
      <c r="J370" s="3">
        <v>20.082529999999998</v>
      </c>
      <c r="K370" s="3">
        <v>19.44293</v>
      </c>
      <c r="L370" s="3">
        <f t="shared" si="50"/>
        <v>0.50534000000000034</v>
      </c>
      <c r="M370" s="3">
        <f t="shared" si="51"/>
        <v>2.337530000000001</v>
      </c>
      <c r="N370" s="3">
        <f t="shared" si="52"/>
        <v>3.397120000000001</v>
      </c>
      <c r="O370" s="3">
        <f t="shared" si="53"/>
        <v>4.036719999999999</v>
      </c>
      <c r="P370" s="3">
        <f t="shared" si="54"/>
        <v>1.8321900000000007</v>
      </c>
      <c r="Q370" s="3">
        <f t="shared" si="55"/>
        <v>2.8917800000000007</v>
      </c>
      <c r="R370" s="3">
        <f t="shared" si="56"/>
        <v>3.5313799999999986</v>
      </c>
      <c r="S370" s="3">
        <f t="shared" si="57"/>
        <v>1.05959</v>
      </c>
      <c r="T370" s="3">
        <f t="shared" si="58"/>
        <v>1.699189999999998</v>
      </c>
      <c r="U370" s="3">
        <f t="shared" si="59"/>
        <v>0.63959999999999795</v>
      </c>
    </row>
    <row r="371" spans="1:21" x14ac:dyDescent="0.25">
      <c r="A371" s="3">
        <v>1.23766247422787E+18</v>
      </c>
      <c r="B371" s="3">
        <v>236.81554</v>
      </c>
      <c r="C371" s="3">
        <v>36.612485999999997</v>
      </c>
      <c r="D371" s="3">
        <v>0.5733279</v>
      </c>
      <c r="E371" s="3">
        <v>3.6737487825998136</v>
      </c>
      <c r="F371" s="3">
        <v>171998.37</v>
      </c>
      <c r="G371" s="3">
        <v>26.753799999999998</v>
      </c>
      <c r="H371" s="3">
        <v>23.26925</v>
      </c>
      <c r="I371" s="3">
        <v>21.30827</v>
      </c>
      <c r="J371" s="3">
        <v>20.317460000000001</v>
      </c>
      <c r="K371" s="3">
        <v>19.606359999999999</v>
      </c>
      <c r="L371" s="3">
        <f t="shared" si="50"/>
        <v>3.4845499999999987</v>
      </c>
      <c r="M371" s="3">
        <f t="shared" si="51"/>
        <v>5.445529999999998</v>
      </c>
      <c r="N371" s="3">
        <f t="shared" si="52"/>
        <v>6.4363399999999977</v>
      </c>
      <c r="O371" s="3">
        <f t="shared" si="53"/>
        <v>7.1474399999999996</v>
      </c>
      <c r="P371" s="3">
        <f t="shared" si="54"/>
        <v>1.9609799999999993</v>
      </c>
      <c r="Q371" s="3">
        <f t="shared" si="55"/>
        <v>2.951789999999999</v>
      </c>
      <c r="R371" s="3">
        <f t="shared" si="56"/>
        <v>3.6628900000000009</v>
      </c>
      <c r="S371" s="3">
        <f t="shared" si="57"/>
        <v>0.99080999999999975</v>
      </c>
      <c r="T371" s="3">
        <f t="shared" si="58"/>
        <v>1.7019100000000016</v>
      </c>
      <c r="U371" s="3">
        <f t="shared" si="59"/>
        <v>0.71110000000000184</v>
      </c>
    </row>
    <row r="372" spans="1:21" x14ac:dyDescent="0.25">
      <c r="A372" s="3">
        <v>1.2376614659863301E+18</v>
      </c>
      <c r="B372" s="3">
        <v>236.34151</v>
      </c>
      <c r="C372" s="3">
        <v>35.652872000000002</v>
      </c>
      <c r="D372" s="3">
        <v>0.57405360000000005</v>
      </c>
      <c r="E372" s="3">
        <v>2.4991646467760336</v>
      </c>
      <c r="F372" s="3">
        <v>172216.08000000002</v>
      </c>
      <c r="G372" s="3">
        <v>23.265039999999999</v>
      </c>
      <c r="H372" s="3">
        <v>21.874870000000001</v>
      </c>
      <c r="I372" s="3">
        <v>20.556439999999998</v>
      </c>
      <c r="J372" s="3">
        <v>19.558869999999999</v>
      </c>
      <c r="K372" s="3">
        <v>19.067250000000001</v>
      </c>
      <c r="L372" s="3">
        <f t="shared" si="50"/>
        <v>1.3901699999999977</v>
      </c>
      <c r="M372" s="3">
        <f t="shared" si="51"/>
        <v>2.7086000000000006</v>
      </c>
      <c r="N372" s="3">
        <f t="shared" si="52"/>
        <v>3.7061700000000002</v>
      </c>
      <c r="O372" s="3">
        <f t="shared" si="53"/>
        <v>4.1977899999999977</v>
      </c>
      <c r="P372" s="3">
        <f t="shared" si="54"/>
        <v>1.3184300000000029</v>
      </c>
      <c r="Q372" s="3">
        <f t="shared" si="55"/>
        <v>2.3160000000000025</v>
      </c>
      <c r="R372" s="3">
        <f t="shared" si="56"/>
        <v>2.80762</v>
      </c>
      <c r="S372" s="3">
        <f t="shared" si="57"/>
        <v>0.99756999999999962</v>
      </c>
      <c r="T372" s="3">
        <f t="shared" si="58"/>
        <v>1.4891899999999971</v>
      </c>
      <c r="U372" s="3">
        <f t="shared" si="59"/>
        <v>0.4916199999999975</v>
      </c>
    </row>
    <row r="373" spans="1:21" x14ac:dyDescent="0.25">
      <c r="A373" s="3">
        <v>1.2376614659863301E+18</v>
      </c>
      <c r="B373" s="3">
        <v>236.26297</v>
      </c>
      <c r="C373" s="3">
        <v>35.624699999999997</v>
      </c>
      <c r="D373" s="3">
        <v>0.57423290000000005</v>
      </c>
      <c r="E373" s="3">
        <v>2.6171036380427157</v>
      </c>
      <c r="F373" s="3">
        <v>172269.87000000002</v>
      </c>
      <c r="G373" s="3">
        <v>24.180810000000001</v>
      </c>
      <c r="H373" s="3">
        <v>23.3887</v>
      </c>
      <c r="I373" s="3">
        <v>21.54954</v>
      </c>
      <c r="J373" s="3">
        <v>20.513919999999999</v>
      </c>
      <c r="K373" s="3">
        <v>19.819880000000001</v>
      </c>
      <c r="L373" s="3">
        <f t="shared" si="50"/>
        <v>0.79211000000000098</v>
      </c>
      <c r="M373" s="3">
        <f t="shared" si="51"/>
        <v>2.6312700000000007</v>
      </c>
      <c r="N373" s="3">
        <f t="shared" si="52"/>
        <v>3.6668900000000022</v>
      </c>
      <c r="O373" s="3">
        <f t="shared" si="53"/>
        <v>4.3609299999999998</v>
      </c>
      <c r="P373" s="3">
        <f t="shared" si="54"/>
        <v>1.8391599999999997</v>
      </c>
      <c r="Q373" s="3">
        <f t="shared" si="55"/>
        <v>2.8747800000000012</v>
      </c>
      <c r="R373" s="3">
        <f t="shared" si="56"/>
        <v>3.5688199999999988</v>
      </c>
      <c r="S373" s="3">
        <f t="shared" si="57"/>
        <v>1.0356200000000015</v>
      </c>
      <c r="T373" s="3">
        <f t="shared" si="58"/>
        <v>1.7296599999999991</v>
      </c>
      <c r="U373" s="3">
        <f t="shared" si="59"/>
        <v>0.69403999999999755</v>
      </c>
    </row>
    <row r="374" spans="1:21" x14ac:dyDescent="0.25">
      <c r="A374" s="3">
        <v>1.2376625037556401E+18</v>
      </c>
      <c r="B374" s="3">
        <v>236.37797</v>
      </c>
      <c r="C374" s="3">
        <v>36.483097999999998</v>
      </c>
      <c r="D374" s="3">
        <v>0.57434810000000003</v>
      </c>
      <c r="E374" s="3">
        <v>2.0964832650019201</v>
      </c>
      <c r="F374" s="3">
        <v>172304.43000000002</v>
      </c>
      <c r="G374" s="3">
        <v>23.81082</v>
      </c>
      <c r="H374" s="3">
        <v>23.343689999999999</v>
      </c>
      <c r="I374" s="3">
        <v>21.27863</v>
      </c>
      <c r="J374" s="3">
        <v>20.282810000000001</v>
      </c>
      <c r="K374" s="3">
        <v>19.62668</v>
      </c>
      <c r="L374" s="3">
        <f t="shared" si="50"/>
        <v>0.46713000000000093</v>
      </c>
      <c r="M374" s="3">
        <f t="shared" si="51"/>
        <v>2.5321899999999999</v>
      </c>
      <c r="N374" s="3">
        <f t="shared" si="52"/>
        <v>3.5280099999999983</v>
      </c>
      <c r="O374" s="3">
        <f t="shared" si="53"/>
        <v>4.1841399999999993</v>
      </c>
      <c r="P374" s="3">
        <f t="shared" si="54"/>
        <v>2.065059999999999</v>
      </c>
      <c r="Q374" s="3">
        <f t="shared" si="55"/>
        <v>3.0608799999999974</v>
      </c>
      <c r="R374" s="3">
        <f t="shared" si="56"/>
        <v>3.7170099999999984</v>
      </c>
      <c r="S374" s="3">
        <f t="shared" si="57"/>
        <v>0.99581999999999837</v>
      </c>
      <c r="T374" s="3">
        <f t="shared" si="58"/>
        <v>1.6519499999999994</v>
      </c>
      <c r="U374" s="3">
        <f t="shared" si="59"/>
        <v>0.65613000000000099</v>
      </c>
    </row>
    <row r="375" spans="1:21" x14ac:dyDescent="0.25">
      <c r="A375" s="3">
        <v>1.2376624736909399E+18</v>
      </c>
      <c r="B375" s="3">
        <v>236.43976000000001</v>
      </c>
      <c r="C375" s="3">
        <v>36.321854000000002</v>
      </c>
      <c r="D375" s="3">
        <v>0.57486490000000001</v>
      </c>
      <c r="E375" s="3">
        <v>1.4232203531582259</v>
      </c>
      <c r="F375" s="3">
        <v>172459.47</v>
      </c>
      <c r="G375" s="3">
        <v>25.508579999999998</v>
      </c>
      <c r="H375" s="3">
        <v>22.614660000000001</v>
      </c>
      <c r="I375" s="3">
        <v>20.530270000000002</v>
      </c>
      <c r="J375" s="3">
        <v>19.233979999999999</v>
      </c>
      <c r="K375" s="3">
        <v>18.673449999999999</v>
      </c>
      <c r="L375" s="3">
        <f t="shared" si="50"/>
        <v>2.8939199999999978</v>
      </c>
      <c r="M375" s="3">
        <f t="shared" si="51"/>
        <v>4.9783099999999969</v>
      </c>
      <c r="N375" s="3">
        <f t="shared" si="52"/>
        <v>6.2745999999999995</v>
      </c>
      <c r="O375" s="3">
        <f t="shared" si="53"/>
        <v>6.8351299999999995</v>
      </c>
      <c r="P375" s="3">
        <f t="shared" si="54"/>
        <v>2.0843899999999991</v>
      </c>
      <c r="Q375" s="3">
        <f t="shared" si="55"/>
        <v>3.3806800000000017</v>
      </c>
      <c r="R375" s="3">
        <f t="shared" si="56"/>
        <v>3.9412100000000017</v>
      </c>
      <c r="S375" s="3">
        <f t="shared" si="57"/>
        <v>1.2962900000000026</v>
      </c>
      <c r="T375" s="3">
        <f t="shared" si="58"/>
        <v>1.8568200000000026</v>
      </c>
      <c r="U375" s="3">
        <f t="shared" si="59"/>
        <v>0.56052999999999997</v>
      </c>
    </row>
    <row r="376" spans="1:21" x14ac:dyDescent="0.25">
      <c r="A376" s="3">
        <v>1.23766250375571E+18</v>
      </c>
      <c r="B376" s="3">
        <v>236.51935</v>
      </c>
      <c r="C376" s="3">
        <v>36.546565999999999</v>
      </c>
      <c r="D376" s="3">
        <v>0.57981760000000004</v>
      </c>
      <c r="E376" s="3">
        <v>2.6413832451507542</v>
      </c>
      <c r="F376" s="3">
        <v>173945.28</v>
      </c>
      <c r="G376" s="3">
        <v>25.977</v>
      </c>
      <c r="H376" s="3">
        <v>22.685680000000001</v>
      </c>
      <c r="I376" s="3">
        <v>20.996369999999999</v>
      </c>
      <c r="J376" s="3">
        <v>19.91638</v>
      </c>
      <c r="K376" s="3">
        <v>19.3017</v>
      </c>
      <c r="L376" s="3">
        <f t="shared" si="50"/>
        <v>3.2913199999999989</v>
      </c>
      <c r="M376" s="3">
        <f t="shared" si="51"/>
        <v>4.9806300000000014</v>
      </c>
      <c r="N376" s="3">
        <f t="shared" si="52"/>
        <v>6.0606200000000001</v>
      </c>
      <c r="O376" s="3">
        <f t="shared" si="53"/>
        <v>6.6753</v>
      </c>
      <c r="P376" s="3">
        <f t="shared" si="54"/>
        <v>1.6893100000000025</v>
      </c>
      <c r="Q376" s="3">
        <f t="shared" si="55"/>
        <v>2.7693000000000012</v>
      </c>
      <c r="R376" s="3">
        <f t="shared" si="56"/>
        <v>3.3839800000000011</v>
      </c>
      <c r="S376" s="3">
        <f t="shared" si="57"/>
        <v>1.0799899999999987</v>
      </c>
      <c r="T376" s="3">
        <f t="shared" si="58"/>
        <v>1.6946699999999986</v>
      </c>
      <c r="U376" s="3">
        <f t="shared" si="59"/>
        <v>0.61467999999999989</v>
      </c>
    </row>
    <row r="377" spans="1:21" x14ac:dyDescent="0.25">
      <c r="A377" s="3">
        <v>1.2376625037557701E+18</v>
      </c>
      <c r="B377" s="3">
        <v>236.49377000000001</v>
      </c>
      <c r="C377" s="3">
        <v>36.316184</v>
      </c>
      <c r="D377" s="3">
        <v>0.58962110000000001</v>
      </c>
      <c r="E377" s="3">
        <v>1.5519447654158436</v>
      </c>
      <c r="F377" s="3">
        <v>176886.33000000002</v>
      </c>
      <c r="G377" s="3">
        <v>24.030919999999998</v>
      </c>
      <c r="H377" s="3">
        <v>22.969830000000002</v>
      </c>
      <c r="I377" s="3">
        <v>21.748989999999999</v>
      </c>
      <c r="J377" s="3">
        <v>20.613119999999999</v>
      </c>
      <c r="K377" s="3">
        <v>19.965979999999998</v>
      </c>
      <c r="L377" s="3">
        <f t="shared" si="50"/>
        <v>1.0610899999999965</v>
      </c>
      <c r="M377" s="3">
        <f t="shared" si="51"/>
        <v>2.2819299999999991</v>
      </c>
      <c r="N377" s="3">
        <f t="shared" si="52"/>
        <v>3.4177999999999997</v>
      </c>
      <c r="O377" s="3">
        <f t="shared" si="53"/>
        <v>4.06494</v>
      </c>
      <c r="P377" s="3">
        <f t="shared" si="54"/>
        <v>1.2208400000000026</v>
      </c>
      <c r="Q377" s="3">
        <f t="shared" si="55"/>
        <v>2.3567100000000032</v>
      </c>
      <c r="R377" s="3">
        <f t="shared" si="56"/>
        <v>3.0038500000000035</v>
      </c>
      <c r="S377" s="3">
        <f t="shared" si="57"/>
        <v>1.1358700000000006</v>
      </c>
      <c r="T377" s="3">
        <f t="shared" si="58"/>
        <v>1.7830100000000009</v>
      </c>
      <c r="U377" s="3">
        <f t="shared" si="59"/>
        <v>0.64714000000000027</v>
      </c>
    </row>
    <row r="378" spans="1:21" x14ac:dyDescent="0.25">
      <c r="A378" s="3">
        <v>1.23766247369074E+18</v>
      </c>
      <c r="B378" s="3">
        <v>235.86815000000001</v>
      </c>
      <c r="C378" s="3">
        <v>36.585321</v>
      </c>
      <c r="D378" s="3">
        <v>0.59100940000000002</v>
      </c>
      <c r="E378" s="3">
        <v>3.0482707666894377</v>
      </c>
      <c r="F378" s="3">
        <v>177302.82</v>
      </c>
      <c r="G378" s="3">
        <v>23.35698</v>
      </c>
      <c r="H378" s="3">
        <v>22.364889999999999</v>
      </c>
      <c r="I378" s="3">
        <v>20.58868</v>
      </c>
      <c r="J378" s="3">
        <v>19.5246</v>
      </c>
      <c r="K378" s="3">
        <v>19.001339999999999</v>
      </c>
      <c r="L378" s="3">
        <f t="shared" si="50"/>
        <v>0.99209000000000103</v>
      </c>
      <c r="M378" s="3">
        <f t="shared" si="51"/>
        <v>2.7683</v>
      </c>
      <c r="N378" s="3">
        <f t="shared" si="52"/>
        <v>3.8323800000000006</v>
      </c>
      <c r="O378" s="3">
        <f t="shared" si="53"/>
        <v>4.3556400000000011</v>
      </c>
      <c r="P378" s="3">
        <f t="shared" si="54"/>
        <v>1.776209999999999</v>
      </c>
      <c r="Q378" s="3">
        <f t="shared" si="55"/>
        <v>2.8402899999999995</v>
      </c>
      <c r="R378" s="3">
        <f t="shared" si="56"/>
        <v>3.36355</v>
      </c>
      <c r="S378" s="3">
        <f t="shared" si="57"/>
        <v>1.0640800000000006</v>
      </c>
      <c r="T378" s="3">
        <f t="shared" si="58"/>
        <v>1.5873400000000011</v>
      </c>
      <c r="U378" s="3">
        <f t="shared" si="59"/>
        <v>0.5232600000000005</v>
      </c>
    </row>
    <row r="379" spans="1:21" x14ac:dyDescent="0.25">
      <c r="A379" s="3">
        <v>1.23766247369074E+18</v>
      </c>
      <c r="B379" s="3">
        <v>235.99646999999999</v>
      </c>
      <c r="C379" s="3">
        <v>36.586255000000001</v>
      </c>
      <c r="D379" s="3">
        <v>0.59242760000000005</v>
      </c>
      <c r="E379" s="3">
        <v>2.7922884707982076</v>
      </c>
      <c r="F379" s="3">
        <v>177728.28000000003</v>
      </c>
      <c r="G379" s="3">
        <v>22.685569999999998</v>
      </c>
      <c r="H379" s="3">
        <v>22.202909999999999</v>
      </c>
      <c r="I379" s="3">
        <v>20.401440000000001</v>
      </c>
      <c r="J379" s="3">
        <v>19.396940000000001</v>
      </c>
      <c r="K379" s="3">
        <v>18.887540000000001</v>
      </c>
      <c r="L379" s="3">
        <f t="shared" si="50"/>
        <v>0.4826599999999992</v>
      </c>
      <c r="M379" s="3">
        <f t="shared" si="51"/>
        <v>2.2841299999999976</v>
      </c>
      <c r="N379" s="3">
        <f t="shared" si="52"/>
        <v>3.2886299999999977</v>
      </c>
      <c r="O379" s="3">
        <f t="shared" si="53"/>
        <v>3.7980299999999971</v>
      </c>
      <c r="P379" s="3">
        <f t="shared" si="54"/>
        <v>1.8014699999999984</v>
      </c>
      <c r="Q379" s="3">
        <f t="shared" si="55"/>
        <v>2.8059699999999985</v>
      </c>
      <c r="R379" s="3">
        <f t="shared" si="56"/>
        <v>3.3153699999999979</v>
      </c>
      <c r="S379" s="3">
        <f t="shared" si="57"/>
        <v>1.0045000000000002</v>
      </c>
      <c r="T379" s="3">
        <f t="shared" si="58"/>
        <v>1.5138999999999996</v>
      </c>
      <c r="U379" s="3">
        <f t="shared" si="59"/>
        <v>0.50939999999999941</v>
      </c>
    </row>
    <row r="380" spans="1:21" x14ac:dyDescent="0.25">
      <c r="A380" s="3">
        <v>1.23766247369074E+18</v>
      </c>
      <c r="B380" s="3">
        <v>235.953</v>
      </c>
      <c r="C380" s="3">
        <v>36.593406999999999</v>
      </c>
      <c r="D380" s="3">
        <v>0.59282840000000003</v>
      </c>
      <c r="E380" s="3">
        <v>2.905581479108768</v>
      </c>
      <c r="F380" s="3">
        <v>177848.52000000002</v>
      </c>
      <c r="G380" s="3">
        <v>23.041630000000001</v>
      </c>
      <c r="H380" s="3">
        <v>21.96725</v>
      </c>
      <c r="I380" s="3">
        <v>20.61975</v>
      </c>
      <c r="J380" s="3">
        <v>19.644860000000001</v>
      </c>
      <c r="K380" s="3">
        <v>19.189260000000001</v>
      </c>
      <c r="L380" s="3">
        <f t="shared" si="50"/>
        <v>1.0743800000000014</v>
      </c>
      <c r="M380" s="3">
        <f t="shared" si="51"/>
        <v>2.4218800000000016</v>
      </c>
      <c r="N380" s="3">
        <f t="shared" si="52"/>
        <v>3.3967700000000001</v>
      </c>
      <c r="O380" s="3">
        <f t="shared" si="53"/>
        <v>3.8523700000000005</v>
      </c>
      <c r="P380" s="3">
        <f t="shared" si="54"/>
        <v>1.3475000000000001</v>
      </c>
      <c r="Q380" s="3">
        <f t="shared" si="55"/>
        <v>2.3223899999999986</v>
      </c>
      <c r="R380" s="3">
        <f t="shared" si="56"/>
        <v>2.7779899999999991</v>
      </c>
      <c r="S380" s="3">
        <f t="shared" si="57"/>
        <v>0.97488999999999848</v>
      </c>
      <c r="T380" s="3">
        <f t="shared" si="58"/>
        <v>1.4304899999999989</v>
      </c>
      <c r="U380" s="3">
        <f t="shared" si="59"/>
        <v>0.45560000000000045</v>
      </c>
    </row>
    <row r="381" spans="1:21" x14ac:dyDescent="0.25">
      <c r="A381" s="3">
        <v>1.2376625032189E+18</v>
      </c>
      <c r="B381" s="3">
        <v>236.2705</v>
      </c>
      <c r="C381" s="3">
        <v>35.976362999999999</v>
      </c>
      <c r="D381" s="3">
        <v>0.59927739999999996</v>
      </c>
      <c r="E381" s="3">
        <v>0.7261785781961263</v>
      </c>
      <c r="F381" s="3">
        <v>179783.22</v>
      </c>
      <c r="G381" s="3">
        <v>25.201840000000001</v>
      </c>
      <c r="H381" s="3">
        <v>23.011590000000002</v>
      </c>
      <c r="I381" s="3">
        <v>21.513000000000002</v>
      </c>
      <c r="J381" s="3">
        <v>20.451000000000001</v>
      </c>
      <c r="K381" s="3">
        <v>19.785779999999999</v>
      </c>
      <c r="L381" s="3">
        <f t="shared" si="50"/>
        <v>2.1902499999999989</v>
      </c>
      <c r="M381" s="3">
        <f t="shared" si="51"/>
        <v>3.688839999999999</v>
      </c>
      <c r="N381" s="3">
        <f t="shared" si="52"/>
        <v>4.7508400000000002</v>
      </c>
      <c r="O381" s="3">
        <f t="shared" si="53"/>
        <v>5.4160600000000017</v>
      </c>
      <c r="P381" s="3">
        <f t="shared" si="54"/>
        <v>1.4985900000000001</v>
      </c>
      <c r="Q381" s="3">
        <f t="shared" si="55"/>
        <v>2.5605900000000013</v>
      </c>
      <c r="R381" s="3">
        <f t="shared" si="56"/>
        <v>3.2258100000000027</v>
      </c>
      <c r="S381" s="3">
        <f t="shared" si="57"/>
        <v>1.0620000000000012</v>
      </c>
      <c r="T381" s="3">
        <f t="shared" si="58"/>
        <v>1.7272200000000026</v>
      </c>
      <c r="U381" s="3">
        <f t="shared" si="59"/>
        <v>0.66522000000000148</v>
      </c>
    </row>
    <row r="382" spans="1:21" x14ac:dyDescent="0.25">
      <c r="A382" s="3">
        <v>1.2376625037556401E+18</v>
      </c>
      <c r="B382" s="3">
        <v>236.38063</v>
      </c>
      <c r="C382" s="3">
        <v>36.562551999999997</v>
      </c>
      <c r="D382" s="3">
        <v>0.6001263</v>
      </c>
      <c r="E382" s="3">
        <v>2.5142338993698554</v>
      </c>
      <c r="F382" s="3">
        <v>180037.89</v>
      </c>
      <c r="G382" s="3">
        <v>22.12792</v>
      </c>
      <c r="H382" s="3">
        <v>22.12951</v>
      </c>
      <c r="I382" s="3">
        <v>20.69088</v>
      </c>
      <c r="J382" s="3">
        <v>19.83315</v>
      </c>
      <c r="K382" s="3">
        <v>19.49466</v>
      </c>
      <c r="L382" s="3">
        <f t="shared" si="50"/>
        <v>-1.5900000000002024E-3</v>
      </c>
      <c r="M382" s="3">
        <f t="shared" si="51"/>
        <v>1.4370399999999997</v>
      </c>
      <c r="N382" s="3">
        <f t="shared" si="52"/>
        <v>2.2947699999999998</v>
      </c>
      <c r="O382" s="3">
        <f t="shared" si="53"/>
        <v>2.6332599999999999</v>
      </c>
      <c r="P382" s="3">
        <f t="shared" si="54"/>
        <v>1.4386299999999999</v>
      </c>
      <c r="Q382" s="3">
        <f t="shared" si="55"/>
        <v>2.29636</v>
      </c>
      <c r="R382" s="3">
        <f t="shared" si="56"/>
        <v>2.6348500000000001</v>
      </c>
      <c r="S382" s="3">
        <f t="shared" si="57"/>
        <v>0.8577300000000001</v>
      </c>
      <c r="T382" s="3">
        <f t="shared" si="58"/>
        <v>1.1962200000000003</v>
      </c>
      <c r="U382" s="3">
        <f t="shared" si="59"/>
        <v>0.33849000000000018</v>
      </c>
    </row>
    <row r="383" spans="1:21" x14ac:dyDescent="0.25">
      <c r="A383" s="3">
        <v>1.23766233786351E+18</v>
      </c>
      <c r="B383" s="3">
        <v>235.73212000000001</v>
      </c>
      <c r="C383" s="3">
        <v>35.856115000000003</v>
      </c>
      <c r="D383" s="3">
        <v>0.6017247</v>
      </c>
      <c r="E383" s="3">
        <v>2.6276573531857053</v>
      </c>
      <c r="F383" s="3">
        <v>180517.41</v>
      </c>
      <c r="G383" s="3">
        <v>21.565529999999999</v>
      </c>
      <c r="H383" s="3">
        <v>20.824439999999999</v>
      </c>
      <c r="I383" s="3">
        <v>19.814229999999998</v>
      </c>
      <c r="J383" s="3">
        <v>19.108270000000001</v>
      </c>
      <c r="K383" s="3">
        <v>18.443239999999999</v>
      </c>
      <c r="L383" s="3">
        <f t="shared" si="50"/>
        <v>0.7410899999999998</v>
      </c>
      <c r="M383" s="3">
        <f t="shared" si="51"/>
        <v>1.7513000000000005</v>
      </c>
      <c r="N383" s="3">
        <f t="shared" si="52"/>
        <v>2.457259999999998</v>
      </c>
      <c r="O383" s="3">
        <f t="shared" si="53"/>
        <v>3.1222899999999996</v>
      </c>
      <c r="P383" s="3">
        <f t="shared" si="54"/>
        <v>1.0102100000000007</v>
      </c>
      <c r="Q383" s="3">
        <f t="shared" si="55"/>
        <v>1.7161699999999982</v>
      </c>
      <c r="R383" s="3">
        <f t="shared" si="56"/>
        <v>2.3811999999999998</v>
      </c>
      <c r="S383" s="3">
        <f t="shared" si="57"/>
        <v>0.70595999999999748</v>
      </c>
      <c r="T383" s="3">
        <f t="shared" si="58"/>
        <v>1.370989999999999</v>
      </c>
      <c r="U383" s="3">
        <f t="shared" si="59"/>
        <v>0.66503000000000156</v>
      </c>
    </row>
    <row r="384" spans="1:21" x14ac:dyDescent="0.25">
      <c r="A384" s="3">
        <v>1.2376624736909399E+18</v>
      </c>
      <c r="B384" s="3">
        <v>236.33093</v>
      </c>
      <c r="C384" s="3">
        <v>36.296190000000003</v>
      </c>
      <c r="D384" s="3">
        <v>0.60239480000000001</v>
      </c>
      <c r="E384" s="3">
        <v>1.073438315950181</v>
      </c>
      <c r="F384" s="3">
        <v>180718.44</v>
      </c>
      <c r="G384" s="3">
        <v>24.413260000000001</v>
      </c>
      <c r="H384" s="3">
        <v>22.495930000000001</v>
      </c>
      <c r="I384" s="3">
        <v>20.710709999999999</v>
      </c>
      <c r="J384" s="3">
        <v>19.684470000000001</v>
      </c>
      <c r="K384" s="3">
        <v>19.089469999999999</v>
      </c>
      <c r="L384" s="3">
        <f t="shared" si="50"/>
        <v>1.9173299999999998</v>
      </c>
      <c r="M384" s="3">
        <f t="shared" si="51"/>
        <v>3.7025500000000022</v>
      </c>
      <c r="N384" s="3">
        <f t="shared" si="52"/>
        <v>4.72879</v>
      </c>
      <c r="O384" s="3">
        <f t="shared" si="53"/>
        <v>5.3237900000000025</v>
      </c>
      <c r="P384" s="3">
        <f t="shared" si="54"/>
        <v>1.7852200000000025</v>
      </c>
      <c r="Q384" s="3">
        <f t="shared" si="55"/>
        <v>2.8114600000000003</v>
      </c>
      <c r="R384" s="3">
        <f t="shared" si="56"/>
        <v>3.4064600000000027</v>
      </c>
      <c r="S384" s="3">
        <f t="shared" si="57"/>
        <v>1.0262399999999978</v>
      </c>
      <c r="T384" s="3">
        <f t="shared" si="58"/>
        <v>1.6212400000000002</v>
      </c>
      <c r="U384" s="3">
        <f t="shared" si="59"/>
        <v>0.59500000000000242</v>
      </c>
    </row>
    <row r="385" spans="1:21" x14ac:dyDescent="0.25">
      <c r="A385" s="3">
        <v>1.2376624736909399E+18</v>
      </c>
      <c r="B385" s="3">
        <v>236.33093</v>
      </c>
      <c r="C385" s="3">
        <v>36.296190000000003</v>
      </c>
      <c r="D385" s="3">
        <v>0.60253420000000002</v>
      </c>
      <c r="E385" s="3">
        <v>1.073438315950181</v>
      </c>
      <c r="F385" s="3">
        <v>180760.26</v>
      </c>
      <c r="G385" s="3">
        <v>24.413260000000001</v>
      </c>
      <c r="H385" s="3">
        <v>22.495930000000001</v>
      </c>
      <c r="I385" s="3">
        <v>20.710709999999999</v>
      </c>
      <c r="J385" s="3">
        <v>19.684470000000001</v>
      </c>
      <c r="K385" s="3">
        <v>19.089469999999999</v>
      </c>
      <c r="L385" s="3">
        <f t="shared" si="50"/>
        <v>1.9173299999999998</v>
      </c>
      <c r="M385" s="3">
        <f t="shared" si="51"/>
        <v>3.7025500000000022</v>
      </c>
      <c r="N385" s="3">
        <f t="shared" si="52"/>
        <v>4.72879</v>
      </c>
      <c r="O385" s="3">
        <f t="shared" si="53"/>
        <v>5.3237900000000025</v>
      </c>
      <c r="P385" s="3">
        <f t="shared" si="54"/>
        <v>1.7852200000000025</v>
      </c>
      <c r="Q385" s="3">
        <f t="shared" si="55"/>
        <v>2.8114600000000003</v>
      </c>
      <c r="R385" s="3">
        <f t="shared" si="56"/>
        <v>3.4064600000000027</v>
      </c>
      <c r="S385" s="3">
        <f t="shared" si="57"/>
        <v>1.0262399999999978</v>
      </c>
      <c r="T385" s="3">
        <f t="shared" si="58"/>
        <v>1.6212400000000002</v>
      </c>
      <c r="U385" s="3">
        <f t="shared" si="59"/>
        <v>0.59500000000000242</v>
      </c>
    </row>
    <row r="386" spans="1:21" x14ac:dyDescent="0.25">
      <c r="A386" s="3">
        <v>1.2376625032190999E+18</v>
      </c>
      <c r="B386" s="3">
        <v>236.73903999999999</v>
      </c>
      <c r="C386" s="3">
        <v>35.691412</v>
      </c>
      <c r="D386" s="3">
        <v>0.60596910000000004</v>
      </c>
      <c r="E386" s="3">
        <v>3.1201720011035592</v>
      </c>
      <c r="F386" s="3">
        <v>181790.73</v>
      </c>
      <c r="G386" s="3">
        <v>23.886559999999999</v>
      </c>
      <c r="H386" s="3">
        <v>22.201830000000001</v>
      </c>
      <c r="I386" s="3">
        <v>20.796690000000002</v>
      </c>
      <c r="J386" s="3">
        <v>19.85717</v>
      </c>
      <c r="K386" s="3">
        <v>19.382079999999998</v>
      </c>
      <c r="L386" s="3">
        <f t="shared" ref="L386:L449" si="60">G386-H386</f>
        <v>1.6847299999999983</v>
      </c>
      <c r="M386" s="3">
        <f t="shared" ref="M386:M449" si="61">G386-I386</f>
        <v>3.0898699999999977</v>
      </c>
      <c r="N386" s="3">
        <f t="shared" ref="N386:N449" si="62">G386-J386</f>
        <v>4.0293899999999994</v>
      </c>
      <c r="O386" s="3">
        <f t="shared" ref="O386:O449" si="63">G386-K386</f>
        <v>4.5044800000000009</v>
      </c>
      <c r="P386" s="3">
        <f t="shared" ref="P386:P449" si="64">H386-I386</f>
        <v>1.4051399999999994</v>
      </c>
      <c r="Q386" s="3">
        <f t="shared" ref="Q386:Q449" si="65">H386-J386</f>
        <v>2.3446600000000011</v>
      </c>
      <c r="R386" s="3">
        <f t="shared" ref="R386:R449" si="66">H386-K386</f>
        <v>2.8197500000000026</v>
      </c>
      <c r="S386" s="3">
        <f t="shared" ref="S386:S449" si="67">I386-J386</f>
        <v>0.93952000000000169</v>
      </c>
      <c r="T386" s="3">
        <f t="shared" ref="T386:T449" si="68">I386-K386</f>
        <v>1.4146100000000033</v>
      </c>
      <c r="U386" s="3">
        <f t="shared" ref="U386:U449" si="69">J386-K386</f>
        <v>0.47509000000000157</v>
      </c>
    </row>
    <row r="387" spans="1:21" x14ac:dyDescent="0.25">
      <c r="A387" s="3">
        <v>1.2376614659862001E+18</v>
      </c>
      <c r="B387" s="3">
        <v>235.99653000000001</v>
      </c>
      <c r="C387" s="3">
        <v>35.808416000000001</v>
      </c>
      <c r="D387" s="3">
        <v>0.61062159999999999</v>
      </c>
      <c r="E387" s="3">
        <v>1.9561698546450055</v>
      </c>
      <c r="F387" s="3">
        <v>183186.48</v>
      </c>
      <c r="G387" s="3">
        <v>25.896660000000001</v>
      </c>
      <c r="H387" s="3">
        <v>23.22655</v>
      </c>
      <c r="I387" s="3">
        <v>21.691240000000001</v>
      </c>
      <c r="J387" s="3">
        <v>20.494720000000001</v>
      </c>
      <c r="K387" s="3">
        <v>19.84564</v>
      </c>
      <c r="L387" s="3">
        <f t="shared" si="60"/>
        <v>2.6701100000000011</v>
      </c>
      <c r="M387" s="3">
        <f t="shared" si="61"/>
        <v>4.2054200000000002</v>
      </c>
      <c r="N387" s="3">
        <f t="shared" si="62"/>
        <v>5.4019399999999997</v>
      </c>
      <c r="O387" s="3">
        <f t="shared" si="63"/>
        <v>6.0510200000000012</v>
      </c>
      <c r="P387" s="3">
        <f t="shared" si="64"/>
        <v>1.5353099999999991</v>
      </c>
      <c r="Q387" s="3">
        <f t="shared" si="65"/>
        <v>2.7318299999999986</v>
      </c>
      <c r="R387" s="3">
        <f t="shared" si="66"/>
        <v>3.3809100000000001</v>
      </c>
      <c r="S387" s="3">
        <f t="shared" si="67"/>
        <v>1.1965199999999996</v>
      </c>
      <c r="T387" s="3">
        <f t="shared" si="68"/>
        <v>1.845600000000001</v>
      </c>
      <c r="U387" s="3">
        <f t="shared" si="69"/>
        <v>0.64908000000000143</v>
      </c>
    </row>
    <row r="388" spans="1:21" x14ac:dyDescent="0.25">
      <c r="A388" s="3">
        <v>1.23766250375571E+18</v>
      </c>
      <c r="B388" s="3">
        <v>236.41127</v>
      </c>
      <c r="C388" s="3">
        <v>36.389094</v>
      </c>
      <c r="D388" s="3">
        <v>0.61104910000000001</v>
      </c>
      <c r="E388" s="3">
        <v>1.671729770388211</v>
      </c>
      <c r="F388" s="3">
        <v>183314.73</v>
      </c>
      <c r="G388" s="3">
        <v>23.836819999999999</v>
      </c>
      <c r="H388" s="3">
        <v>23.92163</v>
      </c>
      <c r="I388" s="3">
        <v>22.337589999999999</v>
      </c>
      <c r="J388" s="3">
        <v>20.766380000000002</v>
      </c>
      <c r="K388" s="3">
        <v>19.8811</v>
      </c>
      <c r="L388" s="3">
        <f t="shared" si="60"/>
        <v>-8.481000000000094E-2</v>
      </c>
      <c r="M388" s="3">
        <f t="shared" si="61"/>
        <v>1.4992300000000007</v>
      </c>
      <c r="N388" s="3">
        <f t="shared" si="62"/>
        <v>3.0704399999999978</v>
      </c>
      <c r="O388" s="3">
        <f t="shared" si="63"/>
        <v>3.9557199999999995</v>
      </c>
      <c r="P388" s="3">
        <f t="shared" si="64"/>
        <v>1.5840400000000017</v>
      </c>
      <c r="Q388" s="3">
        <f t="shared" si="65"/>
        <v>3.1552499999999988</v>
      </c>
      <c r="R388" s="3">
        <f t="shared" si="66"/>
        <v>4.0405300000000004</v>
      </c>
      <c r="S388" s="3">
        <f t="shared" si="67"/>
        <v>1.5712099999999971</v>
      </c>
      <c r="T388" s="3">
        <f t="shared" si="68"/>
        <v>2.4564899999999987</v>
      </c>
      <c r="U388" s="3">
        <f t="shared" si="69"/>
        <v>0.88528000000000162</v>
      </c>
    </row>
    <row r="389" spans="1:21" x14ac:dyDescent="0.25">
      <c r="A389" s="3">
        <v>1.2376624736910001E+18</v>
      </c>
      <c r="B389" s="3">
        <v>236.40432999999999</v>
      </c>
      <c r="C389" s="3">
        <v>36.202257000000003</v>
      </c>
      <c r="D389" s="3">
        <v>0.61435850000000003</v>
      </c>
      <c r="E389" s="3">
        <v>0.85253914428132227</v>
      </c>
      <c r="F389" s="3">
        <v>184307.55000000002</v>
      </c>
      <c r="G389" s="3">
        <v>22.54749</v>
      </c>
      <c r="H389" s="3">
        <v>21.998100000000001</v>
      </c>
      <c r="I389" s="3">
        <v>20.007110000000001</v>
      </c>
      <c r="J389" s="3">
        <v>18.876940000000001</v>
      </c>
      <c r="K389" s="3">
        <v>18.214939999999999</v>
      </c>
      <c r="L389" s="3">
        <f t="shared" si="60"/>
        <v>0.54938999999999893</v>
      </c>
      <c r="M389" s="3">
        <f t="shared" si="61"/>
        <v>2.540379999999999</v>
      </c>
      <c r="N389" s="3">
        <f t="shared" si="62"/>
        <v>3.6705499999999986</v>
      </c>
      <c r="O389" s="3">
        <f t="shared" si="63"/>
        <v>4.3325500000000012</v>
      </c>
      <c r="P389" s="3">
        <f t="shared" si="64"/>
        <v>1.99099</v>
      </c>
      <c r="Q389" s="3">
        <f t="shared" si="65"/>
        <v>3.1211599999999997</v>
      </c>
      <c r="R389" s="3">
        <f t="shared" si="66"/>
        <v>3.7831600000000023</v>
      </c>
      <c r="S389" s="3">
        <f t="shared" si="67"/>
        <v>1.1301699999999997</v>
      </c>
      <c r="T389" s="3">
        <f t="shared" si="68"/>
        <v>1.7921700000000023</v>
      </c>
      <c r="U389" s="3">
        <f t="shared" si="69"/>
        <v>0.66200000000000259</v>
      </c>
    </row>
    <row r="390" spans="1:21" x14ac:dyDescent="0.25">
      <c r="A390" s="3">
        <v>1.2376624736910001E+18</v>
      </c>
      <c r="B390" s="3">
        <v>236.40432999999999</v>
      </c>
      <c r="C390" s="3">
        <v>36.202257000000003</v>
      </c>
      <c r="D390" s="3">
        <v>0.61459019999999998</v>
      </c>
      <c r="E390" s="3">
        <v>0.85253914428132227</v>
      </c>
      <c r="F390" s="3">
        <v>184377.06</v>
      </c>
      <c r="G390" s="3">
        <v>22.54749</v>
      </c>
      <c r="H390" s="3">
        <v>21.998100000000001</v>
      </c>
      <c r="I390" s="3">
        <v>20.007110000000001</v>
      </c>
      <c r="J390" s="3">
        <v>18.876940000000001</v>
      </c>
      <c r="K390" s="3">
        <v>18.214939999999999</v>
      </c>
      <c r="L390" s="3">
        <f t="shared" si="60"/>
        <v>0.54938999999999893</v>
      </c>
      <c r="M390" s="3">
        <f t="shared" si="61"/>
        <v>2.540379999999999</v>
      </c>
      <c r="N390" s="3">
        <f t="shared" si="62"/>
        <v>3.6705499999999986</v>
      </c>
      <c r="O390" s="3">
        <f t="shared" si="63"/>
        <v>4.3325500000000012</v>
      </c>
      <c r="P390" s="3">
        <f t="shared" si="64"/>
        <v>1.99099</v>
      </c>
      <c r="Q390" s="3">
        <f t="shared" si="65"/>
        <v>3.1211599999999997</v>
      </c>
      <c r="R390" s="3">
        <f t="shared" si="66"/>
        <v>3.7831600000000023</v>
      </c>
      <c r="S390" s="3">
        <f t="shared" si="67"/>
        <v>1.1301699999999997</v>
      </c>
      <c r="T390" s="3">
        <f t="shared" si="68"/>
        <v>1.7921700000000023</v>
      </c>
      <c r="U390" s="3">
        <f t="shared" si="69"/>
        <v>0.66200000000000259</v>
      </c>
    </row>
    <row r="391" spans="1:21" x14ac:dyDescent="0.25">
      <c r="A391" s="3">
        <v>1.2376624736910001E+18</v>
      </c>
      <c r="B391" s="3">
        <v>236.40675999999999</v>
      </c>
      <c r="C391" s="3">
        <v>36.208255000000001</v>
      </c>
      <c r="D391" s="3">
        <v>0.61752399999999996</v>
      </c>
      <c r="E391" s="3">
        <v>0.88032625577412871</v>
      </c>
      <c r="F391" s="3">
        <v>185257.19999999998</v>
      </c>
      <c r="G391" s="3">
        <v>22.100259999999999</v>
      </c>
      <c r="H391" s="3">
        <v>21.613779999999998</v>
      </c>
      <c r="I391" s="3">
        <v>20.087209999999999</v>
      </c>
      <c r="J391" s="3">
        <v>18.959530000000001</v>
      </c>
      <c r="K391" s="3">
        <v>18.440999999999999</v>
      </c>
      <c r="L391" s="3">
        <f t="shared" si="60"/>
        <v>0.48648000000000025</v>
      </c>
      <c r="M391" s="3">
        <f t="shared" si="61"/>
        <v>2.0130499999999998</v>
      </c>
      <c r="N391" s="3">
        <f t="shared" si="62"/>
        <v>3.1407299999999978</v>
      </c>
      <c r="O391" s="3">
        <f t="shared" si="63"/>
        <v>3.6592599999999997</v>
      </c>
      <c r="P391" s="3">
        <f t="shared" si="64"/>
        <v>1.5265699999999995</v>
      </c>
      <c r="Q391" s="3">
        <f t="shared" si="65"/>
        <v>2.6542499999999976</v>
      </c>
      <c r="R391" s="3">
        <f t="shared" si="66"/>
        <v>3.1727799999999995</v>
      </c>
      <c r="S391" s="3">
        <f t="shared" si="67"/>
        <v>1.127679999999998</v>
      </c>
      <c r="T391" s="3">
        <f t="shared" si="68"/>
        <v>1.64621</v>
      </c>
      <c r="U391" s="3">
        <f t="shared" si="69"/>
        <v>0.51853000000000193</v>
      </c>
    </row>
    <row r="392" spans="1:21" x14ac:dyDescent="0.25">
      <c r="A392" s="3">
        <v>1.23766247369087E+18</v>
      </c>
      <c r="B392" s="3">
        <v>236.17</v>
      </c>
      <c r="C392" s="3">
        <v>36.290598000000003</v>
      </c>
      <c r="D392" s="3">
        <v>0.61812180000000005</v>
      </c>
      <c r="E392" s="3">
        <v>1.0319867624093471</v>
      </c>
      <c r="F392" s="3">
        <v>185436.54</v>
      </c>
      <c r="G392" s="3">
        <v>23.972439999999999</v>
      </c>
      <c r="H392" s="3">
        <v>23.187100000000001</v>
      </c>
      <c r="I392" s="3">
        <v>21.467300000000002</v>
      </c>
      <c r="J392" s="3">
        <v>20.365020000000001</v>
      </c>
      <c r="K392" s="3">
        <v>19.71171</v>
      </c>
      <c r="L392" s="3">
        <f t="shared" si="60"/>
        <v>0.78533999999999793</v>
      </c>
      <c r="M392" s="3">
        <f t="shared" si="61"/>
        <v>2.5051399999999973</v>
      </c>
      <c r="N392" s="3">
        <f t="shared" si="62"/>
        <v>3.6074199999999976</v>
      </c>
      <c r="O392" s="3">
        <f t="shared" si="63"/>
        <v>4.2607299999999988</v>
      </c>
      <c r="P392" s="3">
        <f t="shared" si="64"/>
        <v>1.7197999999999993</v>
      </c>
      <c r="Q392" s="3">
        <f t="shared" si="65"/>
        <v>2.8220799999999997</v>
      </c>
      <c r="R392" s="3">
        <f t="shared" si="66"/>
        <v>3.4753900000000009</v>
      </c>
      <c r="S392" s="3">
        <f t="shared" si="67"/>
        <v>1.1022800000000004</v>
      </c>
      <c r="T392" s="3">
        <f t="shared" si="68"/>
        <v>1.7555900000000015</v>
      </c>
      <c r="U392" s="3">
        <f t="shared" si="69"/>
        <v>0.65331000000000117</v>
      </c>
    </row>
    <row r="393" spans="1:21" x14ac:dyDescent="0.25">
      <c r="A393" s="3">
        <v>1.2376625032188401E+18</v>
      </c>
      <c r="B393" s="3">
        <v>236.20054999999999</v>
      </c>
      <c r="C393" s="3">
        <v>36.196964000000001</v>
      </c>
      <c r="D393" s="3">
        <v>0.62161840000000002</v>
      </c>
      <c r="E393" s="3">
        <v>0.5120251199720135</v>
      </c>
      <c r="F393" s="3">
        <v>186485.52000000002</v>
      </c>
      <c r="G393" s="3">
        <v>26.905670000000001</v>
      </c>
      <c r="H393" s="3">
        <v>23.598520000000001</v>
      </c>
      <c r="I393" s="3">
        <v>21.768219999999999</v>
      </c>
      <c r="J393" s="3">
        <v>20.645859999999999</v>
      </c>
      <c r="K393" s="3">
        <v>19.920860000000001</v>
      </c>
      <c r="L393" s="3">
        <f t="shared" si="60"/>
        <v>3.30715</v>
      </c>
      <c r="M393" s="3">
        <f t="shared" si="61"/>
        <v>5.1374500000000012</v>
      </c>
      <c r="N393" s="3">
        <f t="shared" si="62"/>
        <v>6.2598100000000017</v>
      </c>
      <c r="O393" s="3">
        <f t="shared" si="63"/>
        <v>6.9848099999999995</v>
      </c>
      <c r="P393" s="3">
        <f t="shared" si="64"/>
        <v>1.8303000000000011</v>
      </c>
      <c r="Q393" s="3">
        <f t="shared" si="65"/>
        <v>2.9526600000000016</v>
      </c>
      <c r="R393" s="3">
        <f t="shared" si="66"/>
        <v>3.6776599999999995</v>
      </c>
      <c r="S393" s="3">
        <f t="shared" si="67"/>
        <v>1.1223600000000005</v>
      </c>
      <c r="T393" s="3">
        <f t="shared" si="68"/>
        <v>1.8473599999999983</v>
      </c>
      <c r="U393" s="3">
        <f t="shared" si="69"/>
        <v>0.72499999999999787</v>
      </c>
    </row>
    <row r="394" spans="1:21" x14ac:dyDescent="0.25">
      <c r="A394" s="3">
        <v>1.23766247369074E+18</v>
      </c>
      <c r="B394" s="3">
        <v>235.80663000000001</v>
      </c>
      <c r="C394" s="3">
        <v>36.589880000000001</v>
      </c>
      <c r="D394" s="3">
        <v>0.62682689999999996</v>
      </c>
      <c r="E394" s="3">
        <v>3.2200305562274849</v>
      </c>
      <c r="F394" s="3">
        <v>188048.06999999998</v>
      </c>
      <c r="G394" s="3">
        <v>22.466419999999999</v>
      </c>
      <c r="H394" s="3">
        <v>22.654579999999999</v>
      </c>
      <c r="I394" s="3">
        <v>21.021049999999999</v>
      </c>
      <c r="J394" s="3">
        <v>19.915700000000001</v>
      </c>
      <c r="K394" s="3">
        <v>19.599740000000001</v>
      </c>
      <c r="L394" s="3">
        <f t="shared" si="60"/>
        <v>-0.18815999999999988</v>
      </c>
      <c r="M394" s="3">
        <f t="shared" si="61"/>
        <v>1.4453700000000005</v>
      </c>
      <c r="N394" s="3">
        <f t="shared" si="62"/>
        <v>2.5507199999999983</v>
      </c>
      <c r="O394" s="3">
        <f t="shared" si="63"/>
        <v>2.8666799999999988</v>
      </c>
      <c r="P394" s="3">
        <f t="shared" si="64"/>
        <v>1.6335300000000004</v>
      </c>
      <c r="Q394" s="3">
        <f t="shared" si="65"/>
        <v>2.7388799999999982</v>
      </c>
      <c r="R394" s="3">
        <f t="shared" si="66"/>
        <v>3.0548399999999987</v>
      </c>
      <c r="S394" s="3">
        <f t="shared" si="67"/>
        <v>1.1053499999999978</v>
      </c>
      <c r="T394" s="3">
        <f t="shared" si="68"/>
        <v>1.4213099999999983</v>
      </c>
      <c r="U394" s="3">
        <f t="shared" si="69"/>
        <v>0.31596000000000046</v>
      </c>
    </row>
    <row r="395" spans="1:21" x14ac:dyDescent="0.25">
      <c r="A395" s="3">
        <v>1.2376625032186399E+18</v>
      </c>
      <c r="B395" s="3">
        <v>235.72863000000001</v>
      </c>
      <c r="C395" s="3">
        <v>36.440753000000001</v>
      </c>
      <c r="D395" s="3">
        <v>0.62733669999999997</v>
      </c>
      <c r="E395" s="3">
        <v>2.8744703555552467</v>
      </c>
      <c r="F395" s="3">
        <v>188201.00999999998</v>
      </c>
      <c r="G395" s="3">
        <v>23.686859999999999</v>
      </c>
      <c r="H395" s="3">
        <v>24.876010000000001</v>
      </c>
      <c r="I395" s="3">
        <v>21.91732</v>
      </c>
      <c r="J395" s="3">
        <v>20.797360000000001</v>
      </c>
      <c r="K395" s="3">
        <v>19.88937</v>
      </c>
      <c r="L395" s="3">
        <f t="shared" si="60"/>
        <v>-1.1891500000000015</v>
      </c>
      <c r="M395" s="3">
        <f t="shared" si="61"/>
        <v>1.7695399999999992</v>
      </c>
      <c r="N395" s="3">
        <f t="shared" si="62"/>
        <v>2.8894999999999982</v>
      </c>
      <c r="O395" s="3">
        <f t="shared" si="63"/>
        <v>3.7974899999999998</v>
      </c>
      <c r="P395" s="3">
        <f t="shared" si="64"/>
        <v>2.9586900000000007</v>
      </c>
      <c r="Q395" s="3">
        <f t="shared" si="65"/>
        <v>4.0786499999999997</v>
      </c>
      <c r="R395" s="3">
        <f t="shared" si="66"/>
        <v>4.9866400000000013</v>
      </c>
      <c r="S395" s="3">
        <f t="shared" si="67"/>
        <v>1.119959999999999</v>
      </c>
      <c r="T395" s="3">
        <f t="shared" si="68"/>
        <v>2.0279500000000006</v>
      </c>
      <c r="U395" s="3">
        <f t="shared" si="69"/>
        <v>0.90799000000000163</v>
      </c>
    </row>
    <row r="396" spans="1:21" x14ac:dyDescent="0.25">
      <c r="A396" s="3">
        <v>1.23766247315406E+18</v>
      </c>
      <c r="B396" s="3">
        <v>236.05430000000001</v>
      </c>
      <c r="C396" s="3">
        <v>36.013688999999999</v>
      </c>
      <c r="D396" s="3">
        <v>0.62873049999999997</v>
      </c>
      <c r="E396" s="3">
        <v>0.98301697666318077</v>
      </c>
      <c r="F396" s="3">
        <v>188619.15</v>
      </c>
      <c r="G396" s="3">
        <v>26.33164</v>
      </c>
      <c r="H396" s="3">
        <v>22.64302</v>
      </c>
      <c r="I396" s="3">
        <v>21.108699999999999</v>
      </c>
      <c r="J396" s="3">
        <v>19.802399999999999</v>
      </c>
      <c r="K396" s="3">
        <v>19.33661</v>
      </c>
      <c r="L396" s="3">
        <f t="shared" si="60"/>
        <v>3.6886200000000002</v>
      </c>
      <c r="M396" s="3">
        <f t="shared" si="61"/>
        <v>5.2229400000000012</v>
      </c>
      <c r="N396" s="3">
        <f t="shared" si="62"/>
        <v>6.5292400000000015</v>
      </c>
      <c r="O396" s="3">
        <f t="shared" si="63"/>
        <v>6.9950299999999999</v>
      </c>
      <c r="P396" s="3">
        <f t="shared" si="64"/>
        <v>1.534320000000001</v>
      </c>
      <c r="Q396" s="3">
        <f t="shared" si="65"/>
        <v>2.8406200000000013</v>
      </c>
      <c r="R396" s="3">
        <f t="shared" si="66"/>
        <v>3.3064099999999996</v>
      </c>
      <c r="S396" s="3">
        <f t="shared" si="67"/>
        <v>1.3063000000000002</v>
      </c>
      <c r="T396" s="3">
        <f t="shared" si="68"/>
        <v>1.7720899999999986</v>
      </c>
      <c r="U396" s="3">
        <f t="shared" si="69"/>
        <v>0.46578999999999837</v>
      </c>
    </row>
    <row r="397" spans="1:21" x14ac:dyDescent="0.25">
      <c r="A397" s="3">
        <v>1.23766247315406E+18</v>
      </c>
      <c r="B397" s="3">
        <v>236.05430000000001</v>
      </c>
      <c r="C397" s="3">
        <v>36.013688999999999</v>
      </c>
      <c r="D397" s="3">
        <v>0.6288996</v>
      </c>
      <c r="E397" s="3">
        <v>0.98301697666318077</v>
      </c>
      <c r="F397" s="3">
        <v>188669.88</v>
      </c>
      <c r="G397" s="3">
        <v>26.33164</v>
      </c>
      <c r="H397" s="3">
        <v>22.64302</v>
      </c>
      <c r="I397" s="3">
        <v>21.108699999999999</v>
      </c>
      <c r="J397" s="3">
        <v>19.802399999999999</v>
      </c>
      <c r="K397" s="3">
        <v>19.33661</v>
      </c>
      <c r="L397" s="3">
        <f t="shared" si="60"/>
        <v>3.6886200000000002</v>
      </c>
      <c r="M397" s="3">
        <f t="shared" si="61"/>
        <v>5.2229400000000012</v>
      </c>
      <c r="N397" s="3">
        <f t="shared" si="62"/>
        <v>6.5292400000000015</v>
      </c>
      <c r="O397" s="3">
        <f t="shared" si="63"/>
        <v>6.9950299999999999</v>
      </c>
      <c r="P397" s="3">
        <f t="shared" si="64"/>
        <v>1.534320000000001</v>
      </c>
      <c r="Q397" s="3">
        <f t="shared" si="65"/>
        <v>2.8406200000000013</v>
      </c>
      <c r="R397" s="3">
        <f t="shared" si="66"/>
        <v>3.3064099999999996</v>
      </c>
      <c r="S397" s="3">
        <f t="shared" si="67"/>
        <v>1.3063000000000002</v>
      </c>
      <c r="T397" s="3">
        <f t="shared" si="68"/>
        <v>1.7720899999999986</v>
      </c>
      <c r="U397" s="3">
        <f t="shared" si="69"/>
        <v>0.46578999999999837</v>
      </c>
    </row>
    <row r="398" spans="1:21" x14ac:dyDescent="0.25">
      <c r="A398" s="3">
        <v>1.23766247369087E+18</v>
      </c>
      <c r="B398" s="3">
        <v>236.16084000000001</v>
      </c>
      <c r="C398" s="3">
        <v>36.439591</v>
      </c>
      <c r="D398" s="3">
        <v>0.63015180000000004</v>
      </c>
      <c r="E398" s="3">
        <v>1.819657575698616</v>
      </c>
      <c r="F398" s="3">
        <v>189045.54</v>
      </c>
      <c r="G398" s="3">
        <v>23.241009999999999</v>
      </c>
      <c r="H398" s="3">
        <v>22.865089999999999</v>
      </c>
      <c r="I398" s="3">
        <v>21.153960000000001</v>
      </c>
      <c r="J398" s="3">
        <v>19.90381</v>
      </c>
      <c r="K398" s="3">
        <v>19.184159999999999</v>
      </c>
      <c r="L398" s="3">
        <f t="shared" si="60"/>
        <v>0.3759200000000007</v>
      </c>
      <c r="M398" s="3">
        <f t="shared" si="61"/>
        <v>2.0870499999999979</v>
      </c>
      <c r="N398" s="3">
        <f t="shared" si="62"/>
        <v>3.3371999999999993</v>
      </c>
      <c r="O398" s="3">
        <f t="shared" si="63"/>
        <v>4.0568500000000007</v>
      </c>
      <c r="P398" s="3">
        <f t="shared" si="64"/>
        <v>1.7111299999999972</v>
      </c>
      <c r="Q398" s="3">
        <f t="shared" si="65"/>
        <v>2.9612799999999986</v>
      </c>
      <c r="R398" s="3">
        <f t="shared" si="66"/>
        <v>3.68093</v>
      </c>
      <c r="S398" s="3">
        <f t="shared" si="67"/>
        <v>1.2501500000000014</v>
      </c>
      <c r="T398" s="3">
        <f t="shared" si="68"/>
        <v>1.9698000000000029</v>
      </c>
      <c r="U398" s="3">
        <f t="shared" si="69"/>
        <v>0.71965000000000146</v>
      </c>
    </row>
    <row r="399" spans="1:21" x14ac:dyDescent="0.25">
      <c r="A399" s="3">
        <v>1.23766146598607E+18</v>
      </c>
      <c r="B399" s="3">
        <v>235.78863999999999</v>
      </c>
      <c r="C399" s="3">
        <v>36.057056000000003</v>
      </c>
      <c r="D399" s="3">
        <v>0.63020189999999998</v>
      </c>
      <c r="E399" s="3">
        <v>2.0145309867385595</v>
      </c>
      <c r="F399" s="3">
        <v>189060.57</v>
      </c>
      <c r="G399" s="3">
        <v>21.55894</v>
      </c>
      <c r="H399" s="3">
        <v>22.434819999999998</v>
      </c>
      <c r="I399" s="3">
        <v>20.439240000000002</v>
      </c>
      <c r="J399" s="3">
        <v>19.254770000000001</v>
      </c>
      <c r="K399" s="3">
        <v>18.792120000000001</v>
      </c>
      <c r="L399" s="3">
        <f t="shared" si="60"/>
        <v>-0.87587999999999866</v>
      </c>
      <c r="M399" s="3">
        <f t="shared" si="61"/>
        <v>1.1196999999999981</v>
      </c>
      <c r="N399" s="3">
        <f t="shared" si="62"/>
        <v>2.3041699999999992</v>
      </c>
      <c r="O399" s="3">
        <f t="shared" si="63"/>
        <v>2.7668199999999992</v>
      </c>
      <c r="P399" s="3">
        <f t="shared" si="64"/>
        <v>1.9955799999999968</v>
      </c>
      <c r="Q399" s="3">
        <f t="shared" si="65"/>
        <v>3.1800499999999978</v>
      </c>
      <c r="R399" s="3">
        <f t="shared" si="66"/>
        <v>3.6426999999999978</v>
      </c>
      <c r="S399" s="3">
        <f t="shared" si="67"/>
        <v>1.184470000000001</v>
      </c>
      <c r="T399" s="3">
        <f t="shared" si="68"/>
        <v>1.647120000000001</v>
      </c>
      <c r="U399" s="3">
        <f t="shared" si="69"/>
        <v>0.46265000000000001</v>
      </c>
    </row>
    <row r="400" spans="1:21" x14ac:dyDescent="0.25">
      <c r="A400" s="3">
        <v>1.23766247369087E+18</v>
      </c>
      <c r="B400" s="3">
        <v>236.16084000000001</v>
      </c>
      <c r="C400" s="3">
        <v>36.439591</v>
      </c>
      <c r="D400" s="3">
        <v>0.63024000000000002</v>
      </c>
      <c r="E400" s="3">
        <v>1.819657575698616</v>
      </c>
      <c r="F400" s="3">
        <v>189072</v>
      </c>
      <c r="G400" s="3">
        <v>23.241009999999999</v>
      </c>
      <c r="H400" s="3">
        <v>22.865089999999999</v>
      </c>
      <c r="I400" s="3">
        <v>21.153960000000001</v>
      </c>
      <c r="J400" s="3">
        <v>19.90381</v>
      </c>
      <c r="K400" s="3">
        <v>19.184159999999999</v>
      </c>
      <c r="L400" s="3">
        <f t="shared" si="60"/>
        <v>0.3759200000000007</v>
      </c>
      <c r="M400" s="3">
        <f t="shared" si="61"/>
        <v>2.0870499999999979</v>
      </c>
      <c r="N400" s="3">
        <f t="shared" si="62"/>
        <v>3.3371999999999993</v>
      </c>
      <c r="O400" s="3">
        <f t="shared" si="63"/>
        <v>4.0568500000000007</v>
      </c>
      <c r="P400" s="3">
        <f t="shared" si="64"/>
        <v>1.7111299999999972</v>
      </c>
      <c r="Q400" s="3">
        <f t="shared" si="65"/>
        <v>2.9612799999999986</v>
      </c>
      <c r="R400" s="3">
        <f t="shared" si="66"/>
        <v>3.68093</v>
      </c>
      <c r="S400" s="3">
        <f t="shared" si="67"/>
        <v>1.2501500000000014</v>
      </c>
      <c r="T400" s="3">
        <f t="shared" si="68"/>
        <v>1.9698000000000029</v>
      </c>
      <c r="U400" s="3">
        <f t="shared" si="69"/>
        <v>0.71965000000000146</v>
      </c>
    </row>
    <row r="401" spans="1:21" x14ac:dyDescent="0.25">
      <c r="A401" s="3">
        <v>1.2376625037555799E+18</v>
      </c>
      <c r="B401" s="3">
        <v>236.15545</v>
      </c>
      <c r="C401" s="3">
        <v>36.553722999999998</v>
      </c>
      <c r="D401" s="3">
        <v>0.63042010000000004</v>
      </c>
      <c r="E401" s="3">
        <v>2.4295853434253716</v>
      </c>
      <c r="F401" s="3">
        <v>189126.03</v>
      </c>
      <c r="G401" s="3">
        <v>24.141200000000001</v>
      </c>
      <c r="H401" s="3">
        <v>22.625689999999999</v>
      </c>
      <c r="I401" s="3">
        <v>21.17109</v>
      </c>
      <c r="J401" s="3">
        <v>19.965509999999998</v>
      </c>
      <c r="K401" s="3">
        <v>19.397089999999999</v>
      </c>
      <c r="L401" s="3">
        <f t="shared" si="60"/>
        <v>1.5155100000000026</v>
      </c>
      <c r="M401" s="3">
        <f t="shared" si="61"/>
        <v>2.9701100000000018</v>
      </c>
      <c r="N401" s="3">
        <f t="shared" si="62"/>
        <v>4.175690000000003</v>
      </c>
      <c r="O401" s="3">
        <f t="shared" si="63"/>
        <v>4.7441100000000027</v>
      </c>
      <c r="P401" s="3">
        <f t="shared" si="64"/>
        <v>1.4545999999999992</v>
      </c>
      <c r="Q401" s="3">
        <f t="shared" si="65"/>
        <v>2.6601800000000004</v>
      </c>
      <c r="R401" s="3">
        <f t="shared" si="66"/>
        <v>3.2286000000000001</v>
      </c>
      <c r="S401" s="3">
        <f t="shared" si="67"/>
        <v>1.2055800000000012</v>
      </c>
      <c r="T401" s="3">
        <f t="shared" si="68"/>
        <v>1.7740000000000009</v>
      </c>
      <c r="U401" s="3">
        <f t="shared" si="69"/>
        <v>0.5684199999999997</v>
      </c>
    </row>
    <row r="402" spans="1:21" x14ac:dyDescent="0.25">
      <c r="A402" s="3">
        <v>1.23766233786351E+18</v>
      </c>
      <c r="B402" s="3">
        <v>235.71995999999999</v>
      </c>
      <c r="C402" s="3">
        <v>35.916905999999997</v>
      </c>
      <c r="D402" s="3">
        <v>0.63062130000000005</v>
      </c>
      <c r="E402" s="3">
        <v>2.5203579734020018</v>
      </c>
      <c r="F402" s="3">
        <v>189186.39</v>
      </c>
      <c r="G402" s="3">
        <v>24.98574</v>
      </c>
      <c r="H402" s="3">
        <v>22.634419999999999</v>
      </c>
      <c r="I402" s="3">
        <v>21.012810000000002</v>
      </c>
      <c r="J402" s="3">
        <v>19.873270000000002</v>
      </c>
      <c r="K402" s="3">
        <v>19.24409</v>
      </c>
      <c r="L402" s="3">
        <f t="shared" si="60"/>
        <v>2.3513200000000012</v>
      </c>
      <c r="M402" s="3">
        <f t="shared" si="61"/>
        <v>3.9729299999999981</v>
      </c>
      <c r="N402" s="3">
        <f t="shared" si="62"/>
        <v>5.1124699999999983</v>
      </c>
      <c r="O402" s="3">
        <f t="shared" si="63"/>
        <v>5.7416499999999999</v>
      </c>
      <c r="P402" s="3">
        <f t="shared" si="64"/>
        <v>1.6216099999999969</v>
      </c>
      <c r="Q402" s="3">
        <f t="shared" si="65"/>
        <v>2.7611499999999971</v>
      </c>
      <c r="R402" s="3">
        <f t="shared" si="66"/>
        <v>3.3903299999999987</v>
      </c>
      <c r="S402" s="3">
        <f t="shared" si="67"/>
        <v>1.1395400000000002</v>
      </c>
      <c r="T402" s="3">
        <f t="shared" si="68"/>
        <v>1.7687200000000018</v>
      </c>
      <c r="U402" s="3">
        <f t="shared" si="69"/>
        <v>0.62918000000000163</v>
      </c>
    </row>
    <row r="403" spans="1:21" x14ac:dyDescent="0.25">
      <c r="A403" s="3">
        <v>1.2376625032186399E+18</v>
      </c>
      <c r="B403" s="3">
        <v>235.74715</v>
      </c>
      <c r="C403" s="3">
        <v>36.449482000000003</v>
      </c>
      <c r="D403" s="3">
        <v>0.63072620000000001</v>
      </c>
      <c r="E403" s="3">
        <v>2.8419150425879627</v>
      </c>
      <c r="F403" s="3">
        <v>189217.86000000002</v>
      </c>
      <c r="G403" s="3">
        <v>25.65869</v>
      </c>
      <c r="H403" s="3">
        <v>22.618870000000001</v>
      </c>
      <c r="I403" s="3">
        <v>21.18402</v>
      </c>
      <c r="J403" s="3">
        <v>19.973459999999999</v>
      </c>
      <c r="K403" s="3">
        <v>19.33268</v>
      </c>
      <c r="L403" s="3">
        <f t="shared" si="60"/>
        <v>3.0398199999999989</v>
      </c>
      <c r="M403" s="3">
        <f t="shared" si="61"/>
        <v>4.4746699999999997</v>
      </c>
      <c r="N403" s="3">
        <f t="shared" si="62"/>
        <v>5.6852300000000007</v>
      </c>
      <c r="O403" s="3">
        <f t="shared" si="63"/>
        <v>6.3260100000000001</v>
      </c>
      <c r="P403" s="3">
        <f t="shared" si="64"/>
        <v>1.4348500000000008</v>
      </c>
      <c r="Q403" s="3">
        <f t="shared" si="65"/>
        <v>2.6454100000000018</v>
      </c>
      <c r="R403" s="3">
        <f t="shared" si="66"/>
        <v>3.2861900000000013</v>
      </c>
      <c r="S403" s="3">
        <f t="shared" si="67"/>
        <v>1.210560000000001</v>
      </c>
      <c r="T403" s="3">
        <f t="shared" si="68"/>
        <v>1.8513400000000004</v>
      </c>
      <c r="U403" s="3">
        <f t="shared" si="69"/>
        <v>0.64077999999999946</v>
      </c>
    </row>
    <row r="404" spans="1:21" x14ac:dyDescent="0.25">
      <c r="A404" s="3">
        <v>1.2376625032186399E+18</v>
      </c>
      <c r="B404" s="3">
        <v>235.74715</v>
      </c>
      <c r="C404" s="3">
        <v>36.449482000000003</v>
      </c>
      <c r="D404" s="3">
        <v>0.63086900000000001</v>
      </c>
      <c r="E404" s="3">
        <v>2.8419150425879627</v>
      </c>
      <c r="F404" s="3">
        <v>189260.7</v>
      </c>
      <c r="G404" s="3">
        <v>25.65869</v>
      </c>
      <c r="H404" s="3">
        <v>22.618870000000001</v>
      </c>
      <c r="I404" s="3">
        <v>21.18402</v>
      </c>
      <c r="J404" s="3">
        <v>19.973459999999999</v>
      </c>
      <c r="K404" s="3">
        <v>19.33268</v>
      </c>
      <c r="L404" s="3">
        <f t="shared" si="60"/>
        <v>3.0398199999999989</v>
      </c>
      <c r="M404" s="3">
        <f t="shared" si="61"/>
        <v>4.4746699999999997</v>
      </c>
      <c r="N404" s="3">
        <f t="shared" si="62"/>
        <v>5.6852300000000007</v>
      </c>
      <c r="O404" s="3">
        <f t="shared" si="63"/>
        <v>6.3260100000000001</v>
      </c>
      <c r="P404" s="3">
        <f t="shared" si="64"/>
        <v>1.4348500000000008</v>
      </c>
      <c r="Q404" s="3">
        <f t="shared" si="65"/>
        <v>2.6454100000000018</v>
      </c>
      <c r="R404" s="3">
        <f t="shared" si="66"/>
        <v>3.2861900000000013</v>
      </c>
      <c r="S404" s="3">
        <f t="shared" si="67"/>
        <v>1.210560000000001</v>
      </c>
      <c r="T404" s="3">
        <f t="shared" si="68"/>
        <v>1.8513400000000004</v>
      </c>
      <c r="U404" s="3">
        <f t="shared" si="69"/>
        <v>0.64077999999999946</v>
      </c>
    </row>
    <row r="405" spans="1:21" x14ac:dyDescent="0.25">
      <c r="A405" s="3">
        <v>1.23766247422781E+18</v>
      </c>
      <c r="B405" s="3">
        <v>236.56397000000001</v>
      </c>
      <c r="C405" s="3">
        <v>36.598655999999998</v>
      </c>
      <c r="D405" s="3">
        <v>0.63153570000000003</v>
      </c>
      <c r="E405" s="3">
        <v>2.9798869158311199</v>
      </c>
      <c r="F405" s="3">
        <v>189460.71000000002</v>
      </c>
      <c r="G405" s="3">
        <v>23.175249999999998</v>
      </c>
      <c r="H405" s="3">
        <v>23.352239999999998</v>
      </c>
      <c r="I405" s="3">
        <v>21.69952</v>
      </c>
      <c r="J405" s="3">
        <v>20.648240000000001</v>
      </c>
      <c r="K405" s="3">
        <v>19.96414</v>
      </c>
      <c r="L405" s="3">
        <f t="shared" si="60"/>
        <v>-0.17698999999999998</v>
      </c>
      <c r="M405" s="3">
        <f t="shared" si="61"/>
        <v>1.4757299999999987</v>
      </c>
      <c r="N405" s="3">
        <f t="shared" si="62"/>
        <v>2.5270099999999971</v>
      </c>
      <c r="O405" s="3">
        <f t="shared" si="63"/>
        <v>3.2111099999999979</v>
      </c>
      <c r="P405" s="3">
        <f t="shared" si="64"/>
        <v>1.6527199999999986</v>
      </c>
      <c r="Q405" s="3">
        <f t="shared" si="65"/>
        <v>2.7039999999999971</v>
      </c>
      <c r="R405" s="3">
        <f t="shared" si="66"/>
        <v>3.3880999999999979</v>
      </c>
      <c r="S405" s="3">
        <f t="shared" si="67"/>
        <v>1.0512799999999984</v>
      </c>
      <c r="T405" s="3">
        <f t="shared" si="68"/>
        <v>1.7353799999999993</v>
      </c>
      <c r="U405" s="3">
        <f t="shared" si="69"/>
        <v>0.68410000000000082</v>
      </c>
    </row>
    <row r="406" spans="1:21" x14ac:dyDescent="0.25">
      <c r="A406" s="3">
        <v>1.2376625032188301E+18</v>
      </c>
      <c r="B406" s="3">
        <v>236.20272</v>
      </c>
      <c r="C406" s="3">
        <v>36.101491000000003</v>
      </c>
      <c r="D406" s="3">
        <v>0.63277079999999997</v>
      </c>
      <c r="E406" s="3">
        <v>0.19345314818630999</v>
      </c>
      <c r="F406" s="3">
        <v>189831.24</v>
      </c>
      <c r="G406" s="3">
        <v>22.787939999999999</v>
      </c>
      <c r="H406" s="3">
        <v>22.007169999999999</v>
      </c>
      <c r="I406" s="3">
        <v>20.36975</v>
      </c>
      <c r="J406" s="3">
        <v>19.334140000000001</v>
      </c>
      <c r="K406" s="3">
        <v>18.80941</v>
      </c>
      <c r="L406" s="3">
        <f t="shared" si="60"/>
        <v>0.78077000000000041</v>
      </c>
      <c r="M406" s="3">
        <f t="shared" si="61"/>
        <v>2.4181899999999992</v>
      </c>
      <c r="N406" s="3">
        <f t="shared" si="62"/>
        <v>3.4537999999999975</v>
      </c>
      <c r="O406" s="3">
        <f t="shared" si="63"/>
        <v>3.9785299999999992</v>
      </c>
      <c r="P406" s="3">
        <f t="shared" si="64"/>
        <v>1.6374199999999988</v>
      </c>
      <c r="Q406" s="3">
        <f t="shared" si="65"/>
        <v>2.6730299999999971</v>
      </c>
      <c r="R406" s="3">
        <f t="shared" si="66"/>
        <v>3.1977599999999988</v>
      </c>
      <c r="S406" s="3">
        <f t="shared" si="67"/>
        <v>1.0356099999999984</v>
      </c>
      <c r="T406" s="3">
        <f t="shared" si="68"/>
        <v>1.5603400000000001</v>
      </c>
      <c r="U406" s="3">
        <f t="shared" si="69"/>
        <v>0.5247300000000017</v>
      </c>
    </row>
    <row r="407" spans="1:21" x14ac:dyDescent="0.25">
      <c r="A407" s="3">
        <v>1.2376624736910001E+18</v>
      </c>
      <c r="B407" s="3">
        <v>236.48539</v>
      </c>
      <c r="C407" s="3">
        <v>36.315657000000002</v>
      </c>
      <c r="D407" s="3">
        <v>0.6336775</v>
      </c>
      <c r="E407" s="3">
        <v>1.5247301694671824</v>
      </c>
      <c r="F407" s="3">
        <v>190103.25</v>
      </c>
      <c r="G407" s="3">
        <v>23.065950000000001</v>
      </c>
      <c r="H407" s="3">
        <v>23.298100000000002</v>
      </c>
      <c r="I407" s="3">
        <v>21.59581</v>
      </c>
      <c r="J407" s="3">
        <v>20.421230000000001</v>
      </c>
      <c r="K407" s="3">
        <v>19.773250000000001</v>
      </c>
      <c r="L407" s="3">
        <f t="shared" si="60"/>
        <v>-0.23215000000000074</v>
      </c>
      <c r="M407" s="3">
        <f t="shared" si="61"/>
        <v>1.4701400000000007</v>
      </c>
      <c r="N407" s="3">
        <f t="shared" si="62"/>
        <v>2.6447199999999995</v>
      </c>
      <c r="O407" s="3">
        <f t="shared" si="63"/>
        <v>3.2927</v>
      </c>
      <c r="P407" s="3">
        <f t="shared" si="64"/>
        <v>1.7022900000000014</v>
      </c>
      <c r="Q407" s="3">
        <f t="shared" si="65"/>
        <v>2.8768700000000003</v>
      </c>
      <c r="R407" s="3">
        <f t="shared" si="66"/>
        <v>3.5248500000000007</v>
      </c>
      <c r="S407" s="3">
        <f t="shared" si="67"/>
        <v>1.1745799999999988</v>
      </c>
      <c r="T407" s="3">
        <f t="shared" si="68"/>
        <v>1.8225599999999993</v>
      </c>
      <c r="U407" s="3">
        <f t="shared" si="69"/>
        <v>0.64798000000000044</v>
      </c>
    </row>
    <row r="408" spans="1:21" x14ac:dyDescent="0.25">
      <c r="A408" s="3">
        <v>1.2376614659859999E+18</v>
      </c>
      <c r="B408" s="3">
        <v>235.67941999999999</v>
      </c>
      <c r="C408" s="3">
        <v>36.139108</v>
      </c>
      <c r="D408" s="3">
        <v>0.63405750000000005</v>
      </c>
      <c r="E408" s="3">
        <v>2.4748242698702736</v>
      </c>
      <c r="F408" s="3">
        <v>190217.25000000003</v>
      </c>
      <c r="G408" s="3">
        <v>23.89405</v>
      </c>
      <c r="H408" s="3">
        <v>22.781649999999999</v>
      </c>
      <c r="I408" s="3">
        <v>21.11504</v>
      </c>
      <c r="J408" s="3">
        <v>19.95064</v>
      </c>
      <c r="K408" s="3">
        <v>19.441980000000001</v>
      </c>
      <c r="L408" s="3">
        <f t="shared" si="60"/>
        <v>1.1124000000000009</v>
      </c>
      <c r="M408" s="3">
        <f t="shared" si="61"/>
        <v>2.7790099999999995</v>
      </c>
      <c r="N408" s="3">
        <f t="shared" si="62"/>
        <v>3.9434100000000001</v>
      </c>
      <c r="O408" s="3">
        <f t="shared" si="63"/>
        <v>4.4520699999999991</v>
      </c>
      <c r="P408" s="3">
        <f t="shared" si="64"/>
        <v>1.6666099999999986</v>
      </c>
      <c r="Q408" s="3">
        <f t="shared" si="65"/>
        <v>2.8310099999999991</v>
      </c>
      <c r="R408" s="3">
        <f t="shared" si="66"/>
        <v>3.3396699999999981</v>
      </c>
      <c r="S408" s="3">
        <f t="shared" si="67"/>
        <v>1.1644000000000005</v>
      </c>
      <c r="T408" s="3">
        <f t="shared" si="68"/>
        <v>1.6730599999999995</v>
      </c>
      <c r="U408" s="3">
        <f t="shared" si="69"/>
        <v>0.508659999999999</v>
      </c>
    </row>
    <row r="409" spans="1:21" x14ac:dyDescent="0.25">
      <c r="A409" s="3">
        <v>1.23766250375571E+18</v>
      </c>
      <c r="B409" s="3">
        <v>236.57463000000001</v>
      </c>
      <c r="C409" s="3">
        <v>36.423673000000001</v>
      </c>
      <c r="D409" s="3">
        <v>0.63505820000000002</v>
      </c>
      <c r="E409" s="3">
        <v>2.2181368750640553</v>
      </c>
      <c r="F409" s="3">
        <v>190517.46</v>
      </c>
      <c r="G409" s="3">
        <v>22.726310000000002</v>
      </c>
      <c r="H409" s="3">
        <v>21.940989999999999</v>
      </c>
      <c r="I409" s="3">
        <v>20.316780000000001</v>
      </c>
      <c r="J409" s="3">
        <v>19.200859999999999</v>
      </c>
      <c r="K409" s="3">
        <v>18.68169</v>
      </c>
      <c r="L409" s="3">
        <f t="shared" si="60"/>
        <v>0.78532000000000224</v>
      </c>
      <c r="M409" s="3">
        <f t="shared" si="61"/>
        <v>2.4095300000000002</v>
      </c>
      <c r="N409" s="3">
        <f t="shared" si="62"/>
        <v>3.5254500000000029</v>
      </c>
      <c r="O409" s="3">
        <f t="shared" si="63"/>
        <v>4.0446200000000019</v>
      </c>
      <c r="P409" s="3">
        <f t="shared" si="64"/>
        <v>1.6242099999999979</v>
      </c>
      <c r="Q409" s="3">
        <f t="shared" si="65"/>
        <v>2.7401300000000006</v>
      </c>
      <c r="R409" s="3">
        <f t="shared" si="66"/>
        <v>3.2592999999999996</v>
      </c>
      <c r="S409" s="3">
        <f t="shared" si="67"/>
        <v>1.1159200000000027</v>
      </c>
      <c r="T409" s="3">
        <f t="shared" si="68"/>
        <v>1.6350900000000017</v>
      </c>
      <c r="U409" s="3">
        <f t="shared" si="69"/>
        <v>0.51916999999999902</v>
      </c>
    </row>
    <row r="410" spans="1:21" x14ac:dyDescent="0.25">
      <c r="A410" s="3">
        <v>1.23766250375571E+18</v>
      </c>
      <c r="B410" s="3">
        <v>236.57463000000001</v>
      </c>
      <c r="C410" s="3">
        <v>36.423673000000001</v>
      </c>
      <c r="D410" s="3">
        <v>0.63524349999999996</v>
      </c>
      <c r="E410" s="3">
        <v>2.2181368750640553</v>
      </c>
      <c r="F410" s="3">
        <v>190573.05</v>
      </c>
      <c r="G410" s="3">
        <v>22.726310000000002</v>
      </c>
      <c r="H410" s="3">
        <v>21.940989999999999</v>
      </c>
      <c r="I410" s="3">
        <v>20.316780000000001</v>
      </c>
      <c r="J410" s="3">
        <v>19.200859999999999</v>
      </c>
      <c r="K410" s="3">
        <v>18.68169</v>
      </c>
      <c r="L410" s="3">
        <f t="shared" si="60"/>
        <v>0.78532000000000224</v>
      </c>
      <c r="M410" s="3">
        <f t="shared" si="61"/>
        <v>2.4095300000000002</v>
      </c>
      <c r="N410" s="3">
        <f t="shared" si="62"/>
        <v>3.5254500000000029</v>
      </c>
      <c r="O410" s="3">
        <f t="shared" si="63"/>
        <v>4.0446200000000019</v>
      </c>
      <c r="P410" s="3">
        <f t="shared" si="64"/>
        <v>1.6242099999999979</v>
      </c>
      <c r="Q410" s="3">
        <f t="shared" si="65"/>
        <v>2.7401300000000006</v>
      </c>
      <c r="R410" s="3">
        <f t="shared" si="66"/>
        <v>3.2592999999999996</v>
      </c>
      <c r="S410" s="3">
        <f t="shared" si="67"/>
        <v>1.1159200000000027</v>
      </c>
      <c r="T410" s="3">
        <f t="shared" si="68"/>
        <v>1.6350900000000017</v>
      </c>
      <c r="U410" s="3">
        <f t="shared" si="69"/>
        <v>0.51916999999999902</v>
      </c>
    </row>
    <row r="411" spans="1:21" x14ac:dyDescent="0.25">
      <c r="A411" s="3">
        <v>1.2376624731539999E+18</v>
      </c>
      <c r="B411" s="3">
        <v>235.9084</v>
      </c>
      <c r="C411" s="3">
        <v>36.087780000000002</v>
      </c>
      <c r="D411" s="3">
        <v>0.63723180000000001</v>
      </c>
      <c r="E411" s="3">
        <v>1.476622572767933</v>
      </c>
      <c r="F411" s="3">
        <v>191169.54</v>
      </c>
      <c r="G411" s="3">
        <v>23.647770000000001</v>
      </c>
      <c r="H411" s="3">
        <v>22.439209999999999</v>
      </c>
      <c r="I411" s="3">
        <v>21.205970000000001</v>
      </c>
      <c r="J411" s="3">
        <v>20.083320000000001</v>
      </c>
      <c r="K411" s="3">
        <v>19.505030000000001</v>
      </c>
      <c r="L411" s="3">
        <f t="shared" si="60"/>
        <v>1.2085600000000021</v>
      </c>
      <c r="M411" s="3">
        <f t="shared" si="61"/>
        <v>2.4418000000000006</v>
      </c>
      <c r="N411" s="3">
        <f t="shared" si="62"/>
        <v>3.5644500000000008</v>
      </c>
      <c r="O411" s="3">
        <f t="shared" si="63"/>
        <v>4.1427399999999999</v>
      </c>
      <c r="P411" s="3">
        <f t="shared" si="64"/>
        <v>1.2332399999999986</v>
      </c>
      <c r="Q411" s="3">
        <f t="shared" si="65"/>
        <v>2.3558899999999987</v>
      </c>
      <c r="R411" s="3">
        <f t="shared" si="66"/>
        <v>2.9341799999999978</v>
      </c>
      <c r="S411" s="3">
        <f t="shared" si="67"/>
        <v>1.1226500000000001</v>
      </c>
      <c r="T411" s="3">
        <f t="shared" si="68"/>
        <v>1.7009399999999992</v>
      </c>
      <c r="U411" s="3">
        <f t="shared" si="69"/>
        <v>0.57828999999999908</v>
      </c>
    </row>
    <row r="412" spans="1:21" x14ac:dyDescent="0.25">
      <c r="A412" s="3">
        <v>1.2376624731539999E+18</v>
      </c>
      <c r="B412" s="3">
        <v>235.9084</v>
      </c>
      <c r="C412" s="3">
        <v>36.087780000000002</v>
      </c>
      <c r="D412" s="3">
        <v>0.63753910000000003</v>
      </c>
      <c r="E412" s="3">
        <v>1.476622572767933</v>
      </c>
      <c r="F412" s="3">
        <v>191261.73</v>
      </c>
      <c r="G412" s="3">
        <v>23.647770000000001</v>
      </c>
      <c r="H412" s="3">
        <v>22.439209999999999</v>
      </c>
      <c r="I412" s="3">
        <v>21.205970000000001</v>
      </c>
      <c r="J412" s="3">
        <v>20.083320000000001</v>
      </c>
      <c r="K412" s="3">
        <v>19.505030000000001</v>
      </c>
      <c r="L412" s="3">
        <f t="shared" si="60"/>
        <v>1.2085600000000021</v>
      </c>
      <c r="M412" s="3">
        <f t="shared" si="61"/>
        <v>2.4418000000000006</v>
      </c>
      <c r="N412" s="3">
        <f t="shared" si="62"/>
        <v>3.5644500000000008</v>
      </c>
      <c r="O412" s="3">
        <f t="shared" si="63"/>
        <v>4.1427399999999999</v>
      </c>
      <c r="P412" s="3">
        <f t="shared" si="64"/>
        <v>1.2332399999999986</v>
      </c>
      <c r="Q412" s="3">
        <f t="shared" si="65"/>
        <v>2.3558899999999987</v>
      </c>
      <c r="R412" s="3">
        <f t="shared" si="66"/>
        <v>2.9341799999999978</v>
      </c>
      <c r="S412" s="3">
        <f t="shared" si="67"/>
        <v>1.1226500000000001</v>
      </c>
      <c r="T412" s="3">
        <f t="shared" si="68"/>
        <v>1.7009399999999992</v>
      </c>
      <c r="U412" s="3">
        <f t="shared" si="69"/>
        <v>0.57828999999999908</v>
      </c>
    </row>
    <row r="413" spans="1:21" x14ac:dyDescent="0.25">
      <c r="A413" s="3">
        <v>1.2376625032189701E+18</v>
      </c>
      <c r="B413" s="3">
        <v>236.46351000000001</v>
      </c>
      <c r="C413" s="3">
        <v>35.956130999999999</v>
      </c>
      <c r="D413" s="3">
        <v>0.63840030000000003</v>
      </c>
      <c r="E413" s="3">
        <v>1.2593003589025553</v>
      </c>
      <c r="F413" s="3">
        <v>191520.09</v>
      </c>
      <c r="G413" s="3">
        <v>25.165420000000001</v>
      </c>
      <c r="H413" s="3">
        <v>23.251480000000001</v>
      </c>
      <c r="I413" s="3">
        <v>21.391549999999999</v>
      </c>
      <c r="J413" s="3">
        <v>20.088850000000001</v>
      </c>
      <c r="K413" s="3">
        <v>19.425730000000001</v>
      </c>
      <c r="L413" s="3">
        <f t="shared" si="60"/>
        <v>1.9139400000000002</v>
      </c>
      <c r="M413" s="3">
        <f t="shared" si="61"/>
        <v>3.7738700000000023</v>
      </c>
      <c r="N413" s="3">
        <f t="shared" si="62"/>
        <v>5.0765700000000002</v>
      </c>
      <c r="O413" s="3">
        <f t="shared" si="63"/>
        <v>5.7396899999999995</v>
      </c>
      <c r="P413" s="3">
        <f t="shared" si="64"/>
        <v>1.8599300000000021</v>
      </c>
      <c r="Q413" s="3">
        <f t="shared" si="65"/>
        <v>3.1626300000000001</v>
      </c>
      <c r="R413" s="3">
        <f t="shared" si="66"/>
        <v>3.8257499999999993</v>
      </c>
      <c r="S413" s="3">
        <f t="shared" si="67"/>
        <v>1.302699999999998</v>
      </c>
      <c r="T413" s="3">
        <f t="shared" si="68"/>
        <v>1.9658199999999972</v>
      </c>
      <c r="U413" s="3">
        <f t="shared" si="69"/>
        <v>0.66311999999999927</v>
      </c>
    </row>
    <row r="414" spans="1:21" x14ac:dyDescent="0.25">
      <c r="A414" s="3">
        <v>1.2376625032189701E+18</v>
      </c>
      <c r="B414" s="3">
        <v>236.38307</v>
      </c>
      <c r="C414" s="3">
        <v>35.919638999999997</v>
      </c>
      <c r="D414" s="3">
        <v>0.63867180000000001</v>
      </c>
      <c r="E414" s="3">
        <v>1.1863435532858979</v>
      </c>
      <c r="F414" s="3">
        <v>191601.54</v>
      </c>
      <c r="G414" s="3">
        <v>25.220279999999999</v>
      </c>
      <c r="H414" s="3">
        <v>24.547000000000001</v>
      </c>
      <c r="I414" s="3">
        <v>21.25985</v>
      </c>
      <c r="J414" s="3">
        <v>19.864450000000001</v>
      </c>
      <c r="K414" s="3">
        <v>19.33203</v>
      </c>
      <c r="L414" s="3">
        <f t="shared" si="60"/>
        <v>0.67327999999999832</v>
      </c>
      <c r="M414" s="3">
        <f t="shared" si="61"/>
        <v>3.9604299999999988</v>
      </c>
      <c r="N414" s="3">
        <f t="shared" si="62"/>
        <v>5.3558299999999974</v>
      </c>
      <c r="O414" s="3">
        <f t="shared" si="63"/>
        <v>5.8882499999999993</v>
      </c>
      <c r="P414" s="3">
        <f t="shared" si="64"/>
        <v>3.2871500000000005</v>
      </c>
      <c r="Q414" s="3">
        <f t="shared" si="65"/>
        <v>4.6825499999999991</v>
      </c>
      <c r="R414" s="3">
        <f t="shared" si="66"/>
        <v>5.214970000000001</v>
      </c>
      <c r="S414" s="3">
        <f t="shared" si="67"/>
        <v>1.3953999999999986</v>
      </c>
      <c r="T414" s="3">
        <f t="shared" si="68"/>
        <v>1.9278200000000005</v>
      </c>
      <c r="U414" s="3">
        <f t="shared" si="69"/>
        <v>0.53242000000000189</v>
      </c>
    </row>
    <row r="415" spans="1:21" x14ac:dyDescent="0.25">
      <c r="A415" s="3">
        <v>1.23766146598626E+18</v>
      </c>
      <c r="B415" s="3">
        <v>236.13403</v>
      </c>
      <c r="C415" s="3">
        <v>35.749065000000002</v>
      </c>
      <c r="D415" s="3">
        <v>0.64022860000000004</v>
      </c>
      <c r="E415" s="3">
        <v>2.0054635918427728</v>
      </c>
      <c r="F415" s="3">
        <v>192068.58000000002</v>
      </c>
      <c r="G415" s="3">
        <v>23.349150000000002</v>
      </c>
      <c r="H415" s="3">
        <v>22.062889999999999</v>
      </c>
      <c r="I415" s="3">
        <v>20.90728</v>
      </c>
      <c r="J415" s="3">
        <v>19.925930000000001</v>
      </c>
      <c r="K415" s="3">
        <v>19.491910000000001</v>
      </c>
      <c r="L415" s="3">
        <f t="shared" si="60"/>
        <v>1.2862600000000022</v>
      </c>
      <c r="M415" s="3">
        <f t="shared" si="61"/>
        <v>2.4418700000000015</v>
      </c>
      <c r="N415" s="3">
        <f t="shared" si="62"/>
        <v>3.4232200000000006</v>
      </c>
      <c r="O415" s="3">
        <f t="shared" si="63"/>
        <v>3.8572400000000009</v>
      </c>
      <c r="P415" s="3">
        <f t="shared" si="64"/>
        <v>1.1556099999999994</v>
      </c>
      <c r="Q415" s="3">
        <f t="shared" si="65"/>
        <v>2.1369599999999984</v>
      </c>
      <c r="R415" s="3">
        <f t="shared" si="66"/>
        <v>2.5709799999999987</v>
      </c>
      <c r="S415" s="3">
        <f t="shared" si="67"/>
        <v>0.98134999999999906</v>
      </c>
      <c r="T415" s="3">
        <f t="shared" si="68"/>
        <v>1.4153699999999994</v>
      </c>
      <c r="U415" s="3">
        <f t="shared" si="69"/>
        <v>0.43402000000000029</v>
      </c>
    </row>
    <row r="416" spans="1:21" x14ac:dyDescent="0.25">
      <c r="A416" s="3">
        <v>1.23766146598627E+18</v>
      </c>
      <c r="B416" s="3">
        <v>236.17788999999999</v>
      </c>
      <c r="C416" s="3">
        <v>35.799301999999997</v>
      </c>
      <c r="D416" s="3">
        <v>0.64137339999999998</v>
      </c>
      <c r="E416" s="3">
        <v>1.699994606700054</v>
      </c>
      <c r="F416" s="3">
        <v>192412.02</v>
      </c>
      <c r="G416" s="3">
        <v>24.446619999999999</v>
      </c>
      <c r="H416" s="3">
        <v>23.282129999999999</v>
      </c>
      <c r="I416" s="3">
        <v>22.056950000000001</v>
      </c>
      <c r="J416" s="3">
        <v>20.644860000000001</v>
      </c>
      <c r="K416" s="3">
        <v>19.861339999999998</v>
      </c>
      <c r="L416" s="3">
        <f t="shared" si="60"/>
        <v>1.1644900000000007</v>
      </c>
      <c r="M416" s="3">
        <f t="shared" si="61"/>
        <v>2.3896699999999989</v>
      </c>
      <c r="N416" s="3">
        <f t="shared" si="62"/>
        <v>3.801759999999998</v>
      </c>
      <c r="O416" s="3">
        <f t="shared" si="63"/>
        <v>4.5852800000000009</v>
      </c>
      <c r="P416" s="3">
        <f t="shared" si="64"/>
        <v>1.2251799999999982</v>
      </c>
      <c r="Q416" s="3">
        <f t="shared" si="65"/>
        <v>2.6372699999999973</v>
      </c>
      <c r="R416" s="3">
        <f t="shared" si="66"/>
        <v>3.4207900000000002</v>
      </c>
      <c r="S416" s="3">
        <f t="shared" si="67"/>
        <v>1.4120899999999992</v>
      </c>
      <c r="T416" s="3">
        <f t="shared" si="68"/>
        <v>2.1956100000000021</v>
      </c>
      <c r="U416" s="3">
        <f t="shared" si="69"/>
        <v>0.78352000000000288</v>
      </c>
    </row>
    <row r="417" spans="1:21" x14ac:dyDescent="0.25">
      <c r="A417" s="3">
        <v>1.2376624736910001E+18</v>
      </c>
      <c r="B417" s="3">
        <v>236.57861</v>
      </c>
      <c r="C417" s="3">
        <v>36.202573999999998</v>
      </c>
      <c r="D417" s="3">
        <v>0.64257410000000004</v>
      </c>
      <c r="E417" s="3">
        <v>1.5339729191917735</v>
      </c>
      <c r="F417" s="3">
        <v>192772.23</v>
      </c>
      <c r="G417" s="3">
        <v>24.506260000000001</v>
      </c>
      <c r="H417" s="3">
        <v>22.079249999999998</v>
      </c>
      <c r="I417" s="3">
        <v>20.76707</v>
      </c>
      <c r="J417" s="3">
        <v>19.66995</v>
      </c>
      <c r="K417" s="3">
        <v>19.168839999999999</v>
      </c>
      <c r="L417" s="3">
        <f t="shared" si="60"/>
        <v>2.4270100000000028</v>
      </c>
      <c r="M417" s="3">
        <f t="shared" si="61"/>
        <v>3.7391900000000007</v>
      </c>
      <c r="N417" s="3">
        <f t="shared" si="62"/>
        <v>4.836310000000001</v>
      </c>
      <c r="O417" s="3">
        <f t="shared" si="63"/>
        <v>5.3374200000000016</v>
      </c>
      <c r="P417" s="3">
        <f t="shared" si="64"/>
        <v>1.3121799999999979</v>
      </c>
      <c r="Q417" s="3">
        <f t="shared" si="65"/>
        <v>2.4092999999999982</v>
      </c>
      <c r="R417" s="3">
        <f t="shared" si="66"/>
        <v>2.9104099999999988</v>
      </c>
      <c r="S417" s="3">
        <f t="shared" si="67"/>
        <v>1.0971200000000003</v>
      </c>
      <c r="T417" s="3">
        <f t="shared" si="68"/>
        <v>1.5982300000000009</v>
      </c>
      <c r="U417" s="3">
        <f t="shared" si="69"/>
        <v>0.50111000000000061</v>
      </c>
    </row>
    <row r="418" spans="1:21" x14ac:dyDescent="0.25">
      <c r="A418" s="3">
        <v>1.2376624736910001E+18</v>
      </c>
      <c r="B418" s="3">
        <v>236.57861</v>
      </c>
      <c r="C418" s="3">
        <v>36.202573999999998</v>
      </c>
      <c r="D418" s="3">
        <v>0.64261840000000003</v>
      </c>
      <c r="E418" s="3">
        <v>1.5339729191917735</v>
      </c>
      <c r="F418" s="3">
        <v>192785.52000000002</v>
      </c>
      <c r="G418" s="3">
        <v>24.506260000000001</v>
      </c>
      <c r="H418" s="3">
        <v>22.079249999999998</v>
      </c>
      <c r="I418" s="3">
        <v>20.76707</v>
      </c>
      <c r="J418" s="3">
        <v>19.66995</v>
      </c>
      <c r="K418" s="3">
        <v>19.168839999999999</v>
      </c>
      <c r="L418" s="3">
        <f t="shared" si="60"/>
        <v>2.4270100000000028</v>
      </c>
      <c r="M418" s="3">
        <f t="shared" si="61"/>
        <v>3.7391900000000007</v>
      </c>
      <c r="N418" s="3">
        <f t="shared" si="62"/>
        <v>4.836310000000001</v>
      </c>
      <c r="O418" s="3">
        <f t="shared" si="63"/>
        <v>5.3374200000000016</v>
      </c>
      <c r="P418" s="3">
        <f t="shared" si="64"/>
        <v>1.3121799999999979</v>
      </c>
      <c r="Q418" s="3">
        <f t="shared" si="65"/>
        <v>2.4092999999999982</v>
      </c>
      <c r="R418" s="3">
        <f t="shared" si="66"/>
        <v>2.9104099999999988</v>
      </c>
      <c r="S418" s="3">
        <f t="shared" si="67"/>
        <v>1.0971200000000003</v>
      </c>
      <c r="T418" s="3">
        <f t="shared" si="68"/>
        <v>1.5982300000000009</v>
      </c>
      <c r="U418" s="3">
        <f t="shared" si="69"/>
        <v>0.50111000000000061</v>
      </c>
    </row>
    <row r="419" spans="1:21" x14ac:dyDescent="0.25">
      <c r="A419" s="3">
        <v>1.2376624731541299E+18</v>
      </c>
      <c r="B419" s="3">
        <v>236.28894</v>
      </c>
      <c r="C419" s="3">
        <v>35.889907999999998</v>
      </c>
      <c r="D419" s="3">
        <v>0.64264690000000002</v>
      </c>
      <c r="E419" s="3">
        <v>1.1995622045088439</v>
      </c>
      <c r="F419" s="3">
        <v>192794.07</v>
      </c>
      <c r="G419" s="3">
        <v>25.507729999999999</v>
      </c>
      <c r="H419" s="3">
        <v>21.6602</v>
      </c>
      <c r="I419" s="3">
        <v>20.618860000000002</v>
      </c>
      <c r="J419" s="3">
        <v>19.587060000000001</v>
      </c>
      <c r="K419" s="3">
        <v>18.96002</v>
      </c>
      <c r="L419" s="3">
        <f t="shared" si="60"/>
        <v>3.847529999999999</v>
      </c>
      <c r="M419" s="3">
        <f t="shared" si="61"/>
        <v>4.8888699999999972</v>
      </c>
      <c r="N419" s="3">
        <f t="shared" si="62"/>
        <v>5.9206699999999977</v>
      </c>
      <c r="O419" s="3">
        <f t="shared" si="63"/>
        <v>6.5477099999999986</v>
      </c>
      <c r="P419" s="3">
        <f t="shared" si="64"/>
        <v>1.0413399999999982</v>
      </c>
      <c r="Q419" s="3">
        <f t="shared" si="65"/>
        <v>2.0731399999999987</v>
      </c>
      <c r="R419" s="3">
        <f t="shared" si="66"/>
        <v>2.7001799999999996</v>
      </c>
      <c r="S419" s="3">
        <f t="shared" si="67"/>
        <v>1.0318000000000005</v>
      </c>
      <c r="T419" s="3">
        <f t="shared" si="68"/>
        <v>1.6588400000000014</v>
      </c>
      <c r="U419" s="3">
        <f t="shared" si="69"/>
        <v>0.62704000000000093</v>
      </c>
    </row>
    <row r="420" spans="1:21" x14ac:dyDescent="0.25">
      <c r="A420" s="3">
        <v>1.23766247369107E+18</v>
      </c>
      <c r="B420" s="3">
        <v>236.74435</v>
      </c>
      <c r="C420" s="3">
        <v>36.149721999999997</v>
      </c>
      <c r="D420" s="3">
        <v>0.64500740000000001</v>
      </c>
      <c r="E420" s="3">
        <v>2.1830880538913244</v>
      </c>
      <c r="F420" s="3">
        <v>193502.22</v>
      </c>
      <c r="G420" s="3">
        <v>26.494509999999998</v>
      </c>
      <c r="H420" s="3">
        <v>24.247140000000002</v>
      </c>
      <c r="I420" s="3">
        <v>21.279160000000001</v>
      </c>
      <c r="J420" s="3">
        <v>20.040700000000001</v>
      </c>
      <c r="K420" s="3">
        <v>19.509029999999999</v>
      </c>
      <c r="L420" s="3">
        <f t="shared" si="60"/>
        <v>2.2473699999999965</v>
      </c>
      <c r="M420" s="3">
        <f t="shared" si="61"/>
        <v>5.2153499999999973</v>
      </c>
      <c r="N420" s="3">
        <f t="shared" si="62"/>
        <v>6.4538099999999972</v>
      </c>
      <c r="O420" s="3">
        <f t="shared" si="63"/>
        <v>6.985479999999999</v>
      </c>
      <c r="P420" s="3">
        <f t="shared" si="64"/>
        <v>2.9679800000000007</v>
      </c>
      <c r="Q420" s="3">
        <f t="shared" si="65"/>
        <v>4.2064400000000006</v>
      </c>
      <c r="R420" s="3">
        <f t="shared" si="66"/>
        <v>4.7381100000000025</v>
      </c>
      <c r="S420" s="3">
        <f t="shared" si="67"/>
        <v>1.2384599999999999</v>
      </c>
      <c r="T420" s="3">
        <f t="shared" si="68"/>
        <v>1.7701300000000018</v>
      </c>
      <c r="U420" s="3">
        <f t="shared" si="69"/>
        <v>0.53167000000000186</v>
      </c>
    </row>
    <row r="421" spans="1:21" x14ac:dyDescent="0.25">
      <c r="A421" s="3">
        <v>1.2376625032189701E+18</v>
      </c>
      <c r="B421" s="3">
        <v>236.4477</v>
      </c>
      <c r="C421" s="3">
        <v>35.878366</v>
      </c>
      <c r="D421" s="3">
        <v>0.64634170000000002</v>
      </c>
      <c r="E421" s="3">
        <v>1.5267520819350471</v>
      </c>
      <c r="F421" s="3">
        <v>193902.51</v>
      </c>
      <c r="G421" s="3">
        <v>25.07499</v>
      </c>
      <c r="H421" s="3">
        <v>22.98424</v>
      </c>
      <c r="I421" s="3">
        <v>21.239989999999999</v>
      </c>
      <c r="J421" s="3">
        <v>20.061140000000002</v>
      </c>
      <c r="K421" s="3">
        <v>19.36852</v>
      </c>
      <c r="L421" s="3">
        <f t="shared" si="60"/>
        <v>2.0907499999999999</v>
      </c>
      <c r="M421" s="3">
        <f t="shared" si="61"/>
        <v>3.8350000000000009</v>
      </c>
      <c r="N421" s="3">
        <f t="shared" si="62"/>
        <v>5.0138499999999979</v>
      </c>
      <c r="O421" s="3">
        <f t="shared" si="63"/>
        <v>5.7064699999999995</v>
      </c>
      <c r="P421" s="3">
        <f t="shared" si="64"/>
        <v>1.744250000000001</v>
      </c>
      <c r="Q421" s="3">
        <f t="shared" si="65"/>
        <v>2.923099999999998</v>
      </c>
      <c r="R421" s="3">
        <f t="shared" si="66"/>
        <v>3.6157199999999996</v>
      </c>
      <c r="S421" s="3">
        <f t="shared" si="67"/>
        <v>1.1788499999999971</v>
      </c>
      <c r="T421" s="3">
        <f t="shared" si="68"/>
        <v>1.8714699999999986</v>
      </c>
      <c r="U421" s="3">
        <f t="shared" si="69"/>
        <v>0.69262000000000157</v>
      </c>
    </row>
    <row r="422" spans="1:21" x14ac:dyDescent="0.25">
      <c r="A422" s="3">
        <v>1.2376624736910001E+18</v>
      </c>
      <c r="B422" s="3">
        <v>236.46382</v>
      </c>
      <c r="C422" s="3">
        <v>36.181080000000001</v>
      </c>
      <c r="D422" s="3">
        <v>0.64662640000000005</v>
      </c>
      <c r="E422" s="3">
        <v>1.0249625786159391</v>
      </c>
      <c r="F422" s="3">
        <v>193987.92</v>
      </c>
      <c r="G422" s="3">
        <v>23.13017</v>
      </c>
      <c r="H422" s="3">
        <v>21.524349999999998</v>
      </c>
      <c r="I422" s="3">
        <v>20.11692</v>
      </c>
      <c r="J422" s="3">
        <v>19.310020000000002</v>
      </c>
      <c r="K422" s="3">
        <v>19.001539999999999</v>
      </c>
      <c r="L422" s="3">
        <f t="shared" si="60"/>
        <v>1.6058200000000014</v>
      </c>
      <c r="M422" s="3">
        <f t="shared" si="61"/>
        <v>3.0132499999999993</v>
      </c>
      <c r="N422" s="3">
        <f t="shared" si="62"/>
        <v>3.8201499999999982</v>
      </c>
      <c r="O422" s="3">
        <f t="shared" si="63"/>
        <v>4.1286300000000011</v>
      </c>
      <c r="P422" s="3">
        <f t="shared" si="64"/>
        <v>1.407429999999998</v>
      </c>
      <c r="Q422" s="3">
        <f t="shared" si="65"/>
        <v>2.2143299999999968</v>
      </c>
      <c r="R422" s="3">
        <f t="shared" si="66"/>
        <v>2.5228099999999998</v>
      </c>
      <c r="S422" s="3">
        <f t="shared" si="67"/>
        <v>0.80689999999999884</v>
      </c>
      <c r="T422" s="3">
        <f t="shared" si="68"/>
        <v>1.1153800000000018</v>
      </c>
      <c r="U422" s="3">
        <f t="shared" si="69"/>
        <v>0.30848000000000297</v>
      </c>
    </row>
    <row r="423" spans="1:21" x14ac:dyDescent="0.25">
      <c r="A423" s="3">
        <v>1.2376624736910001E+18</v>
      </c>
      <c r="B423" s="3">
        <v>236.46382</v>
      </c>
      <c r="C423" s="3">
        <v>36.181080000000001</v>
      </c>
      <c r="D423" s="3">
        <v>0.64669359999999998</v>
      </c>
      <c r="E423" s="3">
        <v>1.0249625786159391</v>
      </c>
      <c r="F423" s="3">
        <v>194008.08</v>
      </c>
      <c r="G423" s="3">
        <v>23.13017</v>
      </c>
      <c r="H423" s="3">
        <v>21.524349999999998</v>
      </c>
      <c r="I423" s="3">
        <v>20.11692</v>
      </c>
      <c r="J423" s="3">
        <v>19.310020000000002</v>
      </c>
      <c r="K423" s="3">
        <v>19.001539999999999</v>
      </c>
      <c r="L423" s="3">
        <f t="shared" si="60"/>
        <v>1.6058200000000014</v>
      </c>
      <c r="M423" s="3">
        <f t="shared" si="61"/>
        <v>3.0132499999999993</v>
      </c>
      <c r="N423" s="3">
        <f t="shared" si="62"/>
        <v>3.8201499999999982</v>
      </c>
      <c r="O423" s="3">
        <f t="shared" si="63"/>
        <v>4.1286300000000011</v>
      </c>
      <c r="P423" s="3">
        <f t="shared" si="64"/>
        <v>1.407429999999998</v>
      </c>
      <c r="Q423" s="3">
        <f t="shared" si="65"/>
        <v>2.2143299999999968</v>
      </c>
      <c r="R423" s="3">
        <f t="shared" si="66"/>
        <v>2.5228099999999998</v>
      </c>
      <c r="S423" s="3">
        <f t="shared" si="67"/>
        <v>0.80689999999999884</v>
      </c>
      <c r="T423" s="3">
        <f t="shared" si="68"/>
        <v>1.1153800000000018</v>
      </c>
      <c r="U423" s="3">
        <f t="shared" si="69"/>
        <v>0.30848000000000297</v>
      </c>
    </row>
    <row r="424" spans="1:21" x14ac:dyDescent="0.25">
      <c r="A424" s="3">
        <v>1.23766247422787E+18</v>
      </c>
      <c r="B424" s="3">
        <v>236.73444000000001</v>
      </c>
      <c r="C424" s="3">
        <v>36.491458999999999</v>
      </c>
      <c r="D424" s="3">
        <v>0.64683619999999997</v>
      </c>
      <c r="E424" s="3">
        <v>2.9602359797899123</v>
      </c>
      <c r="F424" s="3">
        <v>194050.86</v>
      </c>
      <c r="G424" s="3">
        <v>24.64377</v>
      </c>
      <c r="H424" s="3">
        <v>22.339210000000001</v>
      </c>
      <c r="I424" s="3">
        <v>20.696149999999999</v>
      </c>
      <c r="J424" s="3">
        <v>19.667529999999999</v>
      </c>
      <c r="K424" s="3">
        <v>19.393460000000001</v>
      </c>
      <c r="L424" s="3">
        <f t="shared" si="60"/>
        <v>2.3045599999999986</v>
      </c>
      <c r="M424" s="3">
        <f t="shared" si="61"/>
        <v>3.9476200000000006</v>
      </c>
      <c r="N424" s="3">
        <f t="shared" si="62"/>
        <v>4.9762400000000007</v>
      </c>
      <c r="O424" s="3">
        <f t="shared" si="63"/>
        <v>5.2503099999999989</v>
      </c>
      <c r="P424" s="3">
        <f t="shared" si="64"/>
        <v>1.643060000000002</v>
      </c>
      <c r="Q424" s="3">
        <f t="shared" si="65"/>
        <v>2.6716800000000021</v>
      </c>
      <c r="R424" s="3">
        <f t="shared" si="66"/>
        <v>2.9457500000000003</v>
      </c>
      <c r="S424" s="3">
        <f t="shared" si="67"/>
        <v>1.0286200000000001</v>
      </c>
      <c r="T424" s="3">
        <f t="shared" si="68"/>
        <v>1.3026899999999983</v>
      </c>
      <c r="U424" s="3">
        <f t="shared" si="69"/>
        <v>0.27406999999999826</v>
      </c>
    </row>
    <row r="425" spans="1:21" x14ac:dyDescent="0.25">
      <c r="A425" s="3">
        <v>1.2376624731541299E+18</v>
      </c>
      <c r="B425" s="3">
        <v>236.29131000000001</v>
      </c>
      <c r="C425" s="3">
        <v>35.892977999999999</v>
      </c>
      <c r="D425" s="3">
        <v>0.64851650000000005</v>
      </c>
      <c r="E425" s="3">
        <v>1.1848850390664381</v>
      </c>
      <c r="F425" s="3">
        <v>194554.95</v>
      </c>
      <c r="G425" s="3">
        <v>22.75103</v>
      </c>
      <c r="H425" s="3">
        <v>21.963709999999999</v>
      </c>
      <c r="I425" s="3">
        <v>20.191330000000001</v>
      </c>
      <c r="J425" s="3">
        <v>18.931190000000001</v>
      </c>
      <c r="K425" s="3">
        <v>18.34703</v>
      </c>
      <c r="L425" s="3">
        <f t="shared" si="60"/>
        <v>0.78732000000000113</v>
      </c>
      <c r="M425" s="3">
        <f t="shared" si="61"/>
        <v>2.5596999999999994</v>
      </c>
      <c r="N425" s="3">
        <f t="shared" si="62"/>
        <v>3.8198399999999992</v>
      </c>
      <c r="O425" s="3">
        <f t="shared" si="63"/>
        <v>4.4039999999999999</v>
      </c>
      <c r="P425" s="3">
        <f t="shared" si="64"/>
        <v>1.7723799999999983</v>
      </c>
      <c r="Q425" s="3">
        <f t="shared" si="65"/>
        <v>3.0325199999999981</v>
      </c>
      <c r="R425" s="3">
        <f t="shared" si="66"/>
        <v>3.6166799999999988</v>
      </c>
      <c r="S425" s="3">
        <f t="shared" si="67"/>
        <v>1.2601399999999998</v>
      </c>
      <c r="T425" s="3">
        <f t="shared" si="68"/>
        <v>1.8443000000000005</v>
      </c>
      <c r="U425" s="3">
        <f t="shared" si="69"/>
        <v>0.58416000000000068</v>
      </c>
    </row>
    <row r="426" spans="1:21" x14ac:dyDescent="0.25">
      <c r="A426" s="3">
        <v>1.2376614659861299E+18</v>
      </c>
      <c r="B426" s="3">
        <v>235.85878</v>
      </c>
      <c r="C426" s="3">
        <v>35.840904999999999</v>
      </c>
      <c r="D426" s="3">
        <v>0.65060560000000001</v>
      </c>
      <c r="E426" s="3">
        <v>2.227078176634643</v>
      </c>
      <c r="F426" s="3">
        <v>195181.68</v>
      </c>
      <c r="G426" s="3">
        <v>25.222370000000002</v>
      </c>
      <c r="H426" s="3">
        <v>23.450880000000002</v>
      </c>
      <c r="I426" s="3">
        <v>21.267489999999999</v>
      </c>
      <c r="J426" s="3">
        <v>19.98565</v>
      </c>
      <c r="K426" s="3">
        <v>19.345770000000002</v>
      </c>
      <c r="L426" s="3">
        <f t="shared" si="60"/>
        <v>1.77149</v>
      </c>
      <c r="M426" s="3">
        <f t="shared" si="61"/>
        <v>3.9548800000000028</v>
      </c>
      <c r="N426" s="3">
        <f t="shared" si="62"/>
        <v>5.2367200000000018</v>
      </c>
      <c r="O426" s="3">
        <f t="shared" si="63"/>
        <v>5.8765999999999998</v>
      </c>
      <c r="P426" s="3">
        <f t="shared" si="64"/>
        <v>2.1833900000000028</v>
      </c>
      <c r="Q426" s="3">
        <f t="shared" si="65"/>
        <v>3.4652300000000018</v>
      </c>
      <c r="R426" s="3">
        <f t="shared" si="66"/>
        <v>4.1051099999999998</v>
      </c>
      <c r="S426" s="3">
        <f t="shared" si="67"/>
        <v>1.281839999999999</v>
      </c>
      <c r="T426" s="3">
        <f t="shared" si="68"/>
        <v>1.921719999999997</v>
      </c>
      <c r="U426" s="3">
        <f t="shared" si="69"/>
        <v>0.63987999999999801</v>
      </c>
    </row>
    <row r="427" spans="1:21" x14ac:dyDescent="0.25">
      <c r="A427" s="3">
        <v>1.2376614659862001E+18</v>
      </c>
      <c r="B427" s="3">
        <v>235.98567</v>
      </c>
      <c r="C427" s="3">
        <v>35.785175000000002</v>
      </c>
      <c r="D427" s="3">
        <v>0.65082850000000003</v>
      </c>
      <c r="E427" s="3">
        <v>2.0870724942990013</v>
      </c>
      <c r="F427" s="3">
        <v>195248.55000000002</v>
      </c>
      <c r="G427" s="3">
        <v>26.266749999999998</v>
      </c>
      <c r="H427" s="3">
        <v>23.039850000000001</v>
      </c>
      <c r="I427" s="3">
        <v>20.88137</v>
      </c>
      <c r="J427" s="3">
        <v>19.623180000000001</v>
      </c>
      <c r="K427" s="3">
        <v>19.202780000000001</v>
      </c>
      <c r="L427" s="3">
        <f t="shared" si="60"/>
        <v>3.226899999999997</v>
      </c>
      <c r="M427" s="3">
        <f t="shared" si="61"/>
        <v>5.3853799999999978</v>
      </c>
      <c r="N427" s="3">
        <f t="shared" si="62"/>
        <v>6.6435699999999969</v>
      </c>
      <c r="O427" s="3">
        <f t="shared" si="63"/>
        <v>7.0639699999999976</v>
      </c>
      <c r="P427" s="3">
        <f t="shared" si="64"/>
        <v>2.1584800000000008</v>
      </c>
      <c r="Q427" s="3">
        <f t="shared" si="65"/>
        <v>3.4166699999999999</v>
      </c>
      <c r="R427" s="3">
        <f t="shared" si="66"/>
        <v>3.8370700000000006</v>
      </c>
      <c r="S427" s="3">
        <f t="shared" si="67"/>
        <v>1.258189999999999</v>
      </c>
      <c r="T427" s="3">
        <f t="shared" si="68"/>
        <v>1.6785899999999998</v>
      </c>
      <c r="U427" s="3">
        <f t="shared" si="69"/>
        <v>0.42040000000000077</v>
      </c>
    </row>
    <row r="428" spans="1:21" x14ac:dyDescent="0.25">
      <c r="A428" s="3">
        <v>1.2376614659862001E+18</v>
      </c>
      <c r="B428" s="3">
        <v>235.98567</v>
      </c>
      <c r="C428" s="3">
        <v>35.785175000000002</v>
      </c>
      <c r="D428" s="3">
        <v>0.65089680000000005</v>
      </c>
      <c r="E428" s="3">
        <v>2.0870724942990013</v>
      </c>
      <c r="F428" s="3">
        <v>195269.04</v>
      </c>
      <c r="G428" s="3">
        <v>26.266749999999998</v>
      </c>
      <c r="H428" s="3">
        <v>23.039850000000001</v>
      </c>
      <c r="I428" s="3">
        <v>20.88137</v>
      </c>
      <c r="J428" s="3">
        <v>19.623180000000001</v>
      </c>
      <c r="K428" s="3">
        <v>19.202780000000001</v>
      </c>
      <c r="L428" s="3">
        <f t="shared" si="60"/>
        <v>3.226899999999997</v>
      </c>
      <c r="M428" s="3">
        <f t="shared" si="61"/>
        <v>5.3853799999999978</v>
      </c>
      <c r="N428" s="3">
        <f t="shared" si="62"/>
        <v>6.6435699999999969</v>
      </c>
      <c r="O428" s="3">
        <f t="shared" si="63"/>
        <v>7.0639699999999976</v>
      </c>
      <c r="P428" s="3">
        <f t="shared" si="64"/>
        <v>2.1584800000000008</v>
      </c>
      <c r="Q428" s="3">
        <f t="shared" si="65"/>
        <v>3.4166699999999999</v>
      </c>
      <c r="R428" s="3">
        <f t="shared" si="66"/>
        <v>3.8370700000000006</v>
      </c>
      <c r="S428" s="3">
        <f t="shared" si="67"/>
        <v>1.258189999999999</v>
      </c>
      <c r="T428" s="3">
        <f t="shared" si="68"/>
        <v>1.6785899999999998</v>
      </c>
      <c r="U428" s="3">
        <f t="shared" si="69"/>
        <v>0.42040000000000077</v>
      </c>
    </row>
    <row r="429" spans="1:21" x14ac:dyDescent="0.25">
      <c r="A429" s="3">
        <v>1.2376614659863301E+18</v>
      </c>
      <c r="B429" s="3">
        <v>236.41499999999999</v>
      </c>
      <c r="C429" s="3">
        <v>35.778846999999999</v>
      </c>
      <c r="D429" s="3">
        <v>0.65719640000000001</v>
      </c>
      <c r="E429" s="3">
        <v>1.930939751191679</v>
      </c>
      <c r="F429" s="3">
        <v>197158.92</v>
      </c>
      <c r="G429" s="3">
        <v>24.605399999999999</v>
      </c>
      <c r="H429" s="3">
        <v>23.348649999999999</v>
      </c>
      <c r="I429" s="3">
        <v>20.87726</v>
      </c>
      <c r="J429" s="3">
        <v>19.724</v>
      </c>
      <c r="K429" s="3">
        <v>19.153199999999998</v>
      </c>
      <c r="L429" s="3">
        <f t="shared" si="60"/>
        <v>1.2567500000000003</v>
      </c>
      <c r="M429" s="3">
        <f t="shared" si="61"/>
        <v>3.7281399999999998</v>
      </c>
      <c r="N429" s="3">
        <f t="shared" si="62"/>
        <v>4.8813999999999993</v>
      </c>
      <c r="O429" s="3">
        <f t="shared" si="63"/>
        <v>5.4522000000000013</v>
      </c>
      <c r="P429" s="3">
        <f t="shared" si="64"/>
        <v>2.4713899999999995</v>
      </c>
      <c r="Q429" s="3">
        <f t="shared" si="65"/>
        <v>3.624649999999999</v>
      </c>
      <c r="R429" s="3">
        <f t="shared" si="66"/>
        <v>4.195450000000001</v>
      </c>
      <c r="S429" s="3">
        <f t="shared" si="67"/>
        <v>1.1532599999999995</v>
      </c>
      <c r="T429" s="3">
        <f t="shared" si="68"/>
        <v>1.7240600000000015</v>
      </c>
      <c r="U429" s="3">
        <f t="shared" si="69"/>
        <v>0.57080000000000197</v>
      </c>
    </row>
    <row r="430" spans="1:21" x14ac:dyDescent="0.25">
      <c r="A430" s="3">
        <v>1.2376624731539999E+18</v>
      </c>
      <c r="B430" s="3">
        <v>235.88373999999999</v>
      </c>
      <c r="C430" s="3">
        <v>36.154041999999997</v>
      </c>
      <c r="D430" s="3">
        <v>0.66040239999999995</v>
      </c>
      <c r="E430" s="3">
        <v>1.5970684882866566</v>
      </c>
      <c r="F430" s="3">
        <v>198120.71999999997</v>
      </c>
      <c r="G430" s="3">
        <v>26.07517</v>
      </c>
      <c r="H430" s="3">
        <v>21.954529999999998</v>
      </c>
      <c r="I430" s="3">
        <v>20.302040000000002</v>
      </c>
      <c r="J430" s="3">
        <v>19.139880000000002</v>
      </c>
      <c r="K430" s="3">
        <v>18.719629999999999</v>
      </c>
      <c r="L430" s="3">
        <f t="shared" si="60"/>
        <v>4.1206400000000016</v>
      </c>
      <c r="M430" s="3">
        <f t="shared" si="61"/>
        <v>5.7731299999999983</v>
      </c>
      <c r="N430" s="3">
        <f t="shared" si="62"/>
        <v>6.9352899999999984</v>
      </c>
      <c r="O430" s="3">
        <f t="shared" si="63"/>
        <v>7.3555400000000013</v>
      </c>
      <c r="P430" s="3">
        <f t="shared" si="64"/>
        <v>1.6524899999999967</v>
      </c>
      <c r="Q430" s="3">
        <f t="shared" si="65"/>
        <v>2.8146499999999968</v>
      </c>
      <c r="R430" s="3">
        <f t="shared" si="66"/>
        <v>3.2348999999999997</v>
      </c>
      <c r="S430" s="3">
        <f t="shared" si="67"/>
        <v>1.1621600000000001</v>
      </c>
      <c r="T430" s="3">
        <f t="shared" si="68"/>
        <v>1.582410000000003</v>
      </c>
      <c r="U430" s="3">
        <f t="shared" si="69"/>
        <v>0.4202500000000029</v>
      </c>
    </row>
    <row r="431" spans="1:21" x14ac:dyDescent="0.25">
      <c r="A431" s="3">
        <v>1.2376614654493299E+18</v>
      </c>
      <c r="B431" s="3">
        <v>235.80443</v>
      </c>
      <c r="C431" s="3">
        <v>35.610607999999999</v>
      </c>
      <c r="D431" s="3">
        <v>0.66201560000000004</v>
      </c>
      <c r="E431" s="3">
        <v>3.3131765962869761</v>
      </c>
      <c r="F431" s="3">
        <v>198604.68000000002</v>
      </c>
      <c r="G431" s="3">
        <v>22.495850000000001</v>
      </c>
      <c r="H431" s="3">
        <v>21.839279999999999</v>
      </c>
      <c r="I431" s="3">
        <v>20.711459999999999</v>
      </c>
      <c r="J431" s="3">
        <v>19.7471</v>
      </c>
      <c r="K431" s="3">
        <v>19.3826</v>
      </c>
      <c r="L431" s="3">
        <f t="shared" si="60"/>
        <v>0.6565700000000021</v>
      </c>
      <c r="M431" s="3">
        <f t="shared" si="61"/>
        <v>1.7843900000000019</v>
      </c>
      <c r="N431" s="3">
        <f t="shared" si="62"/>
        <v>2.7487500000000011</v>
      </c>
      <c r="O431" s="3">
        <f t="shared" si="63"/>
        <v>3.1132500000000007</v>
      </c>
      <c r="P431" s="3">
        <f t="shared" si="64"/>
        <v>1.1278199999999998</v>
      </c>
      <c r="Q431" s="3">
        <f t="shared" si="65"/>
        <v>2.092179999999999</v>
      </c>
      <c r="R431" s="3">
        <f t="shared" si="66"/>
        <v>2.4566799999999986</v>
      </c>
      <c r="S431" s="3">
        <f t="shared" si="67"/>
        <v>0.96435999999999922</v>
      </c>
      <c r="T431" s="3">
        <f t="shared" si="68"/>
        <v>1.3288599999999988</v>
      </c>
      <c r="U431" s="3">
        <f t="shared" si="69"/>
        <v>0.3644999999999996</v>
      </c>
    </row>
    <row r="432" spans="1:21" x14ac:dyDescent="0.25">
      <c r="A432" s="3">
        <v>1.2376624731541299E+18</v>
      </c>
      <c r="B432" s="3">
        <v>236.28149999999999</v>
      </c>
      <c r="C432" s="3">
        <v>35.901161000000002</v>
      </c>
      <c r="D432" s="3">
        <v>0.66563930000000004</v>
      </c>
      <c r="E432" s="3">
        <v>1.1347264690310301</v>
      </c>
      <c r="F432" s="3">
        <v>199691.79</v>
      </c>
      <c r="G432" s="3">
        <v>22.81305</v>
      </c>
      <c r="H432" s="3">
        <v>21.963370000000001</v>
      </c>
      <c r="I432" s="3">
        <v>20.733059999999998</v>
      </c>
      <c r="J432" s="3">
        <v>19.624890000000001</v>
      </c>
      <c r="K432" s="3">
        <v>19.24455</v>
      </c>
      <c r="L432" s="3">
        <f t="shared" si="60"/>
        <v>0.84967999999999932</v>
      </c>
      <c r="M432" s="3">
        <f t="shared" si="61"/>
        <v>2.0799900000000022</v>
      </c>
      <c r="N432" s="3">
        <f t="shared" si="62"/>
        <v>3.1881599999999999</v>
      </c>
      <c r="O432" s="3">
        <f t="shared" si="63"/>
        <v>3.5685000000000002</v>
      </c>
      <c r="P432" s="3">
        <f t="shared" si="64"/>
        <v>1.2303100000000029</v>
      </c>
      <c r="Q432" s="3">
        <f t="shared" si="65"/>
        <v>2.3384800000000006</v>
      </c>
      <c r="R432" s="3">
        <f t="shared" si="66"/>
        <v>2.7188200000000009</v>
      </c>
      <c r="S432" s="3">
        <f t="shared" si="67"/>
        <v>1.1081699999999977</v>
      </c>
      <c r="T432" s="3">
        <f t="shared" si="68"/>
        <v>1.488509999999998</v>
      </c>
      <c r="U432" s="3">
        <f t="shared" si="69"/>
        <v>0.38034000000000034</v>
      </c>
    </row>
    <row r="433" spans="1:21" x14ac:dyDescent="0.25">
      <c r="A433" s="3">
        <v>1.2376624736909399E+18</v>
      </c>
      <c r="B433" s="3">
        <v>236.27891</v>
      </c>
      <c r="C433" s="3">
        <v>36.204389999999997</v>
      </c>
      <c r="D433" s="3">
        <v>0.68821540000000003</v>
      </c>
      <c r="E433" s="3">
        <v>0.53199962463867612</v>
      </c>
      <c r="F433" s="3">
        <v>206464.62</v>
      </c>
      <c r="G433" s="3">
        <v>25.82544</v>
      </c>
      <c r="H433" s="3">
        <v>22.696650000000002</v>
      </c>
      <c r="I433" s="3">
        <v>21.238150000000001</v>
      </c>
      <c r="J433" s="3">
        <v>19.885370000000002</v>
      </c>
      <c r="K433" s="3">
        <v>19.383800000000001</v>
      </c>
      <c r="L433" s="3">
        <f t="shared" si="60"/>
        <v>3.1287899999999986</v>
      </c>
      <c r="M433" s="3">
        <f t="shared" si="61"/>
        <v>4.5872899999999994</v>
      </c>
      <c r="N433" s="3">
        <f t="shared" si="62"/>
        <v>5.9400699999999986</v>
      </c>
      <c r="O433" s="3">
        <f t="shared" si="63"/>
        <v>6.4416399999999996</v>
      </c>
      <c r="P433" s="3">
        <f t="shared" si="64"/>
        <v>1.4585000000000008</v>
      </c>
      <c r="Q433" s="3">
        <f t="shared" si="65"/>
        <v>2.81128</v>
      </c>
      <c r="R433" s="3">
        <f t="shared" si="66"/>
        <v>3.312850000000001</v>
      </c>
      <c r="S433" s="3">
        <f t="shared" si="67"/>
        <v>1.3527799999999992</v>
      </c>
      <c r="T433" s="3">
        <f t="shared" si="68"/>
        <v>1.8543500000000002</v>
      </c>
      <c r="U433" s="3">
        <f t="shared" si="69"/>
        <v>0.50157000000000096</v>
      </c>
    </row>
    <row r="434" spans="1:21" x14ac:dyDescent="0.25">
      <c r="A434" s="3">
        <v>1.2376614659863301E+18</v>
      </c>
      <c r="B434" s="3">
        <v>236.36395999999999</v>
      </c>
      <c r="C434" s="3">
        <v>35.632443000000002</v>
      </c>
      <c r="D434" s="3">
        <v>0.69101109999999999</v>
      </c>
      <c r="E434" s="3">
        <v>2.6254553081431391</v>
      </c>
      <c r="F434" s="3">
        <v>207303.33</v>
      </c>
      <c r="G434" s="3">
        <v>23.395119999999999</v>
      </c>
      <c r="H434" s="3">
        <v>22.227650000000001</v>
      </c>
      <c r="I434" s="3">
        <v>20.94059</v>
      </c>
      <c r="J434" s="3">
        <v>19.94445</v>
      </c>
      <c r="K434" s="3">
        <v>19.69603</v>
      </c>
      <c r="L434" s="3">
        <f t="shared" si="60"/>
        <v>1.167469999999998</v>
      </c>
      <c r="M434" s="3">
        <f t="shared" si="61"/>
        <v>2.4545299999999983</v>
      </c>
      <c r="N434" s="3">
        <f t="shared" si="62"/>
        <v>3.4506699999999988</v>
      </c>
      <c r="O434" s="3">
        <f t="shared" si="63"/>
        <v>3.6990899999999982</v>
      </c>
      <c r="P434" s="3">
        <f t="shared" si="64"/>
        <v>1.2870600000000003</v>
      </c>
      <c r="Q434" s="3">
        <f t="shared" si="65"/>
        <v>2.2832000000000008</v>
      </c>
      <c r="R434" s="3">
        <f t="shared" si="66"/>
        <v>2.5316200000000002</v>
      </c>
      <c r="S434" s="3">
        <f t="shared" si="67"/>
        <v>0.99614000000000047</v>
      </c>
      <c r="T434" s="3">
        <f t="shared" si="68"/>
        <v>1.2445599999999999</v>
      </c>
      <c r="U434" s="3">
        <f t="shared" si="69"/>
        <v>0.24841999999999942</v>
      </c>
    </row>
    <row r="435" spans="1:21" x14ac:dyDescent="0.25">
      <c r="A435" s="3">
        <v>1.2376623378636401E+18</v>
      </c>
      <c r="B435" s="3">
        <v>236.10209</v>
      </c>
      <c r="C435" s="3">
        <v>35.663753999999997</v>
      </c>
      <c r="D435" s="3">
        <v>0.69193020000000005</v>
      </c>
      <c r="E435" s="3">
        <v>2.4861968177465235</v>
      </c>
      <c r="F435" s="3">
        <v>207579.06000000003</v>
      </c>
      <c r="G435" s="3">
        <v>24.742809999999999</v>
      </c>
      <c r="H435" s="3">
        <v>24.228400000000001</v>
      </c>
      <c r="I435" s="3">
        <v>21.917670000000001</v>
      </c>
      <c r="J435" s="3">
        <v>20.590920000000001</v>
      </c>
      <c r="K435" s="3">
        <v>19.8339</v>
      </c>
      <c r="L435" s="3">
        <f t="shared" si="60"/>
        <v>0.51440999999999804</v>
      </c>
      <c r="M435" s="3">
        <f t="shared" si="61"/>
        <v>2.8251399999999975</v>
      </c>
      <c r="N435" s="3">
        <f t="shared" si="62"/>
        <v>4.1518899999999981</v>
      </c>
      <c r="O435" s="3">
        <f t="shared" si="63"/>
        <v>4.9089099999999988</v>
      </c>
      <c r="P435" s="3">
        <f t="shared" si="64"/>
        <v>2.3107299999999995</v>
      </c>
      <c r="Q435" s="3">
        <f t="shared" si="65"/>
        <v>3.63748</v>
      </c>
      <c r="R435" s="3">
        <f t="shared" si="66"/>
        <v>4.3945000000000007</v>
      </c>
      <c r="S435" s="3">
        <f t="shared" si="67"/>
        <v>1.3267500000000005</v>
      </c>
      <c r="T435" s="3">
        <f t="shared" si="68"/>
        <v>2.0837700000000012</v>
      </c>
      <c r="U435" s="3">
        <f t="shared" si="69"/>
        <v>0.75702000000000069</v>
      </c>
    </row>
    <row r="436" spans="1:21" x14ac:dyDescent="0.25">
      <c r="A436" s="3">
        <v>1.23766146598627E+18</v>
      </c>
      <c r="B436" s="3">
        <v>236.38502</v>
      </c>
      <c r="C436" s="3">
        <v>35.790709999999997</v>
      </c>
      <c r="D436" s="3">
        <v>0.69201120000000005</v>
      </c>
      <c r="E436" s="3">
        <v>1.8242351901936138</v>
      </c>
      <c r="F436" s="3">
        <v>207603.36000000002</v>
      </c>
      <c r="G436" s="3">
        <v>21.618490000000001</v>
      </c>
      <c r="H436" s="3">
        <v>21.959009999999999</v>
      </c>
      <c r="I436" s="3">
        <v>20.803270000000001</v>
      </c>
      <c r="J436" s="3">
        <v>19.822939999999999</v>
      </c>
      <c r="K436" s="3">
        <v>19.357119999999998</v>
      </c>
      <c r="L436" s="3">
        <f t="shared" si="60"/>
        <v>-0.34051999999999794</v>
      </c>
      <c r="M436" s="3">
        <f t="shared" si="61"/>
        <v>0.81522000000000006</v>
      </c>
      <c r="N436" s="3">
        <f t="shared" si="62"/>
        <v>1.7955500000000022</v>
      </c>
      <c r="O436" s="3">
        <f t="shared" si="63"/>
        <v>2.261370000000003</v>
      </c>
      <c r="P436" s="3">
        <f t="shared" si="64"/>
        <v>1.155739999999998</v>
      </c>
      <c r="Q436" s="3">
        <f t="shared" si="65"/>
        <v>2.1360700000000001</v>
      </c>
      <c r="R436" s="3">
        <f t="shared" si="66"/>
        <v>2.6018900000000009</v>
      </c>
      <c r="S436" s="3">
        <f t="shared" si="67"/>
        <v>0.98033000000000214</v>
      </c>
      <c r="T436" s="3">
        <f t="shared" si="68"/>
        <v>1.4461500000000029</v>
      </c>
      <c r="U436" s="3">
        <f t="shared" si="69"/>
        <v>0.46582000000000079</v>
      </c>
    </row>
    <row r="437" spans="1:21" x14ac:dyDescent="0.25">
      <c r="A437" s="3">
        <v>1.23766146598627E+18</v>
      </c>
      <c r="B437" s="3">
        <v>236.24475000000001</v>
      </c>
      <c r="C437" s="3">
        <v>35.791820999999999</v>
      </c>
      <c r="D437" s="3">
        <v>0.69334110000000004</v>
      </c>
      <c r="E437" s="3">
        <v>1.7141510073056683</v>
      </c>
      <c r="F437" s="3">
        <v>208002.33000000002</v>
      </c>
      <c r="G437" s="3">
        <v>22.33051</v>
      </c>
      <c r="H437" s="3">
        <v>22.819479999999999</v>
      </c>
      <c r="I437" s="3">
        <v>20.476109999999998</v>
      </c>
      <c r="J437" s="3">
        <v>19.28528</v>
      </c>
      <c r="K437" s="3">
        <v>18.694320000000001</v>
      </c>
      <c r="L437" s="3">
        <f t="shared" si="60"/>
        <v>-0.48896999999999835</v>
      </c>
      <c r="M437" s="3">
        <f t="shared" si="61"/>
        <v>1.8544000000000018</v>
      </c>
      <c r="N437" s="3">
        <f t="shared" si="62"/>
        <v>3.0452300000000001</v>
      </c>
      <c r="O437" s="3">
        <f t="shared" si="63"/>
        <v>3.6361899999999991</v>
      </c>
      <c r="P437" s="3">
        <f t="shared" si="64"/>
        <v>2.3433700000000002</v>
      </c>
      <c r="Q437" s="3">
        <f t="shared" si="65"/>
        <v>3.5341999999999985</v>
      </c>
      <c r="R437" s="3">
        <f t="shared" si="66"/>
        <v>4.1251599999999975</v>
      </c>
      <c r="S437" s="3">
        <f t="shared" si="67"/>
        <v>1.1908299999999983</v>
      </c>
      <c r="T437" s="3">
        <f t="shared" si="68"/>
        <v>1.7817899999999973</v>
      </c>
      <c r="U437" s="3">
        <f t="shared" si="69"/>
        <v>0.59095999999999904</v>
      </c>
    </row>
    <row r="438" spans="1:21" x14ac:dyDescent="0.25">
      <c r="A438" s="3">
        <v>1.23766247369107E+18</v>
      </c>
      <c r="B438" s="3">
        <v>236.71039999999999</v>
      </c>
      <c r="C438" s="3">
        <v>36.127265999999999</v>
      </c>
      <c r="D438" s="3">
        <v>0.69431100000000001</v>
      </c>
      <c r="E438" s="3">
        <v>2.0268350217275701</v>
      </c>
      <c r="F438" s="3">
        <v>208293.30000000002</v>
      </c>
      <c r="G438" s="3">
        <v>23.440259999999999</v>
      </c>
      <c r="H438" s="3">
        <v>23.726669999999999</v>
      </c>
      <c r="I438" s="3">
        <v>22.019369999999999</v>
      </c>
      <c r="J438" s="3">
        <v>20.658059999999999</v>
      </c>
      <c r="K438" s="3">
        <v>19.927420000000001</v>
      </c>
      <c r="L438" s="3">
        <f t="shared" si="60"/>
        <v>-0.28641000000000005</v>
      </c>
      <c r="M438" s="3">
        <f t="shared" si="61"/>
        <v>1.42089</v>
      </c>
      <c r="N438" s="3">
        <f t="shared" si="62"/>
        <v>2.7821999999999996</v>
      </c>
      <c r="O438" s="3">
        <f t="shared" si="63"/>
        <v>3.5128399999999971</v>
      </c>
      <c r="P438" s="3">
        <f t="shared" si="64"/>
        <v>1.7073</v>
      </c>
      <c r="Q438" s="3">
        <f t="shared" si="65"/>
        <v>3.0686099999999996</v>
      </c>
      <c r="R438" s="3">
        <f t="shared" si="66"/>
        <v>3.7992499999999971</v>
      </c>
      <c r="S438" s="3">
        <f t="shared" si="67"/>
        <v>1.3613099999999996</v>
      </c>
      <c r="T438" s="3">
        <f t="shared" si="68"/>
        <v>2.0919499999999971</v>
      </c>
      <c r="U438" s="3">
        <f t="shared" si="69"/>
        <v>0.73063999999999751</v>
      </c>
    </row>
    <row r="439" spans="1:21" x14ac:dyDescent="0.25">
      <c r="A439" s="3">
        <v>1.2376614659863301E+18</v>
      </c>
      <c r="B439" s="3">
        <v>236.44878</v>
      </c>
      <c r="C439" s="3">
        <v>35.648147999999999</v>
      </c>
      <c r="D439" s="3">
        <v>0.69724140000000001</v>
      </c>
      <c r="E439" s="3">
        <v>2.6427282893869606</v>
      </c>
      <c r="F439" s="3">
        <v>209172.42</v>
      </c>
      <c r="G439" s="3">
        <v>23.914380000000001</v>
      </c>
      <c r="H439" s="3">
        <v>23.397469999999998</v>
      </c>
      <c r="I439" s="3">
        <v>21.653790000000001</v>
      </c>
      <c r="J439" s="3">
        <v>20.272780000000001</v>
      </c>
      <c r="K439" s="3">
        <v>19.599219999999999</v>
      </c>
      <c r="L439" s="3">
        <f t="shared" si="60"/>
        <v>0.51691000000000287</v>
      </c>
      <c r="M439" s="3">
        <f t="shared" si="61"/>
        <v>2.2605900000000005</v>
      </c>
      <c r="N439" s="3">
        <f t="shared" si="62"/>
        <v>3.6416000000000004</v>
      </c>
      <c r="O439" s="3">
        <f t="shared" si="63"/>
        <v>4.3151600000000023</v>
      </c>
      <c r="P439" s="3">
        <f t="shared" si="64"/>
        <v>1.7436799999999977</v>
      </c>
      <c r="Q439" s="3">
        <f t="shared" si="65"/>
        <v>3.1246899999999975</v>
      </c>
      <c r="R439" s="3">
        <f t="shared" si="66"/>
        <v>3.7982499999999995</v>
      </c>
      <c r="S439" s="3">
        <f t="shared" si="67"/>
        <v>1.3810099999999998</v>
      </c>
      <c r="T439" s="3">
        <f t="shared" si="68"/>
        <v>2.0545700000000018</v>
      </c>
      <c r="U439" s="3">
        <f t="shared" si="69"/>
        <v>0.67356000000000193</v>
      </c>
    </row>
    <row r="440" spans="1:21" x14ac:dyDescent="0.25">
      <c r="A440" s="3">
        <v>1.2376624736910001E+18</v>
      </c>
      <c r="B440" s="3">
        <v>236.43575999999999</v>
      </c>
      <c r="C440" s="3">
        <v>36.223796999999998</v>
      </c>
      <c r="D440" s="3">
        <v>0.69747420000000004</v>
      </c>
      <c r="E440" s="3">
        <v>1.0316488328196731</v>
      </c>
      <c r="F440" s="3">
        <v>209242.26</v>
      </c>
      <c r="G440" s="3">
        <v>22.845859999999998</v>
      </c>
      <c r="H440" s="3">
        <v>22.799510000000001</v>
      </c>
      <c r="I440" s="3">
        <v>21.200600000000001</v>
      </c>
      <c r="J440" s="3">
        <v>20.112839999999998</v>
      </c>
      <c r="K440" s="3">
        <v>19.420190000000002</v>
      </c>
      <c r="L440" s="3">
        <f t="shared" si="60"/>
        <v>4.6349999999996783E-2</v>
      </c>
      <c r="M440" s="3">
        <f t="shared" si="61"/>
        <v>1.6452599999999968</v>
      </c>
      <c r="N440" s="3">
        <f t="shared" si="62"/>
        <v>2.7330199999999998</v>
      </c>
      <c r="O440" s="3">
        <f t="shared" si="63"/>
        <v>3.4256699999999967</v>
      </c>
      <c r="P440" s="3">
        <f t="shared" si="64"/>
        <v>1.5989100000000001</v>
      </c>
      <c r="Q440" s="3">
        <f t="shared" si="65"/>
        <v>2.686670000000003</v>
      </c>
      <c r="R440" s="3">
        <f t="shared" si="66"/>
        <v>3.3793199999999999</v>
      </c>
      <c r="S440" s="3">
        <f t="shared" si="67"/>
        <v>1.0877600000000029</v>
      </c>
      <c r="T440" s="3">
        <f t="shared" si="68"/>
        <v>1.7804099999999998</v>
      </c>
      <c r="U440" s="3">
        <f t="shared" si="69"/>
        <v>0.69264999999999688</v>
      </c>
    </row>
    <row r="441" spans="1:21" x14ac:dyDescent="0.25">
      <c r="A441" s="3">
        <v>1.23766247369087E+18</v>
      </c>
      <c r="B441" s="3">
        <v>236.19971000000001</v>
      </c>
      <c r="C441" s="3">
        <v>36.282226999999999</v>
      </c>
      <c r="D441" s="3">
        <v>0.70578620000000003</v>
      </c>
      <c r="E441" s="3">
        <v>0.95385951024268345</v>
      </c>
      <c r="F441" s="3">
        <v>211735.86000000002</v>
      </c>
      <c r="G441" s="3">
        <v>23.187750000000001</v>
      </c>
      <c r="H441" s="3">
        <v>21.561769999999999</v>
      </c>
      <c r="I441" s="3">
        <v>20.308440000000001</v>
      </c>
      <c r="J441" s="3">
        <v>19.43507</v>
      </c>
      <c r="K441" s="3">
        <v>19.179099999999998</v>
      </c>
      <c r="L441" s="3">
        <f t="shared" si="60"/>
        <v>1.625980000000002</v>
      </c>
      <c r="M441" s="3">
        <f t="shared" si="61"/>
        <v>2.8793100000000003</v>
      </c>
      <c r="N441" s="3">
        <f t="shared" si="62"/>
        <v>3.7526800000000016</v>
      </c>
      <c r="O441" s="3">
        <f t="shared" si="63"/>
        <v>4.0086500000000029</v>
      </c>
      <c r="P441" s="3">
        <f t="shared" si="64"/>
        <v>1.2533299999999983</v>
      </c>
      <c r="Q441" s="3">
        <f t="shared" si="65"/>
        <v>2.1266999999999996</v>
      </c>
      <c r="R441" s="3">
        <f t="shared" si="66"/>
        <v>2.382670000000001</v>
      </c>
      <c r="S441" s="3">
        <f t="shared" si="67"/>
        <v>0.87337000000000131</v>
      </c>
      <c r="T441" s="3">
        <f t="shared" si="68"/>
        <v>1.1293400000000027</v>
      </c>
      <c r="U441" s="3">
        <f t="shared" si="69"/>
        <v>0.25597000000000136</v>
      </c>
    </row>
    <row r="442" spans="1:21" x14ac:dyDescent="0.25">
      <c r="A442" s="3">
        <v>1.23766247369087E+18</v>
      </c>
      <c r="B442" s="3">
        <v>236.22808000000001</v>
      </c>
      <c r="C442" s="3">
        <v>36.353242000000002</v>
      </c>
      <c r="D442" s="3">
        <v>0.70619920000000003</v>
      </c>
      <c r="E442" s="3">
        <v>1.3178723806807111</v>
      </c>
      <c r="F442" s="3">
        <v>211859.76</v>
      </c>
      <c r="G442" s="3">
        <v>26.237100000000002</v>
      </c>
      <c r="H442" s="3">
        <v>24.074770000000001</v>
      </c>
      <c r="I442" s="3">
        <v>21.51445</v>
      </c>
      <c r="J442" s="3">
        <v>20.400379999999998</v>
      </c>
      <c r="K442" s="3">
        <v>19.662130000000001</v>
      </c>
      <c r="L442" s="3">
        <f t="shared" si="60"/>
        <v>2.1623300000000008</v>
      </c>
      <c r="M442" s="3">
        <f t="shared" si="61"/>
        <v>4.7226500000000016</v>
      </c>
      <c r="N442" s="3">
        <f t="shared" si="62"/>
        <v>5.8367200000000032</v>
      </c>
      <c r="O442" s="3">
        <f t="shared" si="63"/>
        <v>6.5749700000000004</v>
      </c>
      <c r="P442" s="3">
        <f t="shared" si="64"/>
        <v>2.5603200000000008</v>
      </c>
      <c r="Q442" s="3">
        <f t="shared" si="65"/>
        <v>3.6743900000000025</v>
      </c>
      <c r="R442" s="3">
        <f t="shared" si="66"/>
        <v>4.4126399999999997</v>
      </c>
      <c r="S442" s="3">
        <f t="shared" si="67"/>
        <v>1.1140700000000017</v>
      </c>
      <c r="T442" s="3">
        <f t="shared" si="68"/>
        <v>1.8523199999999989</v>
      </c>
      <c r="U442" s="3">
        <f t="shared" si="69"/>
        <v>0.73824999999999719</v>
      </c>
    </row>
    <row r="443" spans="1:21" x14ac:dyDescent="0.25">
      <c r="A443" s="3">
        <v>1.2376624731539999E+18</v>
      </c>
      <c r="B443" s="3">
        <v>235.94709</v>
      </c>
      <c r="C443" s="3">
        <v>36.089579999999998</v>
      </c>
      <c r="D443" s="3">
        <v>0.70865409999999995</v>
      </c>
      <c r="E443" s="3">
        <v>1.3076681408095263</v>
      </c>
      <c r="F443" s="3">
        <v>212596.22999999998</v>
      </c>
      <c r="G443" s="3">
        <v>24.117660000000001</v>
      </c>
      <c r="H443" s="3">
        <v>24.363980000000002</v>
      </c>
      <c r="I443" s="3">
        <v>21.76606</v>
      </c>
      <c r="J443" s="3">
        <v>20.527519999999999</v>
      </c>
      <c r="K443" s="3">
        <v>19.881049999999998</v>
      </c>
      <c r="L443" s="3">
        <f t="shared" si="60"/>
        <v>-0.24632000000000076</v>
      </c>
      <c r="M443" s="3">
        <f t="shared" si="61"/>
        <v>2.3516000000000012</v>
      </c>
      <c r="N443" s="3">
        <f t="shared" si="62"/>
        <v>3.5901400000000017</v>
      </c>
      <c r="O443" s="3">
        <f t="shared" si="63"/>
        <v>4.2366100000000024</v>
      </c>
      <c r="P443" s="3">
        <f t="shared" si="64"/>
        <v>2.597920000000002</v>
      </c>
      <c r="Q443" s="3">
        <f t="shared" si="65"/>
        <v>3.8364600000000024</v>
      </c>
      <c r="R443" s="3">
        <f t="shared" si="66"/>
        <v>4.4829300000000032</v>
      </c>
      <c r="S443" s="3">
        <f t="shared" si="67"/>
        <v>1.2385400000000004</v>
      </c>
      <c r="T443" s="3">
        <f t="shared" si="68"/>
        <v>1.8850100000000012</v>
      </c>
      <c r="U443" s="3">
        <f t="shared" si="69"/>
        <v>0.64647000000000077</v>
      </c>
    </row>
    <row r="444" spans="1:21" x14ac:dyDescent="0.25">
      <c r="A444" s="3">
        <v>1.2376624736909399E+18</v>
      </c>
      <c r="B444" s="3">
        <v>236.27802</v>
      </c>
      <c r="C444" s="3">
        <v>36.232756999999999</v>
      </c>
      <c r="D444" s="3">
        <v>0.70894389999999996</v>
      </c>
      <c r="E444" s="3">
        <v>0.67985018768596273</v>
      </c>
      <c r="F444" s="3">
        <v>212683.16999999998</v>
      </c>
      <c r="G444" s="3">
        <v>23.293330000000001</v>
      </c>
      <c r="H444" s="3">
        <v>23.262060000000002</v>
      </c>
      <c r="I444" s="3">
        <v>21.068269999999998</v>
      </c>
      <c r="J444" s="3">
        <v>19.668500000000002</v>
      </c>
      <c r="K444" s="3">
        <v>19.006430000000002</v>
      </c>
      <c r="L444" s="3">
        <f t="shared" si="60"/>
        <v>3.1269999999999243E-2</v>
      </c>
      <c r="M444" s="3">
        <f t="shared" si="61"/>
        <v>2.2250600000000027</v>
      </c>
      <c r="N444" s="3">
        <f t="shared" si="62"/>
        <v>3.6248299999999993</v>
      </c>
      <c r="O444" s="3">
        <f t="shared" si="63"/>
        <v>4.2868999999999993</v>
      </c>
      <c r="P444" s="3">
        <f t="shared" si="64"/>
        <v>2.1937900000000035</v>
      </c>
      <c r="Q444" s="3">
        <f t="shared" si="65"/>
        <v>3.5935600000000001</v>
      </c>
      <c r="R444" s="3">
        <f t="shared" si="66"/>
        <v>4.25563</v>
      </c>
      <c r="S444" s="3">
        <f t="shared" si="67"/>
        <v>1.3997699999999966</v>
      </c>
      <c r="T444" s="3">
        <f t="shared" si="68"/>
        <v>2.0618399999999966</v>
      </c>
      <c r="U444" s="3">
        <f t="shared" si="69"/>
        <v>0.66206999999999994</v>
      </c>
    </row>
    <row r="445" spans="1:21" x14ac:dyDescent="0.25">
      <c r="A445" s="3">
        <v>1.2376624736909399E+18</v>
      </c>
      <c r="B445" s="3">
        <v>236.27802</v>
      </c>
      <c r="C445" s="3">
        <v>36.232756999999999</v>
      </c>
      <c r="D445" s="3">
        <v>0.70897779999999999</v>
      </c>
      <c r="E445" s="3">
        <v>0.67985018768596273</v>
      </c>
      <c r="F445" s="3">
        <v>212693.34</v>
      </c>
      <c r="G445" s="3">
        <v>23.293330000000001</v>
      </c>
      <c r="H445" s="3">
        <v>23.262060000000002</v>
      </c>
      <c r="I445" s="3">
        <v>21.068269999999998</v>
      </c>
      <c r="J445" s="3">
        <v>19.668500000000002</v>
      </c>
      <c r="K445" s="3">
        <v>19.006430000000002</v>
      </c>
      <c r="L445" s="3">
        <f t="shared" si="60"/>
        <v>3.1269999999999243E-2</v>
      </c>
      <c r="M445" s="3">
        <f t="shared" si="61"/>
        <v>2.2250600000000027</v>
      </c>
      <c r="N445" s="3">
        <f t="shared" si="62"/>
        <v>3.6248299999999993</v>
      </c>
      <c r="O445" s="3">
        <f t="shared" si="63"/>
        <v>4.2868999999999993</v>
      </c>
      <c r="P445" s="3">
        <f t="shared" si="64"/>
        <v>2.1937900000000035</v>
      </c>
      <c r="Q445" s="3">
        <f t="shared" si="65"/>
        <v>3.5935600000000001</v>
      </c>
      <c r="R445" s="3">
        <f t="shared" si="66"/>
        <v>4.25563</v>
      </c>
      <c r="S445" s="3">
        <f t="shared" si="67"/>
        <v>1.3997699999999966</v>
      </c>
      <c r="T445" s="3">
        <f t="shared" si="68"/>
        <v>2.0618399999999966</v>
      </c>
      <c r="U445" s="3">
        <f t="shared" si="69"/>
        <v>0.66206999999999994</v>
      </c>
    </row>
    <row r="446" spans="1:21" x14ac:dyDescent="0.25">
      <c r="A446" s="3">
        <v>1.23766247369087E+18</v>
      </c>
      <c r="B446" s="3">
        <v>236.1584</v>
      </c>
      <c r="C446" s="3">
        <v>36.329442</v>
      </c>
      <c r="D446" s="3">
        <v>0.71218060000000005</v>
      </c>
      <c r="E446" s="3">
        <v>1.2468607575349955</v>
      </c>
      <c r="F446" s="3">
        <v>213654.18000000002</v>
      </c>
      <c r="G446" s="3">
        <v>24.229469999999999</v>
      </c>
      <c r="H446" s="3">
        <v>22.448509999999999</v>
      </c>
      <c r="I446" s="3">
        <v>20.130040000000001</v>
      </c>
      <c r="J446" s="3">
        <v>18.847110000000001</v>
      </c>
      <c r="K446" s="3">
        <v>18.293030000000002</v>
      </c>
      <c r="L446" s="3">
        <f t="shared" si="60"/>
        <v>1.7809600000000003</v>
      </c>
      <c r="M446" s="3">
        <f t="shared" si="61"/>
        <v>4.0994299999999981</v>
      </c>
      <c r="N446" s="3">
        <f t="shared" si="62"/>
        <v>5.3823599999999985</v>
      </c>
      <c r="O446" s="3">
        <f t="shared" si="63"/>
        <v>5.9364399999999975</v>
      </c>
      <c r="P446" s="3">
        <f t="shared" si="64"/>
        <v>2.3184699999999978</v>
      </c>
      <c r="Q446" s="3">
        <f t="shared" si="65"/>
        <v>3.6013999999999982</v>
      </c>
      <c r="R446" s="3">
        <f t="shared" si="66"/>
        <v>4.1554799999999972</v>
      </c>
      <c r="S446" s="3">
        <f t="shared" si="67"/>
        <v>1.2829300000000003</v>
      </c>
      <c r="T446" s="3">
        <f t="shared" si="68"/>
        <v>1.8370099999999994</v>
      </c>
      <c r="U446" s="3">
        <f t="shared" si="69"/>
        <v>0.55407999999999902</v>
      </c>
    </row>
    <row r="447" spans="1:21" x14ac:dyDescent="0.25">
      <c r="A447" s="3">
        <v>1.23766233786371E+18</v>
      </c>
      <c r="B447" s="3">
        <v>236.16028</v>
      </c>
      <c r="C447" s="3">
        <v>35.609192</v>
      </c>
      <c r="D447" s="3">
        <v>0.71249799999999996</v>
      </c>
      <c r="E447" s="3">
        <v>2.7256399109272507</v>
      </c>
      <c r="F447" s="3">
        <v>213749.4</v>
      </c>
      <c r="G447" s="3">
        <v>23.291460000000001</v>
      </c>
      <c r="H447" s="3">
        <v>23.422609999999999</v>
      </c>
      <c r="I447" s="3">
        <v>21.523969999999998</v>
      </c>
      <c r="J447" s="3">
        <v>20.369540000000001</v>
      </c>
      <c r="K447" s="3">
        <v>19.32583</v>
      </c>
      <c r="L447" s="3">
        <f t="shared" si="60"/>
        <v>-0.1311499999999981</v>
      </c>
      <c r="M447" s="3">
        <f t="shared" si="61"/>
        <v>1.7674900000000022</v>
      </c>
      <c r="N447" s="3">
        <f t="shared" si="62"/>
        <v>2.9219200000000001</v>
      </c>
      <c r="O447" s="3">
        <f t="shared" si="63"/>
        <v>3.9656300000000009</v>
      </c>
      <c r="P447" s="3">
        <f t="shared" si="64"/>
        <v>1.8986400000000003</v>
      </c>
      <c r="Q447" s="3">
        <f t="shared" si="65"/>
        <v>3.0530699999999982</v>
      </c>
      <c r="R447" s="3">
        <f t="shared" si="66"/>
        <v>4.096779999999999</v>
      </c>
      <c r="S447" s="3">
        <f t="shared" si="67"/>
        <v>1.1544299999999978</v>
      </c>
      <c r="T447" s="3">
        <f t="shared" si="68"/>
        <v>2.1981399999999987</v>
      </c>
      <c r="U447" s="3">
        <f t="shared" si="69"/>
        <v>1.0437100000000008</v>
      </c>
    </row>
    <row r="448" spans="1:21" x14ac:dyDescent="0.25">
      <c r="A448" s="3">
        <v>1.2376624731542001E+18</v>
      </c>
      <c r="B448" s="3">
        <v>236.32946999999999</v>
      </c>
      <c r="C448" s="3">
        <v>35.882252999999999</v>
      </c>
      <c r="D448" s="3">
        <v>0.71256540000000002</v>
      </c>
      <c r="E448" s="3">
        <v>1.2791585927049731</v>
      </c>
      <c r="F448" s="3">
        <v>213769.62</v>
      </c>
      <c r="G448" s="3">
        <v>23.805769999999999</v>
      </c>
      <c r="H448" s="3">
        <v>23.610669999999999</v>
      </c>
      <c r="I448" s="3">
        <v>21.72747</v>
      </c>
      <c r="J448" s="3">
        <v>20.488399999999999</v>
      </c>
      <c r="K448" s="3">
        <v>19.629919999999998</v>
      </c>
      <c r="L448" s="3">
        <f t="shared" si="60"/>
        <v>0.19510000000000005</v>
      </c>
      <c r="M448" s="3">
        <f t="shared" si="61"/>
        <v>2.0782999999999987</v>
      </c>
      <c r="N448" s="3">
        <f t="shared" si="62"/>
        <v>3.3173700000000004</v>
      </c>
      <c r="O448" s="3">
        <f t="shared" si="63"/>
        <v>4.1758500000000005</v>
      </c>
      <c r="P448" s="3">
        <f t="shared" si="64"/>
        <v>1.8831999999999987</v>
      </c>
      <c r="Q448" s="3">
        <f t="shared" si="65"/>
        <v>3.1222700000000003</v>
      </c>
      <c r="R448" s="3">
        <f t="shared" si="66"/>
        <v>3.9807500000000005</v>
      </c>
      <c r="S448" s="3">
        <f t="shared" si="67"/>
        <v>1.2390700000000017</v>
      </c>
      <c r="T448" s="3">
        <f t="shared" si="68"/>
        <v>2.0975500000000018</v>
      </c>
      <c r="U448" s="3">
        <f t="shared" si="69"/>
        <v>0.85848000000000013</v>
      </c>
    </row>
    <row r="449" spans="1:21" x14ac:dyDescent="0.25">
      <c r="A449" s="3">
        <v>1.2376624742279401E+18</v>
      </c>
      <c r="B449" s="3">
        <v>236.82694000000001</v>
      </c>
      <c r="C449" s="3">
        <v>36.429726000000002</v>
      </c>
      <c r="D449" s="3">
        <v>0.71700540000000001</v>
      </c>
      <c r="E449" s="3">
        <v>3.0621391699006542</v>
      </c>
      <c r="F449" s="3">
        <v>215101.62</v>
      </c>
      <c r="G449" s="3">
        <v>25.57921</v>
      </c>
      <c r="H449" s="3">
        <v>23.505949999999999</v>
      </c>
      <c r="I449" s="3">
        <v>21.63043</v>
      </c>
      <c r="J449" s="3">
        <v>20.520140000000001</v>
      </c>
      <c r="K449" s="3">
        <v>19.831219999999998</v>
      </c>
      <c r="L449" s="3">
        <f t="shared" si="60"/>
        <v>2.0732600000000012</v>
      </c>
      <c r="M449" s="3">
        <f t="shared" si="61"/>
        <v>3.9487799999999993</v>
      </c>
      <c r="N449" s="3">
        <f t="shared" si="62"/>
        <v>5.0590699999999984</v>
      </c>
      <c r="O449" s="3">
        <f t="shared" si="63"/>
        <v>5.7479900000000015</v>
      </c>
      <c r="P449" s="3">
        <f t="shared" si="64"/>
        <v>1.8755199999999981</v>
      </c>
      <c r="Q449" s="3">
        <f t="shared" si="65"/>
        <v>2.9858099999999972</v>
      </c>
      <c r="R449" s="3">
        <f t="shared" si="66"/>
        <v>3.6747300000000003</v>
      </c>
      <c r="S449" s="3">
        <f t="shared" si="67"/>
        <v>1.1102899999999991</v>
      </c>
      <c r="T449" s="3">
        <f t="shared" si="68"/>
        <v>1.7992100000000022</v>
      </c>
      <c r="U449" s="3">
        <f t="shared" si="69"/>
        <v>0.68892000000000309</v>
      </c>
    </row>
    <row r="450" spans="1:21" x14ac:dyDescent="0.25">
      <c r="A450" s="3">
        <v>1.23766247369074E+18</v>
      </c>
      <c r="B450" s="3">
        <v>235.95350999999999</v>
      </c>
      <c r="C450" s="3">
        <v>36.585264000000002</v>
      </c>
      <c r="D450" s="3">
        <v>0.7351413</v>
      </c>
      <c r="E450" s="3">
        <v>2.8651898053377285</v>
      </c>
      <c r="F450" s="3">
        <v>220542.38999999998</v>
      </c>
      <c r="G450" s="3">
        <v>25.714970000000001</v>
      </c>
      <c r="H450" s="3">
        <v>23.609480000000001</v>
      </c>
      <c r="I450" s="3">
        <v>22.046690000000002</v>
      </c>
      <c r="J450" s="3">
        <v>20.615860000000001</v>
      </c>
      <c r="K450" s="3">
        <v>19.923580000000001</v>
      </c>
      <c r="L450" s="3">
        <f t="shared" ref="L450:L475" si="70">G450-H450</f>
        <v>2.1054899999999996</v>
      </c>
      <c r="M450" s="3">
        <f t="shared" ref="M450:M475" si="71">G450-I450</f>
        <v>3.6682799999999993</v>
      </c>
      <c r="N450" s="3">
        <f t="shared" ref="N450:N475" si="72">G450-J450</f>
        <v>5.0991099999999996</v>
      </c>
      <c r="O450" s="3">
        <f t="shared" ref="O450:O475" si="73">G450-K450</f>
        <v>5.7913899999999998</v>
      </c>
      <c r="P450" s="3">
        <f t="shared" ref="P450:P475" si="74">H450-I450</f>
        <v>1.5627899999999997</v>
      </c>
      <c r="Q450" s="3">
        <f t="shared" ref="Q450:Q475" si="75">H450-J450</f>
        <v>2.9936199999999999</v>
      </c>
      <c r="R450" s="3">
        <f t="shared" ref="R450:R475" si="76">H450-K450</f>
        <v>3.6859000000000002</v>
      </c>
      <c r="S450" s="3">
        <f t="shared" ref="S450:S475" si="77">I450-J450</f>
        <v>1.4308300000000003</v>
      </c>
      <c r="T450" s="3">
        <f t="shared" ref="T450:T475" si="78">I450-K450</f>
        <v>2.1231100000000005</v>
      </c>
      <c r="U450" s="3">
        <f t="shared" ref="U450:U475" si="79">J450-K450</f>
        <v>0.69228000000000023</v>
      </c>
    </row>
    <row r="451" spans="1:21" x14ac:dyDescent="0.25">
      <c r="A451" s="3">
        <v>1.2376614659861299E+18</v>
      </c>
      <c r="B451" s="3">
        <v>235.90602000000001</v>
      </c>
      <c r="C451" s="3">
        <v>35.859972999999997</v>
      </c>
      <c r="D451" s="3">
        <v>0.73793439999999999</v>
      </c>
      <c r="E451" s="3">
        <v>2.0041129886928899</v>
      </c>
      <c r="F451" s="3">
        <v>221380.32</v>
      </c>
      <c r="G451" s="3">
        <v>23.622450000000001</v>
      </c>
      <c r="H451" s="3">
        <v>24.12444</v>
      </c>
      <c r="I451" s="3">
        <v>21.412970000000001</v>
      </c>
      <c r="J451" s="3">
        <v>20.114909999999998</v>
      </c>
      <c r="K451" s="3">
        <v>19.435580000000002</v>
      </c>
      <c r="L451" s="3">
        <f t="shared" si="70"/>
        <v>-0.50198999999999927</v>
      </c>
      <c r="M451" s="3">
        <f t="shared" si="71"/>
        <v>2.2094799999999992</v>
      </c>
      <c r="N451" s="3">
        <f t="shared" si="72"/>
        <v>3.5075400000000023</v>
      </c>
      <c r="O451" s="3">
        <f t="shared" si="73"/>
        <v>4.186869999999999</v>
      </c>
      <c r="P451" s="3">
        <f t="shared" si="74"/>
        <v>2.7114699999999985</v>
      </c>
      <c r="Q451" s="3">
        <f t="shared" si="75"/>
        <v>4.0095300000000016</v>
      </c>
      <c r="R451" s="3">
        <f t="shared" si="76"/>
        <v>4.6888599999999983</v>
      </c>
      <c r="S451" s="3">
        <f t="shared" si="77"/>
        <v>1.2980600000000031</v>
      </c>
      <c r="T451" s="3">
        <f t="shared" si="78"/>
        <v>1.9773899999999998</v>
      </c>
      <c r="U451" s="3">
        <f t="shared" si="79"/>
        <v>0.67932999999999666</v>
      </c>
    </row>
    <row r="452" spans="1:21" x14ac:dyDescent="0.25">
      <c r="A452" s="3">
        <v>1.2376625037555699E+18</v>
      </c>
      <c r="B452" s="3">
        <v>236.19469000000001</v>
      </c>
      <c r="C452" s="3">
        <v>36.616700000000002</v>
      </c>
      <c r="D452" s="3">
        <v>0.74068239999999996</v>
      </c>
      <c r="E452" s="3">
        <v>2.746430085860414</v>
      </c>
      <c r="F452" s="3">
        <v>222204.72</v>
      </c>
      <c r="G452" s="3">
        <v>23.824400000000001</v>
      </c>
      <c r="H452" s="3">
        <v>24.87509</v>
      </c>
      <c r="I452" s="3">
        <v>21.563510000000001</v>
      </c>
      <c r="J452" s="3">
        <v>20.15137</v>
      </c>
      <c r="K452" s="3">
        <v>19.567319999999999</v>
      </c>
      <c r="L452" s="3">
        <f t="shared" si="70"/>
        <v>-1.0506899999999995</v>
      </c>
      <c r="M452" s="3">
        <f t="shared" si="71"/>
        <v>2.2608899999999998</v>
      </c>
      <c r="N452" s="3">
        <f t="shared" si="72"/>
        <v>3.6730300000000007</v>
      </c>
      <c r="O452" s="3">
        <f t="shared" si="73"/>
        <v>4.257080000000002</v>
      </c>
      <c r="P452" s="3">
        <f t="shared" si="74"/>
        <v>3.3115799999999993</v>
      </c>
      <c r="Q452" s="3">
        <f t="shared" si="75"/>
        <v>4.7237200000000001</v>
      </c>
      <c r="R452" s="3">
        <f t="shared" si="76"/>
        <v>5.3077700000000014</v>
      </c>
      <c r="S452" s="3">
        <f t="shared" si="77"/>
        <v>1.4121400000000008</v>
      </c>
      <c r="T452" s="3">
        <f t="shared" si="78"/>
        <v>1.9961900000000021</v>
      </c>
      <c r="U452" s="3">
        <f t="shared" si="79"/>
        <v>0.58405000000000129</v>
      </c>
    </row>
    <row r="453" spans="1:21" x14ac:dyDescent="0.25">
      <c r="A453" s="3">
        <v>1.2376625032187699E+18</v>
      </c>
      <c r="B453" s="3">
        <v>235.89998</v>
      </c>
      <c r="C453" s="3">
        <v>36.169797000000003</v>
      </c>
      <c r="D453" s="3">
        <v>0.74253760000000002</v>
      </c>
      <c r="E453" s="3">
        <v>1.5426624039332877</v>
      </c>
      <c r="F453" s="3">
        <v>222761.28</v>
      </c>
      <c r="G453" s="3">
        <v>26.240690000000001</v>
      </c>
      <c r="H453" s="3">
        <v>21.7713</v>
      </c>
      <c r="I453" s="3">
        <v>20.84554</v>
      </c>
      <c r="J453" s="3">
        <v>19.79608</v>
      </c>
      <c r="K453" s="3">
        <v>19.613379999999999</v>
      </c>
      <c r="L453" s="3">
        <f t="shared" si="70"/>
        <v>4.4693900000000006</v>
      </c>
      <c r="M453" s="3">
        <f t="shared" si="71"/>
        <v>5.395150000000001</v>
      </c>
      <c r="N453" s="3">
        <f t="shared" si="72"/>
        <v>6.4446100000000008</v>
      </c>
      <c r="O453" s="3">
        <f t="shared" si="73"/>
        <v>6.6273100000000014</v>
      </c>
      <c r="P453" s="3">
        <f t="shared" si="74"/>
        <v>0.92576000000000036</v>
      </c>
      <c r="Q453" s="3">
        <f t="shared" si="75"/>
        <v>1.9752200000000002</v>
      </c>
      <c r="R453" s="3">
        <f t="shared" si="76"/>
        <v>2.1579200000000007</v>
      </c>
      <c r="S453" s="3">
        <f t="shared" si="77"/>
        <v>1.0494599999999998</v>
      </c>
      <c r="T453" s="3">
        <f t="shared" si="78"/>
        <v>1.2321600000000004</v>
      </c>
      <c r="U453" s="3">
        <f t="shared" si="79"/>
        <v>0.18270000000000053</v>
      </c>
    </row>
    <row r="454" spans="1:21" x14ac:dyDescent="0.25">
      <c r="A454" s="3">
        <v>1.2376625037557701E+18</v>
      </c>
      <c r="B454" s="3">
        <v>236.70024000000001</v>
      </c>
      <c r="C454" s="3">
        <v>36.349096000000003</v>
      </c>
      <c r="D454" s="3">
        <v>0.74318479999999998</v>
      </c>
      <c r="E454" s="3">
        <v>2.3627915046556711</v>
      </c>
      <c r="F454" s="3">
        <v>222955.44</v>
      </c>
      <c r="G454" s="3">
        <v>25.278390000000002</v>
      </c>
      <c r="H454" s="3">
        <v>23.238520000000001</v>
      </c>
      <c r="I454" s="3">
        <v>21.156680000000001</v>
      </c>
      <c r="J454" s="3">
        <v>19.971129999999999</v>
      </c>
      <c r="K454" s="3">
        <v>19.40541</v>
      </c>
      <c r="L454" s="3">
        <f t="shared" si="70"/>
        <v>2.0398700000000005</v>
      </c>
      <c r="M454" s="3">
        <f t="shared" si="71"/>
        <v>4.1217100000000002</v>
      </c>
      <c r="N454" s="3">
        <f t="shared" si="72"/>
        <v>5.307260000000003</v>
      </c>
      <c r="O454" s="3">
        <f t="shared" si="73"/>
        <v>5.8729800000000019</v>
      </c>
      <c r="P454" s="3">
        <f t="shared" si="74"/>
        <v>2.0818399999999997</v>
      </c>
      <c r="Q454" s="3">
        <f t="shared" si="75"/>
        <v>3.2673900000000025</v>
      </c>
      <c r="R454" s="3">
        <f t="shared" si="76"/>
        <v>3.8331100000000013</v>
      </c>
      <c r="S454" s="3">
        <f t="shared" si="77"/>
        <v>1.1855500000000028</v>
      </c>
      <c r="T454" s="3">
        <f t="shared" si="78"/>
        <v>1.7512700000000017</v>
      </c>
      <c r="U454" s="3">
        <f t="shared" si="79"/>
        <v>0.56571999999999889</v>
      </c>
    </row>
    <row r="455" spans="1:21" x14ac:dyDescent="0.25">
      <c r="A455" s="3">
        <v>1.23766247369107E+18</v>
      </c>
      <c r="B455" s="3">
        <v>236.62592000000001</v>
      </c>
      <c r="C455" s="3">
        <v>36.188048999999999</v>
      </c>
      <c r="D455" s="3">
        <v>0.74811269999999996</v>
      </c>
      <c r="E455" s="3">
        <v>1.709089039283239</v>
      </c>
      <c r="F455" s="3">
        <v>224433.81</v>
      </c>
      <c r="G455" s="3">
        <v>24.598220000000001</v>
      </c>
      <c r="H455" s="3">
        <v>24.004960000000001</v>
      </c>
      <c r="I455" s="3">
        <v>21.93703</v>
      </c>
      <c r="J455" s="3">
        <v>20.719660000000001</v>
      </c>
      <c r="K455" s="3">
        <v>19.82798</v>
      </c>
      <c r="L455" s="3">
        <f t="shared" si="70"/>
        <v>0.59326000000000079</v>
      </c>
      <c r="M455" s="3">
        <f t="shared" si="71"/>
        <v>2.6611900000000013</v>
      </c>
      <c r="N455" s="3">
        <f t="shared" si="72"/>
        <v>3.8785600000000002</v>
      </c>
      <c r="O455" s="3">
        <f t="shared" si="73"/>
        <v>4.7702400000000011</v>
      </c>
      <c r="P455" s="3">
        <f t="shared" si="74"/>
        <v>2.0679300000000005</v>
      </c>
      <c r="Q455" s="3">
        <f t="shared" si="75"/>
        <v>3.2852999999999994</v>
      </c>
      <c r="R455" s="3">
        <f t="shared" si="76"/>
        <v>4.1769800000000004</v>
      </c>
      <c r="S455" s="3">
        <f t="shared" si="77"/>
        <v>1.217369999999999</v>
      </c>
      <c r="T455" s="3">
        <f t="shared" si="78"/>
        <v>2.1090499999999999</v>
      </c>
      <c r="U455" s="3">
        <f t="shared" si="79"/>
        <v>0.89168000000000092</v>
      </c>
    </row>
    <row r="456" spans="1:21" x14ac:dyDescent="0.25">
      <c r="A456" s="3">
        <v>1.23766250375584E+18</v>
      </c>
      <c r="B456" s="3">
        <v>236.67214999999999</v>
      </c>
      <c r="C456" s="3">
        <v>36.221825000000003</v>
      </c>
      <c r="D456" s="3">
        <v>0.74823879999999998</v>
      </c>
      <c r="E456" s="3">
        <v>1.9532015879904261</v>
      </c>
      <c r="F456" s="3">
        <v>224471.63999999998</v>
      </c>
      <c r="G456" s="3">
        <v>26.598510000000001</v>
      </c>
      <c r="H456" s="3">
        <v>23.802340000000001</v>
      </c>
      <c r="I456" s="3">
        <v>22.295870000000001</v>
      </c>
      <c r="J456" s="3">
        <v>20.434049999999999</v>
      </c>
      <c r="K456" s="3">
        <v>19.601420000000001</v>
      </c>
      <c r="L456" s="3">
        <f t="shared" si="70"/>
        <v>2.79617</v>
      </c>
      <c r="M456" s="3">
        <f t="shared" si="71"/>
        <v>4.3026400000000002</v>
      </c>
      <c r="N456" s="3">
        <f t="shared" si="72"/>
        <v>6.1644600000000018</v>
      </c>
      <c r="O456" s="3">
        <f t="shared" si="73"/>
        <v>6.99709</v>
      </c>
      <c r="P456" s="3">
        <f t="shared" si="74"/>
        <v>1.5064700000000002</v>
      </c>
      <c r="Q456" s="3">
        <f t="shared" si="75"/>
        <v>3.3682900000000018</v>
      </c>
      <c r="R456" s="3">
        <f t="shared" si="76"/>
        <v>4.20092</v>
      </c>
      <c r="S456" s="3">
        <f t="shared" si="77"/>
        <v>1.8618200000000016</v>
      </c>
      <c r="T456" s="3">
        <f t="shared" si="78"/>
        <v>2.6944499999999998</v>
      </c>
      <c r="U456" s="3">
        <f t="shared" si="79"/>
        <v>0.8326299999999982</v>
      </c>
    </row>
    <row r="457" spans="1:21" x14ac:dyDescent="0.25">
      <c r="A457" s="3">
        <v>1.23766247369107E+18</v>
      </c>
      <c r="B457" s="3">
        <v>236.65719999999999</v>
      </c>
      <c r="C457" s="3">
        <v>36.208621999999998</v>
      </c>
      <c r="D457" s="3">
        <v>0.74897089999999999</v>
      </c>
      <c r="E457" s="3">
        <v>1.8699138014885417</v>
      </c>
      <c r="F457" s="3">
        <v>224691.27</v>
      </c>
      <c r="G457" s="3">
        <v>23.081140000000001</v>
      </c>
      <c r="H457" s="3">
        <v>23.762640000000001</v>
      </c>
      <c r="I457" s="3">
        <v>21.857710000000001</v>
      </c>
      <c r="J457" s="3">
        <v>20.356280000000002</v>
      </c>
      <c r="K457" s="3">
        <v>19.582989999999999</v>
      </c>
      <c r="L457" s="3">
        <f t="shared" si="70"/>
        <v>-0.68149999999999977</v>
      </c>
      <c r="M457" s="3">
        <f t="shared" si="71"/>
        <v>1.2234300000000005</v>
      </c>
      <c r="N457" s="3">
        <f t="shared" si="72"/>
        <v>2.7248599999999996</v>
      </c>
      <c r="O457" s="3">
        <f t="shared" si="73"/>
        <v>3.4981500000000025</v>
      </c>
      <c r="P457" s="3">
        <f t="shared" si="74"/>
        <v>1.9049300000000002</v>
      </c>
      <c r="Q457" s="3">
        <f t="shared" si="75"/>
        <v>3.4063599999999994</v>
      </c>
      <c r="R457" s="3">
        <f t="shared" si="76"/>
        <v>4.1796500000000023</v>
      </c>
      <c r="S457" s="3">
        <f t="shared" si="77"/>
        <v>1.5014299999999992</v>
      </c>
      <c r="T457" s="3">
        <f t="shared" si="78"/>
        <v>2.2747200000000021</v>
      </c>
      <c r="U457" s="3">
        <f t="shared" si="79"/>
        <v>0.77329000000000292</v>
      </c>
    </row>
    <row r="458" spans="1:21" x14ac:dyDescent="0.25">
      <c r="A458" s="3">
        <v>1.23766247369107E+18</v>
      </c>
      <c r="B458" s="3">
        <v>236.65719999999999</v>
      </c>
      <c r="C458" s="3">
        <v>36.208615000000002</v>
      </c>
      <c r="D458" s="3">
        <v>0.74951780000000001</v>
      </c>
      <c r="E458" s="3">
        <v>1.8699030676912132</v>
      </c>
      <c r="F458" s="3">
        <v>224855.34</v>
      </c>
      <c r="G458" s="3">
        <v>23.081140000000001</v>
      </c>
      <c r="H458" s="3">
        <v>23.762640000000001</v>
      </c>
      <c r="I458" s="3">
        <v>21.857710000000001</v>
      </c>
      <c r="J458" s="3">
        <v>20.356280000000002</v>
      </c>
      <c r="K458" s="3">
        <v>19.582989999999999</v>
      </c>
      <c r="L458" s="3">
        <f t="shared" si="70"/>
        <v>-0.68149999999999977</v>
      </c>
      <c r="M458" s="3">
        <f t="shared" si="71"/>
        <v>1.2234300000000005</v>
      </c>
      <c r="N458" s="3">
        <f t="shared" si="72"/>
        <v>2.7248599999999996</v>
      </c>
      <c r="O458" s="3">
        <f t="shared" si="73"/>
        <v>3.4981500000000025</v>
      </c>
      <c r="P458" s="3">
        <f t="shared" si="74"/>
        <v>1.9049300000000002</v>
      </c>
      <c r="Q458" s="3">
        <f t="shared" si="75"/>
        <v>3.4063599999999994</v>
      </c>
      <c r="R458" s="3">
        <f t="shared" si="76"/>
        <v>4.1796500000000023</v>
      </c>
      <c r="S458" s="3">
        <f t="shared" si="77"/>
        <v>1.5014299999999992</v>
      </c>
      <c r="T458" s="3">
        <f t="shared" si="78"/>
        <v>2.2747200000000021</v>
      </c>
      <c r="U458" s="3">
        <f t="shared" si="79"/>
        <v>0.77329000000000292</v>
      </c>
    </row>
    <row r="459" spans="1:21" x14ac:dyDescent="0.25">
      <c r="A459" s="3">
        <v>1.23766250375584E+18</v>
      </c>
      <c r="B459" s="3">
        <v>236.68508</v>
      </c>
      <c r="C459" s="3">
        <v>36.214616999999997</v>
      </c>
      <c r="D459" s="3">
        <v>0.74957359999999995</v>
      </c>
      <c r="E459" s="3">
        <v>1.9955029160327731</v>
      </c>
      <c r="F459" s="3">
        <v>224872.08</v>
      </c>
      <c r="G459" s="3">
        <v>23.661740000000002</v>
      </c>
      <c r="H459" s="3">
        <v>23.18769</v>
      </c>
      <c r="I459" s="3">
        <v>21.239619999999999</v>
      </c>
      <c r="J459" s="3">
        <v>20.089369999999999</v>
      </c>
      <c r="K459" s="3">
        <v>19.38317</v>
      </c>
      <c r="L459" s="3">
        <f t="shared" si="70"/>
        <v>0.47405000000000186</v>
      </c>
      <c r="M459" s="3">
        <f t="shared" si="71"/>
        <v>2.4221200000000032</v>
      </c>
      <c r="N459" s="3">
        <f t="shared" si="72"/>
        <v>3.5723700000000029</v>
      </c>
      <c r="O459" s="3">
        <f t="shared" si="73"/>
        <v>4.278570000000002</v>
      </c>
      <c r="P459" s="3">
        <f t="shared" si="74"/>
        <v>1.9480700000000013</v>
      </c>
      <c r="Q459" s="3">
        <f t="shared" si="75"/>
        <v>3.0983200000000011</v>
      </c>
      <c r="R459" s="3">
        <f t="shared" si="76"/>
        <v>3.8045200000000001</v>
      </c>
      <c r="S459" s="3">
        <f t="shared" si="77"/>
        <v>1.1502499999999998</v>
      </c>
      <c r="T459" s="3">
        <f t="shared" si="78"/>
        <v>1.8564499999999988</v>
      </c>
      <c r="U459" s="3">
        <f t="shared" si="79"/>
        <v>0.70619999999999905</v>
      </c>
    </row>
    <row r="460" spans="1:21" x14ac:dyDescent="0.25">
      <c r="A460" s="3">
        <v>1.23766250375584E+18</v>
      </c>
      <c r="B460" s="3">
        <v>236.77429000000001</v>
      </c>
      <c r="C460" s="3">
        <v>36.208153000000003</v>
      </c>
      <c r="D460" s="3">
        <v>0.75197320000000001</v>
      </c>
      <c r="E460" s="3">
        <v>2.3627089947104682</v>
      </c>
      <c r="F460" s="3">
        <v>225591.96</v>
      </c>
      <c r="G460" s="3">
        <v>24.311730000000001</v>
      </c>
      <c r="H460" s="3">
        <v>24.18899</v>
      </c>
      <c r="I460" s="3">
        <v>21.652470000000001</v>
      </c>
      <c r="J460" s="3">
        <v>20.36487</v>
      </c>
      <c r="K460" s="3">
        <v>19.551860000000001</v>
      </c>
      <c r="L460" s="3">
        <f t="shared" si="70"/>
        <v>0.12274000000000029</v>
      </c>
      <c r="M460" s="3">
        <f t="shared" si="71"/>
        <v>2.6592599999999997</v>
      </c>
      <c r="N460" s="3">
        <f t="shared" si="72"/>
        <v>3.9468600000000009</v>
      </c>
      <c r="O460" s="3">
        <f t="shared" si="73"/>
        <v>4.7598699999999994</v>
      </c>
      <c r="P460" s="3">
        <f t="shared" si="74"/>
        <v>2.5365199999999994</v>
      </c>
      <c r="Q460" s="3">
        <f t="shared" si="75"/>
        <v>3.8241200000000006</v>
      </c>
      <c r="R460" s="3">
        <f t="shared" si="76"/>
        <v>4.6371299999999991</v>
      </c>
      <c r="S460" s="3">
        <f t="shared" si="77"/>
        <v>1.2876000000000012</v>
      </c>
      <c r="T460" s="3">
        <f t="shared" si="78"/>
        <v>2.1006099999999996</v>
      </c>
      <c r="U460" s="3">
        <f t="shared" si="79"/>
        <v>0.81300999999999846</v>
      </c>
    </row>
    <row r="461" spans="1:21" x14ac:dyDescent="0.25">
      <c r="A461" s="3">
        <v>1.23766250321903E+18</v>
      </c>
      <c r="B461" s="3">
        <v>236.51545999999999</v>
      </c>
      <c r="C461" s="3">
        <v>35.822284000000003</v>
      </c>
      <c r="D461" s="3">
        <v>0.76778250000000003</v>
      </c>
      <c r="E461" s="3">
        <v>1.9460522248132719</v>
      </c>
      <c r="F461" s="3">
        <v>230334.75</v>
      </c>
      <c r="G461" s="3">
        <v>25.60014</v>
      </c>
      <c r="H461" s="3">
        <v>22.946739999999998</v>
      </c>
      <c r="I461" s="3">
        <v>21.45551</v>
      </c>
      <c r="J461" s="3">
        <v>20.376100000000001</v>
      </c>
      <c r="K461" s="3">
        <v>19.69107</v>
      </c>
      <c r="L461" s="3">
        <f t="shared" si="70"/>
        <v>2.6534000000000013</v>
      </c>
      <c r="M461" s="3">
        <f t="shared" si="71"/>
        <v>4.1446299999999994</v>
      </c>
      <c r="N461" s="3">
        <f t="shared" si="72"/>
        <v>5.2240399999999987</v>
      </c>
      <c r="O461" s="3">
        <f t="shared" si="73"/>
        <v>5.9090699999999998</v>
      </c>
      <c r="P461" s="3">
        <f t="shared" si="74"/>
        <v>1.4912299999999981</v>
      </c>
      <c r="Q461" s="3">
        <f t="shared" si="75"/>
        <v>2.5706399999999974</v>
      </c>
      <c r="R461" s="3">
        <f t="shared" si="76"/>
        <v>3.2556699999999985</v>
      </c>
      <c r="S461" s="3">
        <f t="shared" si="77"/>
        <v>1.0794099999999993</v>
      </c>
      <c r="T461" s="3">
        <f t="shared" si="78"/>
        <v>1.7644400000000005</v>
      </c>
      <c r="U461" s="3">
        <f t="shared" si="79"/>
        <v>0.68503000000000114</v>
      </c>
    </row>
    <row r="462" spans="1:21" x14ac:dyDescent="0.25">
      <c r="A462" s="3">
        <v>1.23766146544926E+18</v>
      </c>
      <c r="B462" s="3">
        <v>235.65621999999999</v>
      </c>
      <c r="C462" s="3">
        <v>35.600143000000003</v>
      </c>
      <c r="D462" s="3">
        <v>0.77944259999999999</v>
      </c>
      <c r="E462" s="3">
        <v>3.7695485619437057</v>
      </c>
      <c r="F462" s="3">
        <v>233832.78</v>
      </c>
      <c r="G462" s="3">
        <v>24.64151</v>
      </c>
      <c r="H462" s="3">
        <v>22.965990000000001</v>
      </c>
      <c r="I462" s="3">
        <v>21.681090000000001</v>
      </c>
      <c r="J462" s="3">
        <v>20.630289999999999</v>
      </c>
      <c r="K462" s="3">
        <v>19.90399</v>
      </c>
      <c r="L462" s="3">
        <f t="shared" si="70"/>
        <v>1.6755199999999988</v>
      </c>
      <c r="M462" s="3">
        <f t="shared" si="71"/>
        <v>2.9604199999999992</v>
      </c>
      <c r="N462" s="3">
        <f t="shared" si="72"/>
        <v>4.0112200000000016</v>
      </c>
      <c r="O462" s="3">
        <f t="shared" si="73"/>
        <v>4.73752</v>
      </c>
      <c r="P462" s="3">
        <f t="shared" si="74"/>
        <v>1.2849000000000004</v>
      </c>
      <c r="Q462" s="3">
        <f t="shared" si="75"/>
        <v>2.3357000000000028</v>
      </c>
      <c r="R462" s="3">
        <f t="shared" si="76"/>
        <v>3.0620000000000012</v>
      </c>
      <c r="S462" s="3">
        <f t="shared" si="77"/>
        <v>1.0508000000000024</v>
      </c>
      <c r="T462" s="3">
        <f t="shared" si="78"/>
        <v>1.7771000000000008</v>
      </c>
      <c r="U462" s="3">
        <f t="shared" si="79"/>
        <v>0.72629999999999839</v>
      </c>
    </row>
    <row r="463" spans="1:21" x14ac:dyDescent="0.25">
      <c r="A463" s="3">
        <v>1.2376625032187699E+18</v>
      </c>
      <c r="B463" s="3">
        <v>236.08042</v>
      </c>
      <c r="C463" s="3">
        <v>36.165427999999999</v>
      </c>
      <c r="D463" s="3">
        <v>0.8278295</v>
      </c>
      <c r="E463" s="3">
        <v>0.78220826793059561</v>
      </c>
      <c r="F463" s="3">
        <v>248348.85</v>
      </c>
      <c r="G463" s="3">
        <v>24.889679999999998</v>
      </c>
      <c r="H463" s="3">
        <v>23.675380000000001</v>
      </c>
      <c r="I463" s="3">
        <v>21.910329999999998</v>
      </c>
      <c r="J463" s="3">
        <v>20.674910000000001</v>
      </c>
      <c r="K463" s="3">
        <v>19.78884</v>
      </c>
      <c r="L463" s="3">
        <f t="shared" si="70"/>
        <v>1.2142999999999979</v>
      </c>
      <c r="M463" s="3">
        <f t="shared" si="71"/>
        <v>2.9793500000000002</v>
      </c>
      <c r="N463" s="3">
        <f t="shared" si="72"/>
        <v>4.2147699999999979</v>
      </c>
      <c r="O463" s="3">
        <f t="shared" si="73"/>
        <v>5.100839999999998</v>
      </c>
      <c r="P463" s="3">
        <f t="shared" si="74"/>
        <v>1.7650500000000022</v>
      </c>
      <c r="Q463" s="3">
        <f t="shared" si="75"/>
        <v>3.00047</v>
      </c>
      <c r="R463" s="3">
        <f t="shared" si="76"/>
        <v>3.8865400000000001</v>
      </c>
      <c r="S463" s="3">
        <f t="shared" si="77"/>
        <v>1.2354199999999977</v>
      </c>
      <c r="T463" s="3">
        <f t="shared" si="78"/>
        <v>2.1214899999999979</v>
      </c>
      <c r="U463" s="3">
        <f t="shared" si="79"/>
        <v>0.88607000000000014</v>
      </c>
    </row>
    <row r="464" spans="1:21" x14ac:dyDescent="0.25">
      <c r="A464" s="3">
        <v>1.2376625037556401E+18</v>
      </c>
      <c r="B464" s="3">
        <v>236.26182</v>
      </c>
      <c r="C464" s="3">
        <v>36.526017000000003</v>
      </c>
      <c r="D464" s="3">
        <v>0.83264159999999998</v>
      </c>
      <c r="E464" s="3">
        <v>2.2490262439940967</v>
      </c>
      <c r="F464" s="3">
        <v>249792.47999999998</v>
      </c>
      <c r="G464" s="3">
        <v>25.915299999999998</v>
      </c>
      <c r="H464" s="3">
        <v>25.09084</v>
      </c>
      <c r="I464" s="3">
        <v>22.287040000000001</v>
      </c>
      <c r="J464" s="3">
        <v>20.867519999999999</v>
      </c>
      <c r="K464" s="3">
        <v>19.945830000000001</v>
      </c>
      <c r="L464" s="3">
        <f t="shared" si="70"/>
        <v>0.82445999999999842</v>
      </c>
      <c r="M464" s="3">
        <f t="shared" si="71"/>
        <v>3.6282599999999974</v>
      </c>
      <c r="N464" s="3">
        <f t="shared" si="72"/>
        <v>5.0477799999999995</v>
      </c>
      <c r="O464" s="3">
        <f t="shared" si="73"/>
        <v>5.9694699999999976</v>
      </c>
      <c r="P464" s="3">
        <f t="shared" si="74"/>
        <v>2.803799999999999</v>
      </c>
      <c r="Q464" s="3">
        <f t="shared" si="75"/>
        <v>4.2233200000000011</v>
      </c>
      <c r="R464" s="3">
        <f t="shared" si="76"/>
        <v>5.1450099999999992</v>
      </c>
      <c r="S464" s="3">
        <f t="shared" si="77"/>
        <v>1.4195200000000021</v>
      </c>
      <c r="T464" s="3">
        <f t="shared" si="78"/>
        <v>2.3412100000000002</v>
      </c>
      <c r="U464" s="3">
        <f t="shared" si="79"/>
        <v>0.92168999999999812</v>
      </c>
    </row>
    <row r="465" spans="1:21" x14ac:dyDescent="0.25">
      <c r="A465" s="3">
        <v>1.2376625032186399E+18</v>
      </c>
      <c r="B465" s="3">
        <v>235.76282</v>
      </c>
      <c r="C465" s="3">
        <v>36.297714999999997</v>
      </c>
      <c r="D465" s="3">
        <v>0.86897500000000005</v>
      </c>
      <c r="E465" s="3">
        <v>2.3364065470570674</v>
      </c>
      <c r="F465" s="3">
        <v>260692.50000000003</v>
      </c>
      <c r="G465" s="3">
        <v>23.741340000000001</v>
      </c>
      <c r="H465" s="3">
        <v>24.33634</v>
      </c>
      <c r="I465" s="3">
        <v>21.901409999999998</v>
      </c>
      <c r="J465" s="3">
        <v>20.852429999999998</v>
      </c>
      <c r="K465" s="3">
        <v>19.909579999999998</v>
      </c>
      <c r="L465" s="3">
        <f t="shared" si="70"/>
        <v>-0.59499999999999886</v>
      </c>
      <c r="M465" s="3">
        <f t="shared" si="71"/>
        <v>1.8399300000000025</v>
      </c>
      <c r="N465" s="3">
        <f t="shared" si="72"/>
        <v>2.8889100000000028</v>
      </c>
      <c r="O465" s="3">
        <f t="shared" si="73"/>
        <v>3.8317600000000027</v>
      </c>
      <c r="P465" s="3">
        <f t="shared" si="74"/>
        <v>2.4349300000000014</v>
      </c>
      <c r="Q465" s="3">
        <f t="shared" si="75"/>
        <v>3.4839100000000016</v>
      </c>
      <c r="R465" s="3">
        <f t="shared" si="76"/>
        <v>4.4267600000000016</v>
      </c>
      <c r="S465" s="3">
        <f t="shared" si="77"/>
        <v>1.0489800000000002</v>
      </c>
      <c r="T465" s="3">
        <f t="shared" si="78"/>
        <v>1.9918300000000002</v>
      </c>
      <c r="U465" s="3">
        <f t="shared" si="79"/>
        <v>0.94284999999999997</v>
      </c>
    </row>
    <row r="466" spans="1:21" x14ac:dyDescent="0.25">
      <c r="A466" s="3">
        <v>1.2376625032189E+18</v>
      </c>
      <c r="B466" s="3">
        <v>236.41856000000001</v>
      </c>
      <c r="C466" s="3">
        <v>36.050172000000003</v>
      </c>
      <c r="D466" s="3">
        <v>0.87962530000000005</v>
      </c>
      <c r="E466" s="3">
        <v>0.81786985256855427</v>
      </c>
      <c r="F466" s="3">
        <v>263887.59000000003</v>
      </c>
      <c r="G466" s="3">
        <v>25.042819999999999</v>
      </c>
      <c r="H466" s="3">
        <v>23.45712</v>
      </c>
      <c r="I466" s="3">
        <v>22.084949999999999</v>
      </c>
      <c r="J466" s="3">
        <v>20.65607</v>
      </c>
      <c r="K466" s="3">
        <v>19.69209</v>
      </c>
      <c r="L466" s="3">
        <f t="shared" si="70"/>
        <v>1.5856999999999992</v>
      </c>
      <c r="M466" s="3">
        <f t="shared" si="71"/>
        <v>2.9578699999999998</v>
      </c>
      <c r="N466" s="3">
        <f t="shared" si="72"/>
        <v>4.3867499999999993</v>
      </c>
      <c r="O466" s="3">
        <f t="shared" si="73"/>
        <v>5.3507299999999987</v>
      </c>
      <c r="P466" s="3">
        <f t="shared" si="74"/>
        <v>1.3721700000000006</v>
      </c>
      <c r="Q466" s="3">
        <f t="shared" si="75"/>
        <v>2.80105</v>
      </c>
      <c r="R466" s="3">
        <f t="shared" si="76"/>
        <v>3.7650299999999994</v>
      </c>
      <c r="S466" s="3">
        <f t="shared" si="77"/>
        <v>1.4288799999999995</v>
      </c>
      <c r="T466" s="3">
        <f t="shared" si="78"/>
        <v>2.3928599999999989</v>
      </c>
      <c r="U466" s="3">
        <f t="shared" si="79"/>
        <v>0.96397999999999939</v>
      </c>
    </row>
    <row r="467" spans="1:21" x14ac:dyDescent="0.25">
      <c r="A467" s="3">
        <v>1.2376624736910001E+18</v>
      </c>
      <c r="B467" s="3">
        <v>236.47665000000001</v>
      </c>
      <c r="C467" s="3">
        <v>36.259357999999999</v>
      </c>
      <c r="D467" s="3">
        <v>0.88017769999999995</v>
      </c>
      <c r="E467" s="3">
        <v>1.2898826457907628</v>
      </c>
      <c r="F467" s="3">
        <v>264053.31</v>
      </c>
      <c r="G467" s="3">
        <v>25.936309999999999</v>
      </c>
      <c r="H467" s="3">
        <v>23.063330000000001</v>
      </c>
      <c r="I467" s="3">
        <v>21.68759</v>
      </c>
      <c r="J467" s="3">
        <v>20.13692</v>
      </c>
      <c r="K467" s="3">
        <v>19.025780000000001</v>
      </c>
      <c r="L467" s="3">
        <f t="shared" si="70"/>
        <v>2.8729799999999983</v>
      </c>
      <c r="M467" s="3">
        <f t="shared" si="71"/>
        <v>4.2487199999999987</v>
      </c>
      <c r="N467" s="3">
        <f t="shared" si="72"/>
        <v>5.7993899999999989</v>
      </c>
      <c r="O467" s="3">
        <f t="shared" si="73"/>
        <v>6.9105299999999978</v>
      </c>
      <c r="P467" s="3">
        <f t="shared" si="74"/>
        <v>1.3757400000000004</v>
      </c>
      <c r="Q467" s="3">
        <f t="shared" si="75"/>
        <v>2.9264100000000006</v>
      </c>
      <c r="R467" s="3">
        <f t="shared" si="76"/>
        <v>4.0375499999999995</v>
      </c>
      <c r="S467" s="3">
        <f t="shared" si="77"/>
        <v>1.5506700000000002</v>
      </c>
      <c r="T467" s="3">
        <f t="shared" si="78"/>
        <v>2.6618099999999991</v>
      </c>
      <c r="U467" s="3">
        <f t="shared" si="79"/>
        <v>1.1111399999999989</v>
      </c>
    </row>
    <row r="468" spans="1:21" x14ac:dyDescent="0.25">
      <c r="A468" s="3">
        <v>1.23766247422781E+18</v>
      </c>
      <c r="B468" s="3">
        <v>236.71458999999999</v>
      </c>
      <c r="C468" s="3">
        <v>36.599280999999998</v>
      </c>
      <c r="D468" s="3">
        <v>0.88405560000000005</v>
      </c>
      <c r="E468" s="3">
        <v>3.3370199831582537</v>
      </c>
      <c r="F468" s="3">
        <v>265216.68</v>
      </c>
      <c r="G468" s="3">
        <v>24.81645</v>
      </c>
      <c r="H468" s="3">
        <v>22.528700000000001</v>
      </c>
      <c r="I468" s="3">
        <v>22.07367</v>
      </c>
      <c r="J468" s="3">
        <v>20.553070000000002</v>
      </c>
      <c r="K468" s="3">
        <v>19.59057</v>
      </c>
      <c r="L468" s="3">
        <f t="shared" si="70"/>
        <v>2.2877499999999991</v>
      </c>
      <c r="M468" s="3">
        <f t="shared" si="71"/>
        <v>2.7427799999999998</v>
      </c>
      <c r="N468" s="3">
        <f t="shared" si="72"/>
        <v>4.2633799999999979</v>
      </c>
      <c r="O468" s="3">
        <f t="shared" si="73"/>
        <v>5.2258800000000001</v>
      </c>
      <c r="P468" s="3">
        <f t="shared" si="74"/>
        <v>0.45503000000000071</v>
      </c>
      <c r="Q468" s="3">
        <f t="shared" si="75"/>
        <v>1.9756299999999989</v>
      </c>
      <c r="R468" s="3">
        <f t="shared" si="76"/>
        <v>2.938130000000001</v>
      </c>
      <c r="S468" s="3">
        <f t="shared" si="77"/>
        <v>1.5205999999999982</v>
      </c>
      <c r="T468" s="3">
        <f t="shared" si="78"/>
        <v>2.4831000000000003</v>
      </c>
      <c r="U468" s="3">
        <f t="shared" si="79"/>
        <v>0.96250000000000213</v>
      </c>
    </row>
    <row r="469" spans="1:21" x14ac:dyDescent="0.25">
      <c r="A469" s="3">
        <v>1.2376625037557701E+18</v>
      </c>
      <c r="B469" s="3">
        <v>236.72444999999999</v>
      </c>
      <c r="C469" s="3">
        <v>36.354111000000003</v>
      </c>
      <c r="D469" s="3">
        <v>0.92930959999999996</v>
      </c>
      <c r="E469" s="3">
        <v>2.4660038624059664</v>
      </c>
      <c r="F469" s="3">
        <v>278792.88</v>
      </c>
      <c r="G469" s="3">
        <v>24.682770000000001</v>
      </c>
      <c r="H469" s="3">
        <v>22.57714</v>
      </c>
      <c r="I469" s="3">
        <v>21.925850000000001</v>
      </c>
      <c r="J469" s="3">
        <v>20.745229999999999</v>
      </c>
      <c r="K469" s="3">
        <v>19.860289999999999</v>
      </c>
      <c r="L469" s="3">
        <f t="shared" si="70"/>
        <v>2.1056300000000014</v>
      </c>
      <c r="M469" s="3">
        <f t="shared" si="71"/>
        <v>2.7569200000000009</v>
      </c>
      <c r="N469" s="3">
        <f t="shared" si="72"/>
        <v>3.937540000000002</v>
      </c>
      <c r="O469" s="3">
        <f t="shared" si="73"/>
        <v>4.8224800000000023</v>
      </c>
      <c r="P469" s="3">
        <f t="shared" si="74"/>
        <v>0.65128999999999948</v>
      </c>
      <c r="Q469" s="3">
        <f t="shared" si="75"/>
        <v>1.8319100000000006</v>
      </c>
      <c r="R469" s="3">
        <f t="shared" si="76"/>
        <v>2.7168500000000009</v>
      </c>
      <c r="S469" s="3">
        <f t="shared" si="77"/>
        <v>1.1806200000000011</v>
      </c>
      <c r="T469" s="3">
        <f t="shared" si="78"/>
        <v>2.0655600000000014</v>
      </c>
      <c r="U469" s="3">
        <f t="shared" si="79"/>
        <v>0.88494000000000028</v>
      </c>
    </row>
    <row r="470" spans="1:21" x14ac:dyDescent="0.25">
      <c r="A470" s="3">
        <v>1.23766250375584E+18</v>
      </c>
      <c r="B470" s="3">
        <v>236.75128000000001</v>
      </c>
      <c r="C470" s="3">
        <v>36.269359000000001</v>
      </c>
      <c r="D470" s="3">
        <v>0.92970600000000003</v>
      </c>
      <c r="E470" s="3">
        <v>2.3639023328420099</v>
      </c>
      <c r="F470" s="3">
        <v>278911.8</v>
      </c>
      <c r="G470" s="3">
        <v>23.575189999999999</v>
      </c>
      <c r="H470" s="3">
        <v>23.04505</v>
      </c>
      <c r="I470" s="3">
        <v>22.03509</v>
      </c>
      <c r="J470" s="3">
        <v>20.641819999999999</v>
      </c>
      <c r="K470" s="3">
        <v>19.78951</v>
      </c>
      <c r="L470" s="3">
        <f t="shared" si="70"/>
        <v>0.53013999999999939</v>
      </c>
      <c r="M470" s="3">
        <f t="shared" si="71"/>
        <v>1.5400999999999989</v>
      </c>
      <c r="N470" s="3">
        <f t="shared" si="72"/>
        <v>2.93337</v>
      </c>
      <c r="O470" s="3">
        <f t="shared" si="73"/>
        <v>3.7856799999999993</v>
      </c>
      <c r="P470" s="3">
        <f t="shared" si="74"/>
        <v>1.0099599999999995</v>
      </c>
      <c r="Q470" s="3">
        <f t="shared" si="75"/>
        <v>2.4032300000000006</v>
      </c>
      <c r="R470" s="3">
        <f t="shared" si="76"/>
        <v>3.2555399999999999</v>
      </c>
      <c r="S470" s="3">
        <f t="shared" si="77"/>
        <v>1.3932700000000011</v>
      </c>
      <c r="T470" s="3">
        <f t="shared" si="78"/>
        <v>2.2455800000000004</v>
      </c>
      <c r="U470" s="3">
        <f t="shared" si="79"/>
        <v>0.85230999999999923</v>
      </c>
    </row>
    <row r="471" spans="1:21" x14ac:dyDescent="0.25">
      <c r="A471" s="3">
        <v>1.2376625032190999E+18</v>
      </c>
      <c r="B471" s="3">
        <v>236.77887000000001</v>
      </c>
      <c r="C471" s="3">
        <v>35.666027999999997</v>
      </c>
      <c r="D471" s="3">
        <v>0.94808369999999997</v>
      </c>
      <c r="E471" s="3">
        <v>3.3399209169182922</v>
      </c>
      <c r="F471" s="3">
        <v>284425.11</v>
      </c>
      <c r="G471" s="3">
        <v>22.975660000000001</v>
      </c>
      <c r="H471" s="3">
        <v>23.15042</v>
      </c>
      <c r="I471" s="3">
        <v>22.220939999999999</v>
      </c>
      <c r="J471" s="3">
        <v>20.714269999999999</v>
      </c>
      <c r="K471" s="3">
        <v>19.789459999999998</v>
      </c>
      <c r="L471" s="3">
        <f t="shared" si="70"/>
        <v>-0.17475999999999914</v>
      </c>
      <c r="M471" s="3">
        <f t="shared" si="71"/>
        <v>0.7547200000000025</v>
      </c>
      <c r="N471" s="3">
        <f t="shared" si="72"/>
        <v>2.2613900000000022</v>
      </c>
      <c r="O471" s="3">
        <f t="shared" si="73"/>
        <v>3.186200000000003</v>
      </c>
      <c r="P471" s="3">
        <f t="shared" si="74"/>
        <v>0.92948000000000164</v>
      </c>
      <c r="Q471" s="3">
        <f t="shared" si="75"/>
        <v>2.4361500000000014</v>
      </c>
      <c r="R471" s="3">
        <f t="shared" si="76"/>
        <v>3.3609600000000022</v>
      </c>
      <c r="S471" s="3">
        <f t="shared" si="77"/>
        <v>1.5066699999999997</v>
      </c>
      <c r="T471" s="3">
        <f t="shared" si="78"/>
        <v>2.4314800000000005</v>
      </c>
      <c r="U471" s="3">
        <f t="shared" si="79"/>
        <v>0.9248100000000008</v>
      </c>
    </row>
    <row r="472" spans="1:21" x14ac:dyDescent="0.25">
      <c r="A472" s="3">
        <v>1.2376625032186399E+18</v>
      </c>
      <c r="B472" s="3">
        <v>235.65326999999999</v>
      </c>
      <c r="C472" s="3">
        <v>36.393329000000001</v>
      </c>
      <c r="D472" s="3">
        <v>0.95164079999999995</v>
      </c>
      <c r="E472" s="3">
        <v>3.0000766399428636</v>
      </c>
      <c r="F472" s="3">
        <v>285492.24</v>
      </c>
      <c r="G472" s="3">
        <v>21.736260000000001</v>
      </c>
      <c r="H472" s="3">
        <v>22.831620000000001</v>
      </c>
      <c r="I472" s="3">
        <v>21.503589999999999</v>
      </c>
      <c r="J472" s="3">
        <v>20.448319999999999</v>
      </c>
      <c r="K472" s="3">
        <v>19.79008</v>
      </c>
      <c r="L472" s="3">
        <f t="shared" si="70"/>
        <v>-1.0953599999999994</v>
      </c>
      <c r="M472" s="3">
        <f t="shared" si="71"/>
        <v>0.23267000000000237</v>
      </c>
      <c r="N472" s="3">
        <f t="shared" si="72"/>
        <v>1.2879400000000025</v>
      </c>
      <c r="O472" s="3">
        <f t="shared" si="73"/>
        <v>1.9461800000000018</v>
      </c>
      <c r="P472" s="3">
        <f t="shared" si="74"/>
        <v>1.3280300000000018</v>
      </c>
      <c r="Q472" s="3">
        <f t="shared" si="75"/>
        <v>2.383300000000002</v>
      </c>
      <c r="R472" s="3">
        <f t="shared" si="76"/>
        <v>3.0415400000000012</v>
      </c>
      <c r="S472" s="3">
        <f t="shared" si="77"/>
        <v>1.0552700000000002</v>
      </c>
      <c r="T472" s="3">
        <f t="shared" si="78"/>
        <v>1.7135099999999994</v>
      </c>
      <c r="U472" s="3">
        <f t="shared" si="79"/>
        <v>0.65823999999999927</v>
      </c>
    </row>
    <row r="473" spans="1:21" x14ac:dyDescent="0.25">
      <c r="A473" s="3">
        <v>1.2376625037557701E+18</v>
      </c>
      <c r="B473" s="3">
        <v>236.63907</v>
      </c>
      <c r="C473" s="3">
        <v>36.403058999999999</v>
      </c>
      <c r="D473" s="3">
        <v>0.97035740000000004</v>
      </c>
      <c r="E473" s="3">
        <v>2.3316376775244172</v>
      </c>
      <c r="F473" s="3">
        <v>291107.22000000003</v>
      </c>
      <c r="G473" s="3">
        <v>23.23771</v>
      </c>
      <c r="H473" s="3">
        <v>22.840669999999999</v>
      </c>
      <c r="I473" s="3">
        <v>21.751750000000001</v>
      </c>
      <c r="J473" s="3">
        <v>20.620149999999999</v>
      </c>
      <c r="K473" s="3">
        <v>19.811250000000001</v>
      </c>
      <c r="L473" s="3">
        <f t="shared" si="70"/>
        <v>0.3970400000000005</v>
      </c>
      <c r="M473" s="3">
        <f t="shared" si="71"/>
        <v>1.4859599999999986</v>
      </c>
      <c r="N473" s="3">
        <f t="shared" si="72"/>
        <v>2.617560000000001</v>
      </c>
      <c r="O473" s="3">
        <f t="shared" si="73"/>
        <v>3.4264599999999987</v>
      </c>
      <c r="P473" s="3">
        <f t="shared" si="74"/>
        <v>1.0889199999999981</v>
      </c>
      <c r="Q473" s="3">
        <f t="shared" si="75"/>
        <v>2.2205200000000005</v>
      </c>
      <c r="R473" s="3">
        <f t="shared" si="76"/>
        <v>3.0294199999999982</v>
      </c>
      <c r="S473" s="3">
        <f t="shared" si="77"/>
        <v>1.1316000000000024</v>
      </c>
      <c r="T473" s="3">
        <f t="shared" si="78"/>
        <v>1.9405000000000001</v>
      </c>
      <c r="U473" s="3">
        <f t="shared" si="79"/>
        <v>0.80889999999999773</v>
      </c>
    </row>
    <row r="474" spans="1:21" x14ac:dyDescent="0.25">
      <c r="A474" s="3">
        <v>1.23766247369087E+18</v>
      </c>
      <c r="B474" s="3">
        <v>236.15221</v>
      </c>
      <c r="C474" s="3">
        <v>36.441415999999997</v>
      </c>
      <c r="D474" s="3">
        <v>1.039819</v>
      </c>
      <c r="E474" s="3">
        <v>1.8372709641722484</v>
      </c>
      <c r="F474" s="3">
        <v>311945.7</v>
      </c>
      <c r="G474" s="3">
        <v>22.799420000000001</v>
      </c>
      <c r="H474" s="3">
        <v>23.964259999999999</v>
      </c>
      <c r="I474" s="3">
        <v>21.841010000000001</v>
      </c>
      <c r="J474" s="3">
        <v>20.40042</v>
      </c>
      <c r="K474" s="3">
        <v>19.621469999999999</v>
      </c>
      <c r="L474" s="3">
        <f t="shared" si="70"/>
        <v>-1.1648399999999981</v>
      </c>
      <c r="M474" s="3">
        <f t="shared" si="71"/>
        <v>0.95841000000000065</v>
      </c>
      <c r="N474" s="3">
        <f t="shared" si="72"/>
        <v>2.3990000000000009</v>
      </c>
      <c r="O474" s="3">
        <f t="shared" si="73"/>
        <v>3.1779500000000027</v>
      </c>
      <c r="P474" s="3">
        <f t="shared" si="74"/>
        <v>2.1232499999999987</v>
      </c>
      <c r="Q474" s="3">
        <f t="shared" si="75"/>
        <v>3.563839999999999</v>
      </c>
      <c r="R474" s="3">
        <f t="shared" si="76"/>
        <v>4.3427900000000008</v>
      </c>
      <c r="S474" s="3">
        <f t="shared" si="77"/>
        <v>1.4405900000000003</v>
      </c>
      <c r="T474" s="3">
        <f t="shared" si="78"/>
        <v>2.2195400000000021</v>
      </c>
      <c r="U474" s="3">
        <f t="shared" si="79"/>
        <v>0.77895000000000181</v>
      </c>
    </row>
    <row r="475" spans="1:21" x14ac:dyDescent="0.25">
      <c r="A475" s="3">
        <v>1.2376624736908001E+18</v>
      </c>
      <c r="B475" s="3">
        <v>235.98913999999999</v>
      </c>
      <c r="C475" s="3">
        <v>36.504567000000002</v>
      </c>
      <c r="D475" s="3">
        <v>1.530724</v>
      </c>
      <c r="E475" s="3">
        <v>2.4070626188842068</v>
      </c>
      <c r="F475" s="3">
        <v>459217.2</v>
      </c>
      <c r="G475" s="3">
        <v>24.586320000000001</v>
      </c>
      <c r="H475" s="3">
        <v>23.064900000000002</v>
      </c>
      <c r="I475" s="3">
        <v>21.77084</v>
      </c>
      <c r="J475" s="3">
        <v>20.759450000000001</v>
      </c>
      <c r="K475" s="3">
        <v>19.928840000000001</v>
      </c>
      <c r="L475" s="3">
        <f t="shared" si="70"/>
        <v>1.5214199999999991</v>
      </c>
      <c r="M475" s="3">
        <f t="shared" si="71"/>
        <v>2.8154800000000009</v>
      </c>
      <c r="N475" s="3">
        <f t="shared" si="72"/>
        <v>3.8268699999999995</v>
      </c>
      <c r="O475" s="3">
        <f t="shared" si="73"/>
        <v>4.6574799999999996</v>
      </c>
      <c r="P475" s="3">
        <f t="shared" si="74"/>
        <v>1.2940600000000018</v>
      </c>
      <c r="Q475" s="3">
        <f t="shared" si="75"/>
        <v>2.3054500000000004</v>
      </c>
      <c r="R475" s="3">
        <f t="shared" si="76"/>
        <v>3.1360600000000005</v>
      </c>
      <c r="S475" s="3">
        <f t="shared" si="77"/>
        <v>1.0113899999999987</v>
      </c>
      <c r="T475" s="3">
        <f t="shared" si="78"/>
        <v>1.8419999999999987</v>
      </c>
      <c r="U475" s="3">
        <f t="shared" si="79"/>
        <v>0.83061000000000007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4134C-B67E-419E-87D1-24522527DF39}">
  <dimension ref="A1:AQ477"/>
  <sheetViews>
    <sheetView topLeftCell="A468" workbookViewId="0">
      <selection activeCell="I470" sqref="I470"/>
    </sheetView>
  </sheetViews>
  <sheetFormatPr defaultRowHeight="15" x14ac:dyDescent="0.25"/>
  <cols>
    <col min="16" max="16" width="12.7109375" bestFit="1" customWidth="1"/>
  </cols>
  <sheetData>
    <row r="1" spans="1:43" x14ac:dyDescent="0.25">
      <c r="A1" s="2" t="s">
        <v>0</v>
      </c>
      <c r="B1" s="2" t="s">
        <v>1</v>
      </c>
      <c r="C1" s="2" t="s">
        <v>2</v>
      </c>
      <c r="D1" s="15" t="s">
        <v>3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P1" s="2" t="s">
        <v>1</v>
      </c>
      <c r="Q1" s="2" t="s">
        <v>2</v>
      </c>
      <c r="R1" s="2" t="s">
        <v>3</v>
      </c>
      <c r="S1" s="2" t="s">
        <v>10</v>
      </c>
      <c r="T1" s="2" t="s">
        <v>11</v>
      </c>
      <c r="U1" s="2" t="s">
        <v>12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x14ac:dyDescent="0.25">
      <c r="A2" s="3">
        <v>1.23766233786351E+18</v>
      </c>
      <c r="B2" s="3">
        <v>235.65647999999999</v>
      </c>
      <c r="C2" s="3">
        <v>35.854315</v>
      </c>
      <c r="D2" s="16">
        <v>1.08371E-4</v>
      </c>
      <c r="E2" s="3">
        <v>2.045029999999997</v>
      </c>
      <c r="F2" s="3">
        <v>3.4000399999999971</v>
      </c>
      <c r="G2" s="3">
        <v>4.0615500000000004</v>
      </c>
      <c r="H2" s="3">
        <v>4.438559999999999</v>
      </c>
      <c r="I2" s="3">
        <v>1.35501</v>
      </c>
      <c r="J2" s="3">
        <v>2.0165200000000034</v>
      </c>
      <c r="K2" s="3">
        <v>2.3935300000000019</v>
      </c>
      <c r="L2" s="3">
        <v>0.66151000000000337</v>
      </c>
      <c r="M2" s="3">
        <v>1.0385200000000019</v>
      </c>
      <c r="N2" s="3">
        <v>0.37700999999999851</v>
      </c>
      <c r="P2" s="3">
        <f>(B2-B$476)/B$477</f>
        <v>-1.8764744984469928</v>
      </c>
      <c r="Q2" s="3">
        <f t="shared" ref="Q2:AB2" si="0">(C2-C$476)/C$477</f>
        <v>-0.82536889986706707</v>
      </c>
      <c r="R2" s="3">
        <f t="shared" si="0"/>
        <v>-1.34600694406251</v>
      </c>
      <c r="S2" s="3">
        <f t="shared" si="0"/>
        <v>0.23572514179864956</v>
      </c>
      <c r="T2" s="3">
        <f t="shared" si="0"/>
        <v>0.23160014904160361</v>
      </c>
      <c r="U2" s="3">
        <f t="shared" si="0"/>
        <v>0.17097254711406229</v>
      </c>
      <c r="V2" s="3">
        <f t="shared" si="0"/>
        <v>0.13379367784622245</v>
      </c>
      <c r="W2" s="3">
        <f t="shared" si="0"/>
        <v>4.1105992035561069E-2</v>
      </c>
      <c r="X2" s="3">
        <f t="shared" si="0"/>
        <v>-3.612043252388597E-2</v>
      </c>
      <c r="Y2" s="3">
        <f t="shared" si="0"/>
        <v>-7.0212631359022351E-2</v>
      </c>
      <c r="Z2" s="3">
        <f t="shared" si="0"/>
        <v>-0.14675934704227547</v>
      </c>
      <c r="AA2" s="3">
        <f t="shared" si="0"/>
        <v>-0.17444910651268916</v>
      </c>
      <c r="AB2" s="3">
        <f t="shared" si="0"/>
        <v>-0.20122513752172347</v>
      </c>
    </row>
    <row r="3" spans="1:43" x14ac:dyDescent="0.25">
      <c r="A3" s="3">
        <v>1.2376624731541299E+18</v>
      </c>
      <c r="B3" s="3">
        <v>236.2748</v>
      </c>
      <c r="C3" s="3">
        <v>35.890828999999997</v>
      </c>
      <c r="D3" s="16">
        <v>6.3080749999999998E-3</v>
      </c>
      <c r="E3" s="3">
        <v>0.72406000000000148</v>
      </c>
      <c r="F3" s="3">
        <v>0.86827000000000254</v>
      </c>
      <c r="G3" s="3">
        <v>0.81862000000000279</v>
      </c>
      <c r="H3" s="3">
        <v>0.88660000000000139</v>
      </c>
      <c r="I3" s="3">
        <v>0.14421000000000106</v>
      </c>
      <c r="J3" s="3">
        <v>9.456000000000131E-2</v>
      </c>
      <c r="K3" s="3">
        <v>0.16253999999999991</v>
      </c>
      <c r="L3" s="3">
        <v>-4.964999999999975E-2</v>
      </c>
      <c r="M3" s="3">
        <v>1.8329999999998847E-2</v>
      </c>
      <c r="N3" s="3">
        <v>6.7979999999998597E-2</v>
      </c>
      <c r="P3" s="3">
        <f t="shared" ref="P3:P66" si="1">(B3-B$476)/B$477</f>
        <v>2.5952075301177591E-2</v>
      </c>
      <c r="Q3" s="3">
        <f t="shared" ref="Q3:Q66" si="2">(C3-C$476)/C$477</f>
        <v>-0.69610721025845634</v>
      </c>
      <c r="R3" s="3">
        <f t="shared" ref="R3:R66" si="3">(D3-D$476)/D$477</f>
        <v>-1.3217229910242227</v>
      </c>
      <c r="S3" s="3">
        <f t="shared" ref="S3:S66" si="4">(E3-E$476)/E$477</f>
        <v>-1.0645816562558832</v>
      </c>
      <c r="T3" s="3">
        <f t="shared" ref="T3:T66" si="5">(F3-F$476)/F$477</f>
        <v>-2.0204592833960193</v>
      </c>
      <c r="U3" s="3">
        <f t="shared" ref="U3:U66" si="6">(G3-G$476)/G$477</f>
        <v>-2.454363888904723</v>
      </c>
      <c r="V3" s="3">
        <f t="shared" ref="V3:V66" si="7">(H3-H$476)/H$477</f>
        <v>-2.5848728511160264</v>
      </c>
      <c r="W3" s="3">
        <f t="shared" ref="W3:W66" si="8">(I3-I$476)/I$477</f>
        <v>-2.3409348447911831</v>
      </c>
      <c r="X3" s="3">
        <f t="shared" ref="X3:X66" si="9">(J3-J$476)/J$477</f>
        <v>-2.4910769346495565</v>
      </c>
      <c r="Y3" s="3">
        <f t="shared" ref="Y3:Y66" si="10">(K3-K$476)/K$477</f>
        <v>-2.4924680141650764</v>
      </c>
      <c r="Z3" s="3">
        <f t="shared" ref="Z3:Z66" si="11">(L3-L$476)/L$477</f>
        <v>-2.2692685987825243</v>
      </c>
      <c r="AA3" s="3">
        <f t="shared" ref="AA3:AA66" si="12">(M3-M$476)/M$477</f>
        <v>-2.2544550661384162</v>
      </c>
      <c r="AB3" s="3">
        <f t="shared" ref="AB3:AB66" si="13">(N3-N$476)/N$477</f>
        <v>-1.9100529401087198</v>
      </c>
    </row>
    <row r="4" spans="1:43" x14ac:dyDescent="0.25">
      <c r="A4" s="3">
        <v>1.23766247369087E+18</v>
      </c>
      <c r="B4" s="3">
        <v>236.21743000000001</v>
      </c>
      <c r="C4" s="3">
        <v>36.479334000000001</v>
      </c>
      <c r="D4" s="16">
        <v>1.1165909999999999E-2</v>
      </c>
      <c r="E4" s="3">
        <v>1.1150700000000029</v>
      </c>
      <c r="F4" s="3">
        <v>1.5368000000000013</v>
      </c>
      <c r="G4" s="3">
        <v>1.693150000000001</v>
      </c>
      <c r="H4" s="3">
        <v>1.8101900000000004</v>
      </c>
      <c r="I4" s="3">
        <v>0.42172999999999838</v>
      </c>
      <c r="J4" s="3">
        <v>0.57807999999999815</v>
      </c>
      <c r="K4" s="3">
        <v>0.69511999999999752</v>
      </c>
      <c r="L4" s="3">
        <v>0.15634999999999977</v>
      </c>
      <c r="M4" s="3">
        <v>0.27338999999999913</v>
      </c>
      <c r="N4" s="3">
        <v>0.11703999999999937</v>
      </c>
      <c r="P4" s="3">
        <f t="shared" si="1"/>
        <v>-0.1505620477029542</v>
      </c>
      <c r="Q4" s="3">
        <f t="shared" si="2"/>
        <v>1.3872348131605801</v>
      </c>
      <c r="R4" s="3">
        <f t="shared" si="3"/>
        <v>-1.3026950766257694</v>
      </c>
      <c r="S4" s="3">
        <f t="shared" si="4"/>
        <v>-0.67968800908198346</v>
      </c>
      <c r="T4" s="3">
        <f t="shared" si="5"/>
        <v>-1.4257886409729223</v>
      </c>
      <c r="U4" s="3">
        <f t="shared" si="6"/>
        <v>-1.7463820720318626</v>
      </c>
      <c r="V4" s="3">
        <f t="shared" si="7"/>
        <v>-1.8779580155085751</v>
      </c>
      <c r="W4" s="3">
        <f t="shared" si="8"/>
        <v>-1.7949619565882162</v>
      </c>
      <c r="X4" s="3">
        <f t="shared" si="9"/>
        <v>-1.8734675317963259</v>
      </c>
      <c r="Y4" s="3">
        <f t="shared" si="10"/>
        <v>-1.9142293076828236</v>
      </c>
      <c r="Z4" s="3">
        <f t="shared" si="11"/>
        <v>-1.6544464689404517</v>
      </c>
      <c r="AA4" s="3">
        <f t="shared" si="12"/>
        <v>-1.7344280907101752</v>
      </c>
      <c r="AB4" s="3">
        <f t="shared" si="13"/>
        <v>-1.6387683010933511</v>
      </c>
    </row>
    <row r="5" spans="1:43" x14ac:dyDescent="0.25">
      <c r="A5" s="3">
        <v>1.2376625032189701E+18</v>
      </c>
      <c r="B5" s="3">
        <v>236.44120000000001</v>
      </c>
      <c r="C5" s="3">
        <v>36.028097000000002</v>
      </c>
      <c r="D5" s="16">
        <v>1.141854E-2</v>
      </c>
      <c r="E5" s="3">
        <v>1.0157999999999987</v>
      </c>
      <c r="F5" s="3">
        <v>1.3632300000000015</v>
      </c>
      <c r="G5" s="3">
        <v>1.577020000000001</v>
      </c>
      <c r="H5" s="3">
        <v>1.6243999999999996</v>
      </c>
      <c r="I5" s="3">
        <v>0.34743000000000279</v>
      </c>
      <c r="J5" s="3">
        <v>0.56122000000000227</v>
      </c>
      <c r="K5" s="3">
        <v>0.60860000000000092</v>
      </c>
      <c r="L5" s="3">
        <v>0.21378999999999948</v>
      </c>
      <c r="M5" s="3">
        <v>0.26116999999999813</v>
      </c>
      <c r="N5" s="3">
        <v>4.7379999999998645E-2</v>
      </c>
      <c r="P5" s="3">
        <f t="shared" si="1"/>
        <v>0.53792610472236557</v>
      </c>
      <c r="Q5" s="3">
        <f t="shared" si="2"/>
        <v>-0.21017048436709732</v>
      </c>
      <c r="R5" s="3">
        <f t="shared" si="3"/>
        <v>-1.3017055366322372</v>
      </c>
      <c r="S5" s="3">
        <f t="shared" si="4"/>
        <v>-0.77740518346359644</v>
      </c>
      <c r="T5" s="3">
        <f t="shared" si="5"/>
        <v>-1.5801825850074114</v>
      </c>
      <c r="U5" s="3">
        <f t="shared" si="6"/>
        <v>-1.8403959176328659</v>
      </c>
      <c r="V5" s="3">
        <f t="shared" si="7"/>
        <v>-2.0201614903269567</v>
      </c>
      <c r="W5" s="3">
        <f t="shared" si="8"/>
        <v>-1.941134432782647</v>
      </c>
      <c r="X5" s="3">
        <f t="shared" si="9"/>
        <v>-1.8950031343197022</v>
      </c>
      <c r="Y5" s="3">
        <f t="shared" si="10"/>
        <v>-2.0081667685053155</v>
      </c>
      <c r="Z5" s="3">
        <f t="shared" si="11"/>
        <v>-1.4830125702116723</v>
      </c>
      <c r="AA5" s="3">
        <f t="shared" si="12"/>
        <v>-1.7593427368316119</v>
      </c>
      <c r="AB5" s="3">
        <f t="shared" si="13"/>
        <v>-2.023963734314111</v>
      </c>
    </row>
    <row r="6" spans="1:43" x14ac:dyDescent="0.25">
      <c r="A6" s="3">
        <v>1.2376625037555699E+18</v>
      </c>
      <c r="B6" s="3">
        <v>236.20439999999999</v>
      </c>
      <c r="C6" s="3">
        <v>36.563142999999997</v>
      </c>
      <c r="D6" s="16">
        <v>3.8722609999999998E-2</v>
      </c>
      <c r="E6" s="3">
        <v>1.3207799999999992</v>
      </c>
      <c r="F6" s="3">
        <v>1.8275900000000007</v>
      </c>
      <c r="G6" s="3">
        <v>2.0776000000000003</v>
      </c>
      <c r="H6" s="3">
        <v>2.2152799999999999</v>
      </c>
      <c r="I6" s="3">
        <v>0.50681000000000154</v>
      </c>
      <c r="J6" s="3">
        <v>0.75682000000000116</v>
      </c>
      <c r="K6" s="3">
        <v>0.89450000000000074</v>
      </c>
      <c r="L6" s="3">
        <v>0.25000999999999962</v>
      </c>
      <c r="M6" s="3">
        <v>0.3876899999999992</v>
      </c>
      <c r="N6" s="3">
        <v>0.13767999999999958</v>
      </c>
      <c r="P6" s="3">
        <f t="shared" si="1"/>
        <v>-0.19065232176163946</v>
      </c>
      <c r="Q6" s="3">
        <f t="shared" si="2"/>
        <v>1.6839235611588375</v>
      </c>
      <c r="R6" s="3">
        <f t="shared" si="3"/>
        <v>-1.1947567607496943</v>
      </c>
      <c r="S6" s="3">
        <f t="shared" si="4"/>
        <v>-0.47719581665687616</v>
      </c>
      <c r="T6" s="3">
        <f t="shared" si="5"/>
        <v>-1.1671251911498592</v>
      </c>
      <c r="U6" s="3">
        <f t="shared" si="6"/>
        <v>-1.4351479125441706</v>
      </c>
      <c r="V6" s="3">
        <f t="shared" si="7"/>
        <v>-1.5679025463542724</v>
      </c>
      <c r="W6" s="3">
        <f t="shared" si="8"/>
        <v>-1.6275816837130701</v>
      </c>
      <c r="X6" s="3">
        <f t="shared" si="9"/>
        <v>-1.6451594893865207</v>
      </c>
      <c r="Y6" s="3">
        <f t="shared" si="10"/>
        <v>-1.6977562270218263</v>
      </c>
      <c r="Z6" s="3">
        <f t="shared" si="11"/>
        <v>-1.374911320003517</v>
      </c>
      <c r="AA6" s="3">
        <f t="shared" si="12"/>
        <v>-1.5013884792797358</v>
      </c>
      <c r="AB6" s="3">
        <f t="shared" si="13"/>
        <v>-1.5246363208797928</v>
      </c>
    </row>
    <row r="7" spans="1:43" x14ac:dyDescent="0.25">
      <c r="A7" s="3">
        <v>1.2376623378636401E+18</v>
      </c>
      <c r="B7" s="3">
        <v>235.95321999999999</v>
      </c>
      <c r="C7" s="3">
        <v>35.634051999999997</v>
      </c>
      <c r="D7" s="16">
        <v>4.8511869999999999E-2</v>
      </c>
      <c r="E7" s="3">
        <v>1.10182</v>
      </c>
      <c r="F7" s="3">
        <v>1.5100799999999985</v>
      </c>
      <c r="G7" s="3">
        <v>1.7710599999999985</v>
      </c>
      <c r="H7" s="3">
        <v>1.9507000000000012</v>
      </c>
      <c r="I7" s="3">
        <v>0.40825999999999851</v>
      </c>
      <c r="J7" s="3">
        <v>0.6692399999999985</v>
      </c>
      <c r="K7" s="3">
        <v>0.84888000000000119</v>
      </c>
      <c r="L7" s="3">
        <v>0.26097999999999999</v>
      </c>
      <c r="M7" s="3">
        <v>0.44062000000000268</v>
      </c>
      <c r="N7" s="3">
        <v>0.17964000000000269</v>
      </c>
      <c r="P7" s="3">
        <f t="shared" si="1"/>
        <v>-0.96347465775928842</v>
      </c>
      <c r="Q7" s="3">
        <f t="shared" si="2"/>
        <v>-1.6051127662817095</v>
      </c>
      <c r="R7" s="3">
        <f t="shared" si="3"/>
        <v>-1.1564126833357429</v>
      </c>
      <c r="S7" s="3">
        <f t="shared" si="4"/>
        <v>-0.69273074667195622</v>
      </c>
      <c r="T7" s="3">
        <f t="shared" si="5"/>
        <v>-1.4495566088510232</v>
      </c>
      <c r="U7" s="3">
        <f t="shared" si="6"/>
        <v>-1.6833094920716978</v>
      </c>
      <c r="V7" s="3">
        <f t="shared" si="7"/>
        <v>-1.7704118060961695</v>
      </c>
      <c r="W7" s="3">
        <f t="shared" si="8"/>
        <v>-1.8214618657987018</v>
      </c>
      <c r="X7" s="3">
        <f t="shared" si="9"/>
        <v>-1.7570271091372816</v>
      </c>
      <c r="Y7" s="3">
        <f t="shared" si="10"/>
        <v>-1.7472872829941126</v>
      </c>
      <c r="Z7" s="3">
        <f t="shared" si="11"/>
        <v>-1.3421705493027025</v>
      </c>
      <c r="AA7" s="3">
        <f t="shared" si="12"/>
        <v>-1.3934725857275576</v>
      </c>
      <c r="AB7" s="3">
        <f t="shared" si="13"/>
        <v>-1.2926121983138421</v>
      </c>
    </row>
    <row r="8" spans="1:43" x14ac:dyDescent="0.25">
      <c r="A8" s="3">
        <v>1.2376614659863301E+18</v>
      </c>
      <c r="B8" s="3">
        <v>236.42283</v>
      </c>
      <c r="C8" s="3">
        <v>35.660888</v>
      </c>
      <c r="D8" s="16">
        <v>5.498169E-2</v>
      </c>
      <c r="E8" s="3">
        <v>1.5033700000000003</v>
      </c>
      <c r="F8" s="3">
        <v>2.0518000000000001</v>
      </c>
      <c r="G8" s="3">
        <v>2.3140099999999997</v>
      </c>
      <c r="H8" s="3">
        <v>2.5384300000000017</v>
      </c>
      <c r="I8" s="3">
        <v>0.54842999999999975</v>
      </c>
      <c r="J8" s="3">
        <v>0.81063999999999936</v>
      </c>
      <c r="K8" s="3">
        <v>1.0350600000000014</v>
      </c>
      <c r="L8" s="3">
        <v>0.26220999999999961</v>
      </c>
      <c r="M8" s="3">
        <v>0.48663000000000167</v>
      </c>
      <c r="N8" s="3">
        <v>0.22442000000000206</v>
      </c>
      <c r="P8" s="3">
        <f t="shared" si="1"/>
        <v>0.48140589486377833</v>
      </c>
      <c r="Q8" s="3">
        <f t="shared" si="2"/>
        <v>-1.5101117611237602</v>
      </c>
      <c r="R8" s="3">
        <f t="shared" si="3"/>
        <v>-1.1310706984528889</v>
      </c>
      <c r="S8" s="3">
        <f t="shared" si="4"/>
        <v>-0.29746197087931914</v>
      </c>
      <c r="T8" s="3">
        <f t="shared" si="5"/>
        <v>-0.96768596667574058</v>
      </c>
      <c r="U8" s="3">
        <f t="shared" si="6"/>
        <v>-1.243760560106961</v>
      </c>
      <c r="V8" s="3">
        <f t="shared" si="7"/>
        <v>-1.3205638688820722</v>
      </c>
      <c r="W8" s="3">
        <f t="shared" si="8"/>
        <v>-1.5457014891072516</v>
      </c>
      <c r="X8" s="3">
        <f t="shared" si="9"/>
        <v>-1.5764141674524539</v>
      </c>
      <c r="Y8" s="3">
        <f t="shared" si="10"/>
        <v>-1.5451458537762177</v>
      </c>
      <c r="Z8" s="3">
        <f t="shared" si="11"/>
        <v>-1.3384995239643263</v>
      </c>
      <c r="AA8" s="3">
        <f t="shared" si="12"/>
        <v>-1.2996654770493925</v>
      </c>
      <c r="AB8" s="3">
        <f t="shared" si="13"/>
        <v>-1.0449944621722227</v>
      </c>
    </row>
    <row r="9" spans="1:43" x14ac:dyDescent="0.25">
      <c r="A9" s="3">
        <v>1.2376614659863301E+18</v>
      </c>
      <c r="B9" s="3">
        <v>236.43879999999999</v>
      </c>
      <c r="C9" s="3">
        <v>35.659931</v>
      </c>
      <c r="D9" s="16">
        <v>5.5187600000000003E-2</v>
      </c>
      <c r="E9" s="3">
        <v>1.9930699999999977</v>
      </c>
      <c r="F9" s="3">
        <v>2.9022799999999993</v>
      </c>
      <c r="G9" s="3">
        <v>3.3467399999999987</v>
      </c>
      <c r="H9" s="3">
        <v>3.686119999999999</v>
      </c>
      <c r="I9" s="3">
        <v>0.90921000000000163</v>
      </c>
      <c r="J9" s="3">
        <v>1.353670000000001</v>
      </c>
      <c r="K9" s="3">
        <v>1.6930500000000013</v>
      </c>
      <c r="L9" s="3">
        <v>0.44445999999999941</v>
      </c>
      <c r="M9" s="3">
        <v>0.78383999999999965</v>
      </c>
      <c r="N9" s="3">
        <v>0.33938000000000024</v>
      </c>
      <c r="P9" s="3">
        <f t="shared" si="1"/>
        <v>0.53054186391333635</v>
      </c>
      <c r="Q9" s="3">
        <f t="shared" si="2"/>
        <v>-1.513499596938938</v>
      </c>
      <c r="R9" s="3">
        <f t="shared" si="3"/>
        <v>-1.1302641585325774</v>
      </c>
      <c r="S9" s="3">
        <f t="shared" si="4"/>
        <v>0.18457792329488876</v>
      </c>
      <c r="T9" s="3">
        <f t="shared" si="5"/>
        <v>-0.21116720466357047</v>
      </c>
      <c r="U9" s="3">
        <f t="shared" si="6"/>
        <v>-0.4077068378343004</v>
      </c>
      <c r="V9" s="3">
        <f t="shared" si="7"/>
        <v>-0.44212312387799624</v>
      </c>
      <c r="W9" s="3">
        <f t="shared" si="8"/>
        <v>-0.83592886513107234</v>
      </c>
      <c r="X9" s="3">
        <f t="shared" si="9"/>
        <v>-0.88279149614331864</v>
      </c>
      <c r="Y9" s="3">
        <f t="shared" si="10"/>
        <v>-0.8307456012728206</v>
      </c>
      <c r="Z9" s="3">
        <f t="shared" si="11"/>
        <v>-0.7945610134608414</v>
      </c>
      <c r="AA9" s="3">
        <f t="shared" si="12"/>
        <v>-0.69370132207791058</v>
      </c>
      <c r="AB9" s="3">
        <f t="shared" si="13"/>
        <v>-0.4093058747036985</v>
      </c>
    </row>
    <row r="10" spans="1:43" x14ac:dyDescent="0.25">
      <c r="A10" s="3">
        <v>1.2376614659863301E+18</v>
      </c>
      <c r="B10" s="3">
        <v>236.43879999999999</v>
      </c>
      <c r="C10" s="3">
        <v>35.659931</v>
      </c>
      <c r="D10" s="16">
        <v>5.5239209999999997E-2</v>
      </c>
      <c r="E10" s="3">
        <v>1.9930699999999977</v>
      </c>
      <c r="F10" s="3">
        <v>2.9022799999999993</v>
      </c>
      <c r="G10" s="3">
        <v>3.3467399999999987</v>
      </c>
      <c r="H10" s="3">
        <v>3.686119999999999</v>
      </c>
      <c r="I10" s="3">
        <v>0.90921000000000163</v>
      </c>
      <c r="J10" s="3">
        <v>1.353670000000001</v>
      </c>
      <c r="K10" s="3">
        <v>1.6930500000000013</v>
      </c>
      <c r="L10" s="3">
        <v>0.44445999999999941</v>
      </c>
      <c r="M10" s="3">
        <v>0.78383999999999965</v>
      </c>
      <c r="N10" s="3">
        <v>0.33938000000000024</v>
      </c>
      <c r="P10" s="3">
        <f t="shared" si="1"/>
        <v>0.53054186391333635</v>
      </c>
      <c r="Q10" s="3">
        <f t="shared" si="2"/>
        <v>-1.513499596938938</v>
      </c>
      <c r="R10" s="3">
        <f t="shared" si="3"/>
        <v>-1.1300620045561447</v>
      </c>
      <c r="S10" s="3">
        <f t="shared" si="4"/>
        <v>0.18457792329488876</v>
      </c>
      <c r="T10" s="3">
        <f t="shared" si="5"/>
        <v>-0.21116720466357047</v>
      </c>
      <c r="U10" s="3">
        <f t="shared" si="6"/>
        <v>-0.4077068378343004</v>
      </c>
      <c r="V10" s="3">
        <f t="shared" si="7"/>
        <v>-0.44212312387799624</v>
      </c>
      <c r="W10" s="3">
        <f t="shared" si="8"/>
        <v>-0.83592886513107234</v>
      </c>
      <c r="X10" s="3">
        <f t="shared" si="9"/>
        <v>-0.88279149614331864</v>
      </c>
      <c r="Y10" s="3">
        <f t="shared" si="10"/>
        <v>-0.8307456012728206</v>
      </c>
      <c r="Z10" s="3">
        <f t="shared" si="11"/>
        <v>-0.7945610134608414</v>
      </c>
      <c r="AA10" s="3">
        <f t="shared" si="12"/>
        <v>-0.69370132207791058</v>
      </c>
      <c r="AB10" s="3">
        <f t="shared" si="13"/>
        <v>-0.4093058747036985</v>
      </c>
    </row>
    <row r="11" spans="1:43" x14ac:dyDescent="0.25">
      <c r="A11" s="3">
        <v>1.2376624736909299E+18</v>
      </c>
      <c r="B11" s="3">
        <v>236.28331</v>
      </c>
      <c r="C11" s="3">
        <v>36.184873000000003</v>
      </c>
      <c r="D11" s="16">
        <v>5.8443469999999997E-2</v>
      </c>
      <c r="E11" s="3">
        <v>1.3368899999999968</v>
      </c>
      <c r="F11" s="3">
        <v>1.9572799999999972</v>
      </c>
      <c r="G11" s="3">
        <v>2.2923599999999986</v>
      </c>
      <c r="H11" s="3">
        <v>2.495379999999999</v>
      </c>
      <c r="I11" s="3">
        <v>0.62039000000000044</v>
      </c>
      <c r="J11" s="3">
        <v>0.95547000000000182</v>
      </c>
      <c r="K11" s="3">
        <v>1.1584900000000022</v>
      </c>
      <c r="L11" s="3">
        <v>0.33508000000000138</v>
      </c>
      <c r="M11" s="3">
        <v>0.5381000000000018</v>
      </c>
      <c r="N11" s="3">
        <v>0.20302000000000042</v>
      </c>
      <c r="P11" s="3">
        <f t="shared" si="1"/>
        <v>5.213536250294816E-2</v>
      </c>
      <c r="Q11" s="3">
        <f t="shared" si="2"/>
        <v>0.34482569929071621</v>
      </c>
      <c r="R11" s="3">
        <f t="shared" si="3"/>
        <v>-1.1175110667432326</v>
      </c>
      <c r="S11" s="3">
        <f t="shared" si="4"/>
        <v>-0.46133781646258293</v>
      </c>
      <c r="T11" s="3">
        <f t="shared" si="5"/>
        <v>-1.0517633740050047</v>
      </c>
      <c r="U11" s="3">
        <f t="shared" si="6"/>
        <v>-1.2612874675147094</v>
      </c>
      <c r="V11" s="3">
        <f t="shared" si="7"/>
        <v>-1.353514294582765</v>
      </c>
      <c r="W11" s="3">
        <f t="shared" si="8"/>
        <v>-1.4041325606153006</v>
      </c>
      <c r="X11" s="3">
        <f t="shared" si="9"/>
        <v>-1.3914200207465564</v>
      </c>
      <c r="Y11" s="3">
        <f t="shared" si="10"/>
        <v>-1.4111340554715399</v>
      </c>
      <c r="Z11" s="3">
        <f t="shared" si="11"/>
        <v>-1.1210136569663018</v>
      </c>
      <c r="AA11" s="3">
        <f t="shared" si="12"/>
        <v>-1.1947262924446267</v>
      </c>
      <c r="AB11" s="3">
        <f t="shared" si="13"/>
        <v>-1.1633289765409396</v>
      </c>
    </row>
    <row r="12" spans="1:43" x14ac:dyDescent="0.25">
      <c r="A12" s="3">
        <v>1.2376625032188301E+18</v>
      </c>
      <c r="B12" s="3">
        <v>236.24143000000001</v>
      </c>
      <c r="C12" s="3">
        <v>36.068829999999998</v>
      </c>
      <c r="D12" s="16">
        <v>5.9998900000000001E-2</v>
      </c>
      <c r="E12" s="3">
        <v>1.8834099999999978</v>
      </c>
      <c r="F12" s="3">
        <v>2.7687799999999996</v>
      </c>
      <c r="G12" s="3">
        <v>3.1812699999999978</v>
      </c>
      <c r="H12" s="3">
        <v>3.5261399999999981</v>
      </c>
      <c r="I12" s="3">
        <v>0.88537000000000177</v>
      </c>
      <c r="J12" s="3">
        <v>1.29786</v>
      </c>
      <c r="K12" s="3">
        <v>1.6427300000000002</v>
      </c>
      <c r="L12" s="3">
        <v>0.41248999999999825</v>
      </c>
      <c r="M12" s="3">
        <v>0.75735999999999848</v>
      </c>
      <c r="N12" s="3">
        <v>0.34487000000000023</v>
      </c>
      <c r="P12" s="3">
        <f t="shared" si="1"/>
        <v>-7.6719639613361437E-2</v>
      </c>
      <c r="Q12" s="3">
        <f t="shared" si="2"/>
        <v>-6.5973288693452439E-2</v>
      </c>
      <c r="R12" s="3">
        <f t="shared" si="3"/>
        <v>-1.1114185195709252</v>
      </c>
      <c r="S12" s="3">
        <f t="shared" si="4"/>
        <v>7.6633273927635623E-2</v>
      </c>
      <c r="T12" s="3">
        <f t="shared" si="5"/>
        <v>-0.329918092078471</v>
      </c>
      <c r="U12" s="3">
        <f t="shared" si="6"/>
        <v>-0.54166422207263765</v>
      </c>
      <c r="V12" s="3">
        <f t="shared" si="7"/>
        <v>-0.56457165125538322</v>
      </c>
      <c r="W12" s="3">
        <f t="shared" si="8"/>
        <v>-0.88282996651028378</v>
      </c>
      <c r="X12" s="3">
        <f t="shared" si="9"/>
        <v>-0.95407868338115709</v>
      </c>
      <c r="Y12" s="3">
        <f t="shared" si="10"/>
        <v>-0.88537959374378783</v>
      </c>
      <c r="Z12" s="3">
        <f t="shared" si="11"/>
        <v>-0.88997782652419977</v>
      </c>
      <c r="AA12" s="3">
        <f t="shared" si="12"/>
        <v>-0.74768985148017042</v>
      </c>
      <c r="AB12" s="3">
        <f t="shared" si="13"/>
        <v>-0.37894809508294131</v>
      </c>
    </row>
    <row r="13" spans="1:43" x14ac:dyDescent="0.25">
      <c r="A13" s="3">
        <v>1.2376625032188301E+18</v>
      </c>
      <c r="B13" s="3">
        <v>236.261</v>
      </c>
      <c r="C13" s="3">
        <v>36.156339000000003</v>
      </c>
      <c r="D13" s="16">
        <v>6.0399269999999998E-2</v>
      </c>
      <c r="E13" s="3">
        <v>1.9595899999999986</v>
      </c>
      <c r="F13" s="3">
        <v>2.8495200000000001</v>
      </c>
      <c r="G13" s="3">
        <v>3.2759700000000009</v>
      </c>
      <c r="H13" s="3">
        <v>3.6084999999999994</v>
      </c>
      <c r="I13" s="3">
        <v>0.88993000000000144</v>
      </c>
      <c r="J13" s="3">
        <v>1.3163800000000023</v>
      </c>
      <c r="K13" s="3">
        <v>1.6489100000000008</v>
      </c>
      <c r="L13" s="3">
        <v>0.42645000000000088</v>
      </c>
      <c r="M13" s="3">
        <v>0.75897999999999932</v>
      </c>
      <c r="N13" s="3">
        <v>0.33252999999999844</v>
      </c>
      <c r="P13" s="3">
        <f t="shared" si="1"/>
        <v>-1.6507309350346982E-2</v>
      </c>
      <c r="Q13" s="3">
        <f t="shared" si="2"/>
        <v>0.24381367510020069</v>
      </c>
      <c r="R13" s="3">
        <f t="shared" si="3"/>
        <v>-1.1098502888492747</v>
      </c>
      <c r="S13" s="3">
        <f t="shared" si="4"/>
        <v>0.15162163238830897</v>
      </c>
      <c r="T13" s="3">
        <f t="shared" si="5"/>
        <v>-0.25809826698574334</v>
      </c>
      <c r="U13" s="3">
        <f t="shared" si="6"/>
        <v>-0.46499918135606733</v>
      </c>
      <c r="V13" s="3">
        <f t="shared" si="7"/>
        <v>-0.50153339200546632</v>
      </c>
      <c r="W13" s="3">
        <f t="shared" si="8"/>
        <v>-0.87385895047466344</v>
      </c>
      <c r="X13" s="3">
        <f t="shared" si="9"/>
        <v>-0.93042273090588545</v>
      </c>
      <c r="Y13" s="3">
        <f t="shared" si="10"/>
        <v>-0.878669775113609</v>
      </c>
      <c r="Z13" s="3">
        <f t="shared" si="11"/>
        <v>-0.84831318122033095</v>
      </c>
      <c r="AA13" s="3">
        <f t="shared" si="12"/>
        <v>-0.7443869278535955</v>
      </c>
      <c r="AB13" s="3">
        <f t="shared" si="13"/>
        <v>-0.44718397860210318</v>
      </c>
    </row>
    <row r="14" spans="1:43" ht="15.75" thickBot="1" x14ac:dyDescent="0.3">
      <c r="A14" s="3">
        <v>1.2376625032188301E+18</v>
      </c>
      <c r="B14" s="3">
        <v>236.22997000000001</v>
      </c>
      <c r="C14" s="3">
        <v>36.067765000000001</v>
      </c>
      <c r="D14" s="16">
        <v>6.1005700000000003E-2</v>
      </c>
      <c r="E14" s="3">
        <v>1.8941200000000009</v>
      </c>
      <c r="F14" s="3">
        <v>2.8054799999999993</v>
      </c>
      <c r="G14" s="3">
        <v>3.2270699999999994</v>
      </c>
      <c r="H14" s="3">
        <v>3.5662599999999998</v>
      </c>
      <c r="I14" s="3">
        <v>0.91135999999999839</v>
      </c>
      <c r="J14" s="3">
        <v>1.3329499999999985</v>
      </c>
      <c r="K14" s="3">
        <v>1.6721399999999988</v>
      </c>
      <c r="L14" s="3">
        <v>0.42159000000000013</v>
      </c>
      <c r="M14" s="3">
        <v>0.76078000000000046</v>
      </c>
      <c r="N14" s="3">
        <v>0.33919000000000032</v>
      </c>
      <c r="P14" s="3">
        <f t="shared" si="1"/>
        <v>-0.11197938947613935</v>
      </c>
      <c r="Q14" s="3">
        <f t="shared" si="2"/>
        <v>-6.9743450807512597E-2</v>
      </c>
      <c r="R14" s="3">
        <f t="shared" si="3"/>
        <v>-1.1074749306642697</v>
      </c>
      <c r="S14" s="3">
        <f t="shared" si="4"/>
        <v>8.717574333055024E-2</v>
      </c>
      <c r="T14" s="3">
        <f t="shared" si="5"/>
        <v>-0.29727271703632246</v>
      </c>
      <c r="U14" s="3">
        <f t="shared" si="6"/>
        <v>-0.50458651494677775</v>
      </c>
      <c r="V14" s="3">
        <f t="shared" si="7"/>
        <v>-0.53386384453966285</v>
      </c>
      <c r="W14" s="3">
        <f t="shared" si="8"/>
        <v>-0.83169910976340644</v>
      </c>
      <c r="X14" s="3">
        <f t="shared" si="9"/>
        <v>-0.9092575509644647</v>
      </c>
      <c r="Y14" s="3">
        <f t="shared" si="10"/>
        <v>-0.85344824003609632</v>
      </c>
      <c r="Z14" s="3">
        <f t="shared" si="11"/>
        <v>-0.86281820816709287</v>
      </c>
      <c r="AA14" s="3">
        <f t="shared" si="12"/>
        <v>-0.74071701271295642</v>
      </c>
      <c r="AB14" s="3">
        <f t="shared" si="13"/>
        <v>-0.4103565082424856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</row>
    <row r="15" spans="1:43" x14ac:dyDescent="0.25">
      <c r="A15" s="3">
        <v>1.2376625032188301E+18</v>
      </c>
      <c r="B15" s="3">
        <v>236.22997000000001</v>
      </c>
      <c r="C15" s="3">
        <v>36.067765000000001</v>
      </c>
      <c r="D15" s="16">
        <v>6.1044439999999998E-2</v>
      </c>
      <c r="E15" s="3">
        <v>1.8941200000000009</v>
      </c>
      <c r="F15" s="3">
        <v>2.8054799999999993</v>
      </c>
      <c r="G15" s="3">
        <v>3.2270699999999994</v>
      </c>
      <c r="H15" s="3">
        <v>3.5662599999999998</v>
      </c>
      <c r="I15" s="3">
        <v>0.91135999999999839</v>
      </c>
      <c r="J15" s="3">
        <v>1.3329499999999985</v>
      </c>
      <c r="K15" s="3">
        <v>1.6721399999999988</v>
      </c>
      <c r="L15" s="3">
        <v>0.42159000000000013</v>
      </c>
      <c r="M15" s="3">
        <v>0.76078000000000046</v>
      </c>
      <c r="N15" s="3">
        <v>0.33919000000000032</v>
      </c>
      <c r="P15" s="3">
        <f t="shared" si="1"/>
        <v>-0.11197938947613935</v>
      </c>
      <c r="Q15" s="3">
        <f t="shared" si="2"/>
        <v>-6.9743450807512597E-2</v>
      </c>
      <c r="R15" s="3">
        <f t="shared" si="3"/>
        <v>-1.1073231878809526</v>
      </c>
      <c r="S15" s="3">
        <f t="shared" si="4"/>
        <v>8.717574333055024E-2</v>
      </c>
      <c r="T15" s="3">
        <f t="shared" si="5"/>
        <v>-0.29727271703632246</v>
      </c>
      <c r="U15" s="3">
        <f t="shared" si="6"/>
        <v>-0.50458651494677775</v>
      </c>
      <c r="V15" s="3">
        <f t="shared" si="7"/>
        <v>-0.53386384453966285</v>
      </c>
      <c r="W15" s="3">
        <f t="shared" si="8"/>
        <v>-0.83169910976340644</v>
      </c>
      <c r="X15" s="3">
        <f t="shared" si="9"/>
        <v>-0.9092575509644647</v>
      </c>
      <c r="Y15" s="3">
        <f t="shared" si="10"/>
        <v>-0.85344824003609632</v>
      </c>
      <c r="Z15" s="3">
        <f t="shared" si="11"/>
        <v>-0.86281820816709287</v>
      </c>
      <c r="AA15" s="3">
        <f t="shared" si="12"/>
        <v>-0.74071701271295642</v>
      </c>
      <c r="AB15" s="3">
        <f t="shared" si="13"/>
        <v>-0.4103565082424856</v>
      </c>
    </row>
    <row r="16" spans="1:43" x14ac:dyDescent="0.25">
      <c r="A16" s="3">
        <v>1.2376624736909299E+18</v>
      </c>
      <c r="B16" s="3">
        <v>236.38212999999999</v>
      </c>
      <c r="C16" s="3">
        <v>36.217623000000003</v>
      </c>
      <c r="D16" s="16">
        <v>6.1346039999999998E-2</v>
      </c>
      <c r="E16" s="3">
        <v>1.8663600000000002</v>
      </c>
      <c r="F16" s="3">
        <v>2.7294100000000014</v>
      </c>
      <c r="G16" s="3">
        <v>3.1420200000000005</v>
      </c>
      <c r="H16" s="3">
        <v>3.4600000000000009</v>
      </c>
      <c r="I16" s="3">
        <v>0.86305000000000121</v>
      </c>
      <c r="J16" s="3">
        <v>1.2756600000000002</v>
      </c>
      <c r="K16" s="3">
        <v>1.5936400000000006</v>
      </c>
      <c r="L16" s="3">
        <v>0.41260999999999903</v>
      </c>
      <c r="M16" s="3">
        <v>0.73058999999999941</v>
      </c>
      <c r="N16" s="3">
        <v>0.31798000000000037</v>
      </c>
      <c r="P16" s="3">
        <f t="shared" si="1"/>
        <v>0.35618147781180171</v>
      </c>
      <c r="Q16" s="3">
        <f t="shared" si="2"/>
        <v>0.46076260937129837</v>
      </c>
      <c r="R16" s="3">
        <f t="shared" si="3"/>
        <v>-1.1061418346685494</v>
      </c>
      <c r="S16" s="3">
        <f t="shared" si="4"/>
        <v>5.9849977632620066E-2</v>
      </c>
      <c r="T16" s="3">
        <f t="shared" si="5"/>
        <v>-0.36493848486891611</v>
      </c>
      <c r="U16" s="3">
        <f t="shared" si="6"/>
        <v>-0.57343933134534175</v>
      </c>
      <c r="V16" s="3">
        <f t="shared" si="7"/>
        <v>-0.61519513919600066</v>
      </c>
      <c r="W16" s="3">
        <f t="shared" si="8"/>
        <v>-0.9267407292109564</v>
      </c>
      <c r="X16" s="3">
        <f t="shared" si="9"/>
        <v>-0.98243517068952424</v>
      </c>
      <c r="Y16" s="3">
        <f t="shared" si="10"/>
        <v>-0.93867813687573742</v>
      </c>
      <c r="Z16" s="3">
        <f t="shared" si="11"/>
        <v>-0.88961967771069717</v>
      </c>
      <c r="AA16" s="3">
        <f t="shared" si="12"/>
        <v>-0.80226964498841757</v>
      </c>
      <c r="AB16" s="3">
        <f t="shared" si="13"/>
        <v>-0.5276403890724054</v>
      </c>
    </row>
    <row r="17" spans="1:28" x14ac:dyDescent="0.25">
      <c r="A17" s="3">
        <v>1.2376624736910001E+18</v>
      </c>
      <c r="B17" s="3">
        <v>236.42131000000001</v>
      </c>
      <c r="C17" s="3">
        <v>36.137425999999998</v>
      </c>
      <c r="D17" s="16">
        <v>6.1372290000000003E-2</v>
      </c>
      <c r="E17" s="3">
        <v>0.98522999999999783</v>
      </c>
      <c r="F17" s="3">
        <v>1.309079999999998</v>
      </c>
      <c r="G17" s="3">
        <v>1.5925799999999981</v>
      </c>
      <c r="H17" s="3">
        <v>1.6967699999999972</v>
      </c>
      <c r="I17" s="3">
        <v>0.32385000000000019</v>
      </c>
      <c r="J17" s="3">
        <v>0.60735000000000028</v>
      </c>
      <c r="K17" s="3">
        <v>0.7115399999999994</v>
      </c>
      <c r="L17" s="3">
        <v>0.28350000000000009</v>
      </c>
      <c r="M17" s="3">
        <v>0.3876899999999992</v>
      </c>
      <c r="N17" s="3">
        <v>0.10418999999999912</v>
      </c>
      <c r="P17" s="3">
        <f t="shared" si="1"/>
        <v>0.47672920901810645</v>
      </c>
      <c r="Q17" s="3">
        <f t="shared" si="2"/>
        <v>0.17686055203593787</v>
      </c>
      <c r="R17" s="3">
        <f t="shared" si="3"/>
        <v>-1.1060390146359713</v>
      </c>
      <c r="S17" s="3">
        <f t="shared" si="4"/>
        <v>-0.80749699388815444</v>
      </c>
      <c r="T17" s="3">
        <f t="shared" si="5"/>
        <v>-1.6283500797903125</v>
      </c>
      <c r="U17" s="3">
        <f t="shared" si="6"/>
        <v>-1.8277992118931661</v>
      </c>
      <c r="V17" s="3">
        <f t="shared" si="7"/>
        <v>-1.9647695667971332</v>
      </c>
      <c r="W17" s="3">
        <f t="shared" si="8"/>
        <v>-1.9875240288615874</v>
      </c>
      <c r="X17" s="3">
        <f t="shared" si="9"/>
        <v>-1.8360803974037143</v>
      </c>
      <c r="Y17" s="3">
        <f t="shared" si="10"/>
        <v>-1.896401601872542</v>
      </c>
      <c r="Z17" s="3">
        <f t="shared" si="11"/>
        <v>-1.274957955302491</v>
      </c>
      <c r="AA17" s="3">
        <f t="shared" si="12"/>
        <v>-1.5013884792797358</v>
      </c>
      <c r="AB17" s="3">
        <f t="shared" si="13"/>
        <v>-1.7098243062166187</v>
      </c>
    </row>
    <row r="18" spans="1:28" x14ac:dyDescent="0.25">
      <c r="A18" s="3">
        <v>1.2376625032188301E+18</v>
      </c>
      <c r="B18" s="3">
        <v>236.16559000000001</v>
      </c>
      <c r="C18" s="3">
        <v>36.137926</v>
      </c>
      <c r="D18" s="16">
        <v>6.1555510000000001E-2</v>
      </c>
      <c r="E18" s="3">
        <v>1.8344699999999996</v>
      </c>
      <c r="F18" s="3">
        <v>2.6386600000000016</v>
      </c>
      <c r="G18" s="3">
        <v>2.9953800000000008</v>
      </c>
      <c r="H18" s="3">
        <v>3.2629599999999996</v>
      </c>
      <c r="I18" s="3">
        <v>0.80419000000000196</v>
      </c>
      <c r="J18" s="3">
        <v>1.1609100000000012</v>
      </c>
      <c r="K18" s="3">
        <v>1.42849</v>
      </c>
      <c r="L18" s="3">
        <v>0.35671999999999926</v>
      </c>
      <c r="M18" s="3">
        <v>0.62429999999999808</v>
      </c>
      <c r="N18" s="3">
        <v>0.26757999999999882</v>
      </c>
      <c r="P18" s="3">
        <f t="shared" si="1"/>
        <v>-0.310061649176464</v>
      </c>
      <c r="Q18" s="3">
        <f t="shared" si="2"/>
        <v>0.17863058119748193</v>
      </c>
      <c r="R18" s="3">
        <f t="shared" si="3"/>
        <v>-1.1053213503933439</v>
      </c>
      <c r="S18" s="3">
        <f t="shared" si="4"/>
        <v>2.8458815236835133E-2</v>
      </c>
      <c r="T18" s="3">
        <f t="shared" si="5"/>
        <v>-0.44566240271837099</v>
      </c>
      <c r="U18" s="3">
        <f t="shared" si="6"/>
        <v>-0.69215275870202042</v>
      </c>
      <c r="V18" s="3">
        <f t="shared" si="7"/>
        <v>-0.76600935243790802</v>
      </c>
      <c r="W18" s="3">
        <f t="shared" si="8"/>
        <v>-1.0425376598812739</v>
      </c>
      <c r="X18" s="3">
        <f t="shared" si="9"/>
        <v>-1.1290075544118274</v>
      </c>
      <c r="Y18" s="3">
        <f t="shared" si="10"/>
        <v>-1.1179866395899678</v>
      </c>
      <c r="Z18" s="3">
        <f t="shared" si="11"/>
        <v>-1.0564274875984321</v>
      </c>
      <c r="AA18" s="3">
        <f t="shared" si="12"/>
        <v>-1.0189781340430255</v>
      </c>
      <c r="AB18" s="3">
        <f t="shared" si="13"/>
        <v>-0.80633475936133303</v>
      </c>
    </row>
    <row r="19" spans="1:28" x14ac:dyDescent="0.25">
      <c r="A19" s="3">
        <v>1.2376625032189E+18</v>
      </c>
      <c r="B19" s="3">
        <v>236.38392999999999</v>
      </c>
      <c r="C19" s="3">
        <v>36.077117000000001</v>
      </c>
      <c r="D19" s="16">
        <v>6.2095259999999999E-2</v>
      </c>
      <c r="E19" s="3">
        <v>1.0198</v>
      </c>
      <c r="F19" s="3">
        <v>1.3888099999999994</v>
      </c>
      <c r="G19" s="3">
        <v>1.6575300000000013</v>
      </c>
      <c r="H19" s="3">
        <v>1.7898199999999989</v>
      </c>
      <c r="I19" s="3">
        <v>0.36900999999999939</v>
      </c>
      <c r="J19" s="3">
        <v>0.63773000000000124</v>
      </c>
      <c r="K19" s="3">
        <v>0.77001999999999882</v>
      </c>
      <c r="L19" s="3">
        <v>0.26872000000000185</v>
      </c>
      <c r="M19" s="3">
        <v>0.40100999999999942</v>
      </c>
      <c r="N19" s="3">
        <v>0.13228999999999758</v>
      </c>
      <c r="P19" s="3">
        <f t="shared" si="1"/>
        <v>0.36171965841852988</v>
      </c>
      <c r="Q19" s="3">
        <f t="shared" si="2"/>
        <v>-3.6636825370151387E-2</v>
      </c>
      <c r="R19" s="3">
        <f t="shared" si="3"/>
        <v>-1.1032071746758554</v>
      </c>
      <c r="S19" s="3">
        <f t="shared" si="4"/>
        <v>-0.77346775324775519</v>
      </c>
      <c r="T19" s="3">
        <f t="shared" si="5"/>
        <v>-1.55742866965106</v>
      </c>
      <c r="U19" s="3">
        <f t="shared" si="6"/>
        <v>-1.7752184896699208</v>
      </c>
      <c r="V19" s="3">
        <f t="shared" si="7"/>
        <v>-1.8935491925474397</v>
      </c>
      <c r="W19" s="3">
        <f t="shared" si="8"/>
        <v>-1.8986794928596926</v>
      </c>
      <c r="X19" s="3">
        <f t="shared" si="9"/>
        <v>-1.797275438645686</v>
      </c>
      <c r="Y19" s="3">
        <f t="shared" si="10"/>
        <v>-1.8329080430549336</v>
      </c>
      <c r="Z19" s="3">
        <f t="shared" si="11"/>
        <v>-1.3190699508319317</v>
      </c>
      <c r="AA19" s="3">
        <f t="shared" si="12"/>
        <v>-1.4742311072390228</v>
      </c>
      <c r="AB19" s="3">
        <f t="shared" si="13"/>
        <v>-1.5544411354801466</v>
      </c>
    </row>
    <row r="20" spans="1:28" x14ac:dyDescent="0.25">
      <c r="A20" s="3">
        <v>1.2376625032188301E+18</v>
      </c>
      <c r="B20" s="3">
        <v>236.19077999999999</v>
      </c>
      <c r="C20" s="3">
        <v>36.079214999999998</v>
      </c>
      <c r="D20" s="16">
        <v>6.2184040000000003E-2</v>
      </c>
      <c r="E20" s="3">
        <v>1.78613</v>
      </c>
      <c r="F20" s="3">
        <v>2.6250800000000005</v>
      </c>
      <c r="G20" s="3">
        <v>3.0429499999999976</v>
      </c>
      <c r="H20" s="3">
        <v>3.3318899999999978</v>
      </c>
      <c r="I20" s="3">
        <v>0.83895000000000053</v>
      </c>
      <c r="J20" s="3">
        <v>1.2568199999999976</v>
      </c>
      <c r="K20" s="3">
        <v>1.5457599999999978</v>
      </c>
      <c r="L20" s="3">
        <v>0.41786999999999708</v>
      </c>
      <c r="M20" s="3">
        <v>0.70680999999999727</v>
      </c>
      <c r="N20" s="3">
        <v>0.2889400000000002</v>
      </c>
      <c r="P20" s="3">
        <f t="shared" si="1"/>
        <v>-0.23255788835249119</v>
      </c>
      <c r="Q20" s="3">
        <f t="shared" si="2"/>
        <v>-2.9209783008360028E-2</v>
      </c>
      <c r="R20" s="3">
        <f t="shared" si="3"/>
        <v>-1.1028594275332919</v>
      </c>
      <c r="S20" s="3">
        <f t="shared" si="4"/>
        <v>-1.9125028921590733E-2</v>
      </c>
      <c r="T20" s="3">
        <f t="shared" si="5"/>
        <v>-0.45774208100372288</v>
      </c>
      <c r="U20" s="3">
        <f t="shared" si="6"/>
        <v>-0.65364213582042718</v>
      </c>
      <c r="V20" s="3">
        <f t="shared" si="7"/>
        <v>-0.71325040136825546</v>
      </c>
      <c r="W20" s="3">
        <f t="shared" si="8"/>
        <v>-0.97415333589044606</v>
      </c>
      <c r="X20" s="3">
        <f t="shared" si="9"/>
        <v>-1.0064998653241961</v>
      </c>
      <c r="Y20" s="3">
        <f t="shared" si="10"/>
        <v>-0.99066294529207299</v>
      </c>
      <c r="Z20" s="3">
        <f t="shared" si="11"/>
        <v>-0.87392082138560934</v>
      </c>
      <c r="AA20" s="3">
        <f t="shared" si="12"/>
        <v>-0.85075330167972407</v>
      </c>
      <c r="AB20" s="3">
        <f t="shared" si="13"/>
        <v>-0.68822143100078359</v>
      </c>
    </row>
    <row r="21" spans="1:28" x14ac:dyDescent="0.25">
      <c r="A21" s="3">
        <v>1.2376625032188301E+18</v>
      </c>
      <c r="B21" s="3">
        <v>236.18645000000001</v>
      </c>
      <c r="C21" s="3">
        <v>36.129855999999997</v>
      </c>
      <c r="D21" s="16">
        <v>6.2794680000000005E-2</v>
      </c>
      <c r="E21" s="3">
        <v>1.97194</v>
      </c>
      <c r="F21" s="3">
        <v>2.8778699999999997</v>
      </c>
      <c r="G21" s="3">
        <v>3.305769999999999</v>
      </c>
      <c r="H21" s="3">
        <v>3.6497499999999992</v>
      </c>
      <c r="I21" s="3">
        <v>0.90592999999999968</v>
      </c>
      <c r="J21" s="3">
        <v>1.333829999999999</v>
      </c>
      <c r="K21" s="3">
        <v>1.6778099999999991</v>
      </c>
      <c r="L21" s="3">
        <v>0.42789999999999928</v>
      </c>
      <c r="M21" s="3">
        <v>0.77187999999999946</v>
      </c>
      <c r="N21" s="3">
        <v>0.34398000000000017</v>
      </c>
      <c r="P21" s="3">
        <f t="shared" si="1"/>
        <v>-0.24588028947859852</v>
      </c>
      <c r="Q21" s="3">
        <f t="shared" si="2"/>
        <v>0.15006231053028465</v>
      </c>
      <c r="R21" s="3">
        <f t="shared" si="3"/>
        <v>-1.1004675789735383</v>
      </c>
      <c r="S21" s="3">
        <f t="shared" si="4"/>
        <v>0.16377844817971635</v>
      </c>
      <c r="T21" s="3">
        <f t="shared" si="5"/>
        <v>-0.23288038190550064</v>
      </c>
      <c r="U21" s="3">
        <f t="shared" si="6"/>
        <v>-0.44087438501653653</v>
      </c>
      <c r="V21" s="3">
        <f t="shared" si="7"/>
        <v>-0.46996068445254002</v>
      </c>
      <c r="W21" s="3">
        <f t="shared" si="8"/>
        <v>-0.84238170122687372</v>
      </c>
      <c r="X21" s="3">
        <f t="shared" si="9"/>
        <v>-0.90813351002611442</v>
      </c>
      <c r="Y21" s="3">
        <f t="shared" si="10"/>
        <v>-0.84729214430258293</v>
      </c>
      <c r="Z21" s="3">
        <f t="shared" si="11"/>
        <v>-0.84398554972387452</v>
      </c>
      <c r="AA21" s="3">
        <f t="shared" si="12"/>
        <v>-0.71808586934569796</v>
      </c>
      <c r="AB21" s="3">
        <f t="shared" si="13"/>
        <v>-0.38386948376463087</v>
      </c>
    </row>
    <row r="22" spans="1:28" x14ac:dyDescent="0.25">
      <c r="A22" s="3">
        <v>1.2376625032188301E+18</v>
      </c>
      <c r="B22" s="3">
        <v>236.09998999999999</v>
      </c>
      <c r="C22" s="3">
        <v>36.135241000000001</v>
      </c>
      <c r="D22" s="16">
        <v>6.2827939999999999E-2</v>
      </c>
      <c r="E22" s="3">
        <v>1.7394600000000011</v>
      </c>
      <c r="F22" s="3">
        <v>2.538920000000001</v>
      </c>
      <c r="G22" s="3">
        <v>2.9246900000000018</v>
      </c>
      <c r="H22" s="3">
        <v>3.1541500000000013</v>
      </c>
      <c r="I22" s="3">
        <v>0.79945999999999984</v>
      </c>
      <c r="J22" s="3">
        <v>1.1852300000000007</v>
      </c>
      <c r="K22" s="3">
        <v>1.4146900000000002</v>
      </c>
      <c r="L22" s="3">
        <v>0.38577000000000083</v>
      </c>
      <c r="M22" s="3">
        <v>0.61523000000000039</v>
      </c>
      <c r="N22" s="3">
        <v>0.22945999999999955</v>
      </c>
      <c r="P22" s="3">
        <f t="shared" si="1"/>
        <v>-0.51189756462139746</v>
      </c>
      <c r="Q22" s="3">
        <f t="shared" si="2"/>
        <v>0.16912552460003716</v>
      </c>
      <c r="R22" s="3">
        <f t="shared" si="3"/>
        <v>-1.1003373010960695</v>
      </c>
      <c r="S22" s="3">
        <f t="shared" si="4"/>
        <v>-6.5064995964902686E-2</v>
      </c>
      <c r="T22" s="3">
        <f t="shared" si="5"/>
        <v>-0.53438310317351911</v>
      </c>
      <c r="U22" s="3">
        <f t="shared" si="6"/>
        <v>-0.74938033766985679</v>
      </c>
      <c r="V22" s="3">
        <f t="shared" si="7"/>
        <v>-0.84929241447024451</v>
      </c>
      <c r="W22" s="3">
        <f t="shared" si="8"/>
        <v>-1.0518431216901569</v>
      </c>
      <c r="X22" s="3">
        <f t="shared" si="9"/>
        <v>-1.0979431502974364</v>
      </c>
      <c r="Y22" s="3">
        <f t="shared" si="10"/>
        <v>-1.1329697297350259</v>
      </c>
      <c r="Z22" s="3">
        <f t="shared" si="11"/>
        <v>-0.9697256289969115</v>
      </c>
      <c r="AA22" s="3">
        <f t="shared" si="12"/>
        <v>-1.0374704286683409</v>
      </c>
      <c r="AB22" s="3">
        <f t="shared" si="13"/>
        <v>-1.0171250251433448</v>
      </c>
    </row>
    <row r="23" spans="1:28" x14ac:dyDescent="0.25">
      <c r="A23" s="3">
        <v>1.2376625032188301E+18</v>
      </c>
      <c r="B23" s="3">
        <v>236.25030000000001</v>
      </c>
      <c r="C23" s="3">
        <v>36.110351000000001</v>
      </c>
      <c r="D23" s="16">
        <v>6.2856140000000005E-2</v>
      </c>
      <c r="E23" s="3">
        <v>1.8698399999999999</v>
      </c>
      <c r="F23" s="3">
        <v>2.7921600000000026</v>
      </c>
      <c r="G23" s="3">
        <v>3.2268800000000013</v>
      </c>
      <c r="H23" s="3">
        <v>3.6159000000000017</v>
      </c>
      <c r="I23" s="3">
        <v>0.92232000000000269</v>
      </c>
      <c r="J23" s="3">
        <v>1.3570400000000014</v>
      </c>
      <c r="K23" s="3">
        <v>1.7460600000000017</v>
      </c>
      <c r="L23" s="3">
        <v>0.43471999999999866</v>
      </c>
      <c r="M23" s="3">
        <v>0.82373999999999903</v>
      </c>
      <c r="N23" s="3">
        <v>0.38902000000000037</v>
      </c>
      <c r="P23" s="3">
        <f t="shared" si="1"/>
        <v>-4.9428716290245235E-2</v>
      </c>
      <c r="Q23" s="3">
        <f t="shared" si="2"/>
        <v>8.1013472938797737E-2</v>
      </c>
      <c r="R23" s="3">
        <f t="shared" si="3"/>
        <v>-1.1002268430039284</v>
      </c>
      <c r="S23" s="3">
        <f t="shared" si="4"/>
        <v>6.3275541920400566E-2</v>
      </c>
      <c r="T23" s="3">
        <f t="shared" si="5"/>
        <v>-0.3091211201851321</v>
      </c>
      <c r="U23" s="3">
        <f t="shared" si="6"/>
        <v>-0.50474033076236391</v>
      </c>
      <c r="V23" s="3">
        <f t="shared" si="7"/>
        <v>-0.49586943962021235</v>
      </c>
      <c r="W23" s="3">
        <f t="shared" si="8"/>
        <v>-0.81013719402865969</v>
      </c>
      <c r="X23" s="3">
        <f t="shared" si="9"/>
        <v>-0.87848693027713809</v>
      </c>
      <c r="Y23" s="3">
        <f t="shared" si="10"/>
        <v>-0.77319099195473773</v>
      </c>
      <c r="Z23" s="3">
        <f t="shared" si="11"/>
        <v>-0.82363075882327963</v>
      </c>
      <c r="AA23" s="3">
        <f t="shared" si="12"/>
        <v>-0.61235153646046181</v>
      </c>
      <c r="AB23" s="3">
        <f t="shared" si="13"/>
        <v>-0.13481403856992916</v>
      </c>
    </row>
    <row r="24" spans="1:28" x14ac:dyDescent="0.25">
      <c r="A24" s="3">
        <v>1.2376624731541299E+18</v>
      </c>
      <c r="B24" s="3">
        <v>236.19515000000001</v>
      </c>
      <c r="C24" s="3">
        <v>35.950268000000001</v>
      </c>
      <c r="D24" s="16">
        <v>6.2868919999999995E-2</v>
      </c>
      <c r="E24" s="3">
        <v>2.010110000000001</v>
      </c>
      <c r="F24" s="3">
        <v>2.8955500000000018</v>
      </c>
      <c r="G24" s="3">
        <v>3.3125600000000013</v>
      </c>
      <c r="H24" s="3">
        <v>3.6143100000000015</v>
      </c>
      <c r="I24" s="3">
        <v>0.88544000000000089</v>
      </c>
      <c r="J24" s="3">
        <v>1.3024500000000003</v>
      </c>
      <c r="K24" s="3">
        <v>1.6042000000000005</v>
      </c>
      <c r="L24" s="3">
        <v>0.41700999999999944</v>
      </c>
      <c r="M24" s="3">
        <v>0.71875999999999962</v>
      </c>
      <c r="N24" s="3">
        <v>0.30175000000000018</v>
      </c>
      <c r="P24" s="3">
        <f t="shared" si="1"/>
        <v>-0.21911241654610805</v>
      </c>
      <c r="Q24" s="3">
        <f t="shared" si="2"/>
        <v>-0.48568968359341053</v>
      </c>
      <c r="R24" s="3">
        <f t="shared" si="3"/>
        <v>-1.100176784336639</v>
      </c>
      <c r="S24" s="3">
        <f t="shared" si="4"/>
        <v>0.20135137601437034</v>
      </c>
      <c r="T24" s="3">
        <f t="shared" si="5"/>
        <v>-0.21715367262088867</v>
      </c>
      <c r="U24" s="3">
        <f t="shared" si="6"/>
        <v>-0.4353774935015875</v>
      </c>
      <c r="V24" s="3">
        <f t="shared" si="7"/>
        <v>-0.49708642398407077</v>
      </c>
      <c r="W24" s="3">
        <f t="shared" si="8"/>
        <v>-0.88269225354482639</v>
      </c>
      <c r="X24" s="3">
        <f t="shared" si="9"/>
        <v>-0.94821578803226447</v>
      </c>
      <c r="Y24" s="3">
        <f t="shared" si="10"/>
        <v>-0.92721281572125813</v>
      </c>
      <c r="Z24" s="3">
        <f t="shared" si="11"/>
        <v>-0.87648755454902061</v>
      </c>
      <c r="AA24" s="3">
        <f t="shared" si="12"/>
        <v>-0.82638914282938036</v>
      </c>
      <c r="AB24" s="3">
        <f t="shared" si="13"/>
        <v>-0.61738661188568333</v>
      </c>
    </row>
    <row r="25" spans="1:28" x14ac:dyDescent="0.25">
      <c r="A25" s="3">
        <v>1.2376625032188301E+18</v>
      </c>
      <c r="B25" s="3">
        <v>236.24133</v>
      </c>
      <c r="C25" s="3">
        <v>36.188203000000001</v>
      </c>
      <c r="D25" s="16">
        <v>6.3321730000000007E-2</v>
      </c>
      <c r="E25" s="3">
        <v>1.8223300000000009</v>
      </c>
      <c r="F25" s="3">
        <v>2.6678800000000003</v>
      </c>
      <c r="G25" s="3">
        <v>3.0645300000000013</v>
      </c>
      <c r="H25" s="3">
        <v>3.3540000000000028</v>
      </c>
      <c r="I25" s="3">
        <v>0.84554999999999936</v>
      </c>
      <c r="J25" s="3">
        <v>1.2422000000000004</v>
      </c>
      <c r="K25" s="3">
        <v>1.5316700000000019</v>
      </c>
      <c r="L25" s="3">
        <v>0.39665000000000106</v>
      </c>
      <c r="M25" s="3">
        <v>0.68612000000000251</v>
      </c>
      <c r="N25" s="3">
        <v>0.28947000000000145</v>
      </c>
      <c r="P25" s="3">
        <f t="shared" si="1"/>
        <v>-7.7027316313744945E-2</v>
      </c>
      <c r="Q25" s="3">
        <f t="shared" si="2"/>
        <v>0.35661409350653722</v>
      </c>
      <c r="R25" s="3">
        <f t="shared" si="3"/>
        <v>-1.0984031485670496</v>
      </c>
      <c r="S25" s="3">
        <f t="shared" si="4"/>
        <v>1.6508714531762041E-2</v>
      </c>
      <c r="T25" s="3">
        <f t="shared" si="5"/>
        <v>-0.41967063545048156</v>
      </c>
      <c r="U25" s="3">
        <f t="shared" si="6"/>
        <v>-0.63617189739736679</v>
      </c>
      <c r="V25" s="3">
        <f t="shared" si="7"/>
        <v>-0.69632743011988307</v>
      </c>
      <c r="W25" s="3">
        <f t="shared" si="8"/>
        <v>-0.96116897057573369</v>
      </c>
      <c r="X25" s="3">
        <f t="shared" si="9"/>
        <v>-1.025174272731775</v>
      </c>
      <c r="Y25" s="3">
        <f t="shared" si="10"/>
        <v>-1.0059608974764072</v>
      </c>
      <c r="Z25" s="3">
        <f t="shared" si="11"/>
        <v>-0.93725346990622271</v>
      </c>
      <c r="AA25" s="3">
        <f t="shared" si="12"/>
        <v>-0.89293693737958912</v>
      </c>
      <c r="AB25" s="3">
        <f t="shared" si="13"/>
        <v>-0.68529071639257966</v>
      </c>
    </row>
    <row r="26" spans="1:28" x14ac:dyDescent="0.25">
      <c r="A26" s="3">
        <v>1.2376625032188301E+18</v>
      </c>
      <c r="B26" s="3">
        <v>236.23274000000001</v>
      </c>
      <c r="C26" s="3">
        <v>36.138508000000002</v>
      </c>
      <c r="D26" s="16">
        <v>6.3713649999999997E-2</v>
      </c>
      <c r="E26" s="3">
        <v>1.9234699999999982</v>
      </c>
      <c r="F26" s="3">
        <v>2.7790199999999992</v>
      </c>
      <c r="G26" s="3">
        <v>3.1644199999999998</v>
      </c>
      <c r="H26" s="3">
        <v>3.4677199999999981</v>
      </c>
      <c r="I26" s="3">
        <v>0.85555000000000092</v>
      </c>
      <c r="J26" s="3">
        <v>1.2409500000000016</v>
      </c>
      <c r="K26" s="3">
        <v>1.5442499999999999</v>
      </c>
      <c r="L26" s="3">
        <v>0.38540000000000063</v>
      </c>
      <c r="M26" s="3">
        <v>0.68869999999999898</v>
      </c>
      <c r="N26" s="3">
        <v>0.30329999999999835</v>
      </c>
      <c r="P26" s="3">
        <f t="shared" si="1"/>
        <v>-0.10345674487580483</v>
      </c>
      <c r="Q26" s="3">
        <f t="shared" si="2"/>
        <v>0.18069089514151437</v>
      </c>
      <c r="R26" s="3">
        <f t="shared" si="3"/>
        <v>-1.0968680161035052</v>
      </c>
      <c r="S26" s="3">
        <f t="shared" si="4"/>
        <v>0.11606663753927352</v>
      </c>
      <c r="T26" s="3">
        <f t="shared" si="5"/>
        <v>-0.32080940977788275</v>
      </c>
      <c r="U26" s="3">
        <f t="shared" si="6"/>
        <v>-0.55530525624448579</v>
      </c>
      <c r="V26" s="3">
        <f t="shared" si="7"/>
        <v>-0.60928625914003687</v>
      </c>
      <c r="W26" s="3">
        <f t="shared" si="8"/>
        <v>-0.94149568979585996</v>
      </c>
      <c r="X26" s="3">
        <f t="shared" si="9"/>
        <v>-1.0267709217919294</v>
      </c>
      <c r="Y26" s="3">
        <f t="shared" si="10"/>
        <v>-0.99230239935866771</v>
      </c>
      <c r="Z26" s="3">
        <f t="shared" si="11"/>
        <v>-0.97082992117187128</v>
      </c>
      <c r="AA26" s="3">
        <f t="shared" si="12"/>
        <v>-0.88767672567801681</v>
      </c>
      <c r="AB26" s="3">
        <f t="shared" si="13"/>
        <v>-0.60881565406926841</v>
      </c>
    </row>
    <row r="27" spans="1:28" x14ac:dyDescent="0.25">
      <c r="A27" s="3">
        <v>1.23766247369107E+18</v>
      </c>
      <c r="B27" s="3">
        <v>236.64888999999999</v>
      </c>
      <c r="C27" s="3">
        <v>36.163539999999998</v>
      </c>
      <c r="D27" s="16">
        <v>6.3729820000000006E-2</v>
      </c>
      <c r="E27" s="3">
        <v>1.0187100000000022</v>
      </c>
      <c r="F27" s="3">
        <v>1.4552800000000019</v>
      </c>
      <c r="G27" s="3">
        <v>1.7772700000000015</v>
      </c>
      <c r="H27" s="3">
        <v>1.9713700000000003</v>
      </c>
      <c r="I27" s="3">
        <v>0.43656999999999968</v>
      </c>
      <c r="J27" s="3">
        <v>0.75855999999999923</v>
      </c>
      <c r="K27" s="3">
        <v>0.95265999999999806</v>
      </c>
      <c r="L27" s="3">
        <v>0.32198999999999955</v>
      </c>
      <c r="M27" s="3">
        <v>0.51608999999999838</v>
      </c>
      <c r="N27" s="3">
        <v>0.19409999999999883</v>
      </c>
      <c r="P27" s="3">
        <f t="shared" si="1"/>
        <v>1.1769398437276093</v>
      </c>
      <c r="Q27" s="3">
        <f t="shared" si="2"/>
        <v>0.26930563508461841</v>
      </c>
      <c r="R27" s="3">
        <f t="shared" si="3"/>
        <v>-1.0968046789634371</v>
      </c>
      <c r="S27" s="3">
        <f t="shared" si="4"/>
        <v>-0.77454070298156941</v>
      </c>
      <c r="T27" s="3">
        <f t="shared" si="5"/>
        <v>-1.4983022914752642</v>
      </c>
      <c r="U27" s="3">
        <f t="shared" si="6"/>
        <v>-1.6782821435727526</v>
      </c>
      <c r="V27" s="3">
        <f t="shared" si="7"/>
        <v>-1.7545910093660129</v>
      </c>
      <c r="W27" s="3">
        <f t="shared" si="8"/>
        <v>-1.7657668079108857</v>
      </c>
      <c r="X27" s="3">
        <f t="shared" si="9"/>
        <v>-1.6429369538947862</v>
      </c>
      <c r="Y27" s="3">
        <f t="shared" si="10"/>
        <v>-1.6346101021785981</v>
      </c>
      <c r="Z27" s="3">
        <f t="shared" si="11"/>
        <v>-1.1600817233722915</v>
      </c>
      <c r="AA27" s="3">
        <f t="shared" si="12"/>
        <v>-1.239601199247643</v>
      </c>
      <c r="AB27" s="3">
        <f t="shared" si="13"/>
        <v>-1.2126534563619236</v>
      </c>
    </row>
    <row r="28" spans="1:28" x14ac:dyDescent="0.25">
      <c r="A28" s="3">
        <v>1.2376625032188301E+18</v>
      </c>
      <c r="B28" s="3">
        <v>236.09188</v>
      </c>
      <c r="C28" s="3">
        <v>36.105321000000004</v>
      </c>
      <c r="D28" s="16">
        <v>6.3836710000000005E-2</v>
      </c>
      <c r="E28" s="3">
        <v>1.899280000000001</v>
      </c>
      <c r="F28" s="3">
        <v>2.81325</v>
      </c>
      <c r="G28" s="3">
        <v>3.2392199999999995</v>
      </c>
      <c r="H28" s="3">
        <v>3.5721399999999992</v>
      </c>
      <c r="I28" s="3">
        <v>0.91396999999999906</v>
      </c>
      <c r="J28" s="3">
        <v>1.3399399999999986</v>
      </c>
      <c r="K28" s="3">
        <v>1.6728599999999982</v>
      </c>
      <c r="L28" s="3">
        <v>0.42596999999999952</v>
      </c>
      <c r="M28" s="3">
        <v>0.75888999999999918</v>
      </c>
      <c r="N28" s="3">
        <v>0.33291999999999966</v>
      </c>
      <c r="P28" s="3">
        <f t="shared" si="1"/>
        <v>-0.53685014502163408</v>
      </c>
      <c r="Q28" s="3">
        <f t="shared" si="2"/>
        <v>6.3206979573757122E-2</v>
      </c>
      <c r="R28" s="3">
        <f t="shared" si="3"/>
        <v>-1.0963859957907787</v>
      </c>
      <c r="S28" s="3">
        <f t="shared" si="4"/>
        <v>9.2255028308983883E-2</v>
      </c>
      <c r="T28" s="3">
        <f t="shared" si="5"/>
        <v>-0.29036114853284783</v>
      </c>
      <c r="U28" s="3">
        <f t="shared" si="6"/>
        <v>-0.49475039831841128</v>
      </c>
      <c r="V28" s="3">
        <f t="shared" si="7"/>
        <v>-0.52936329859030062</v>
      </c>
      <c r="W28" s="3">
        <f t="shared" si="8"/>
        <v>-0.82656438347985894</v>
      </c>
      <c r="X28" s="3">
        <f t="shared" si="9"/>
        <v>-0.90032908942007328</v>
      </c>
      <c r="Y28" s="3">
        <f t="shared" si="10"/>
        <v>-0.85266651359374612</v>
      </c>
      <c r="Z28" s="3">
        <f t="shared" si="11"/>
        <v>-0.84974577647433602</v>
      </c>
      <c r="AA28" s="3">
        <f t="shared" si="12"/>
        <v>-0.74457042361062764</v>
      </c>
      <c r="AB28" s="3">
        <f t="shared" si="13"/>
        <v>-0.44502741502247983</v>
      </c>
    </row>
    <row r="29" spans="1:28" x14ac:dyDescent="0.25">
      <c r="A29" s="3">
        <v>1.2376625032189701E+18</v>
      </c>
      <c r="B29" s="3">
        <v>236.44991999999999</v>
      </c>
      <c r="C29" s="3">
        <v>35.928752000000003</v>
      </c>
      <c r="D29" s="16">
        <v>6.3864340000000006E-2</v>
      </c>
      <c r="E29" s="3">
        <v>1.6039500000000011</v>
      </c>
      <c r="F29" s="3">
        <v>2.4474100000000014</v>
      </c>
      <c r="G29" s="3">
        <v>2.8331000000000017</v>
      </c>
      <c r="H29" s="3">
        <v>3.1372299999999989</v>
      </c>
      <c r="I29" s="3">
        <v>0.84346000000000032</v>
      </c>
      <c r="J29" s="3">
        <v>1.2291500000000006</v>
      </c>
      <c r="K29" s="3">
        <v>1.5332799999999978</v>
      </c>
      <c r="L29" s="3">
        <v>0.38569000000000031</v>
      </c>
      <c r="M29" s="3">
        <v>0.68981999999999744</v>
      </c>
      <c r="N29" s="3">
        <v>0.30412999999999712</v>
      </c>
      <c r="P29" s="3">
        <f t="shared" si="1"/>
        <v>0.56475551299486282</v>
      </c>
      <c r="Q29" s="3">
        <f t="shared" si="2"/>
        <v>-0.56185757847260454</v>
      </c>
      <c r="R29" s="3">
        <f t="shared" si="3"/>
        <v>-1.0962777703622022</v>
      </c>
      <c r="S29" s="3">
        <f t="shared" si="4"/>
        <v>-0.1984552881020219</v>
      </c>
      <c r="T29" s="3">
        <f t="shared" si="5"/>
        <v>-0.61578305603747052</v>
      </c>
      <c r="U29" s="3">
        <f t="shared" si="6"/>
        <v>-0.82352765635233249</v>
      </c>
      <c r="V29" s="3">
        <f t="shared" si="7"/>
        <v>-0.86224296505922859</v>
      </c>
      <c r="W29" s="3">
        <f t="shared" si="8"/>
        <v>-0.96528068625872487</v>
      </c>
      <c r="X29" s="3">
        <f t="shared" si="9"/>
        <v>-1.0418432889198015</v>
      </c>
      <c r="Y29" s="3">
        <f t="shared" si="10"/>
        <v>-1.0042128702928215</v>
      </c>
      <c r="Z29" s="3">
        <f t="shared" si="11"/>
        <v>-0.9699643948725799</v>
      </c>
      <c r="AA29" s="3">
        <f t="shared" si="12"/>
        <v>-0.88539322292384592</v>
      </c>
      <c r="AB29" s="3">
        <f t="shared" si="13"/>
        <v>-0.60422604439983463</v>
      </c>
    </row>
    <row r="30" spans="1:28" x14ac:dyDescent="0.25">
      <c r="A30" s="3">
        <v>1.2376625032187E+18</v>
      </c>
      <c r="B30" s="3">
        <v>235.8664</v>
      </c>
      <c r="C30" s="3">
        <v>36.370778000000001</v>
      </c>
      <c r="D30" s="16">
        <v>6.389388E-2</v>
      </c>
      <c r="E30" s="3">
        <v>2.009529999999998</v>
      </c>
      <c r="F30" s="3">
        <v>2.9230899999999984</v>
      </c>
      <c r="G30" s="3">
        <v>3.3683299999999985</v>
      </c>
      <c r="H30" s="3">
        <v>3.6771299999999982</v>
      </c>
      <c r="I30" s="3">
        <v>0.91356000000000037</v>
      </c>
      <c r="J30" s="3">
        <v>1.3588000000000005</v>
      </c>
      <c r="K30" s="3">
        <v>1.6676000000000002</v>
      </c>
      <c r="L30" s="3">
        <v>0.44524000000000008</v>
      </c>
      <c r="M30" s="3">
        <v>0.75403999999999982</v>
      </c>
      <c r="N30" s="3">
        <v>0.30879999999999974</v>
      </c>
      <c r="P30" s="3">
        <f t="shared" si="1"/>
        <v>-1.2305995690233456</v>
      </c>
      <c r="Q30" s="3">
        <f t="shared" si="2"/>
        <v>1.0029402418412621</v>
      </c>
      <c r="R30" s="3">
        <f t="shared" si="3"/>
        <v>-1.0961620635522076</v>
      </c>
      <c r="S30" s="3">
        <f t="shared" si="4"/>
        <v>0.20078044863307068</v>
      </c>
      <c r="T30" s="3">
        <f t="shared" si="5"/>
        <v>-0.19265629854294142</v>
      </c>
      <c r="U30" s="3">
        <f t="shared" si="6"/>
        <v>-0.39022850384200175</v>
      </c>
      <c r="V30" s="3">
        <f t="shared" si="7"/>
        <v>-0.44900406062710735</v>
      </c>
      <c r="W30" s="3">
        <f t="shared" si="8"/>
        <v>-0.82737098799183106</v>
      </c>
      <c r="X30" s="3">
        <f t="shared" si="9"/>
        <v>-0.87623884840043986</v>
      </c>
      <c r="Y30" s="3">
        <f t="shared" si="10"/>
        <v>-0.85837745954758504</v>
      </c>
      <c r="Z30" s="3">
        <f t="shared" si="11"/>
        <v>-0.79223304617308787</v>
      </c>
      <c r="AA30" s="3">
        <f t="shared" si="12"/>
        <v>-0.75445880607289784</v>
      </c>
      <c r="AB30" s="3">
        <f t="shared" si="13"/>
        <v>-0.57840257794646199</v>
      </c>
    </row>
    <row r="31" spans="1:28" x14ac:dyDescent="0.25">
      <c r="A31" s="3">
        <v>1.2376625032188301E+18</v>
      </c>
      <c r="B31" s="3">
        <v>236.17264</v>
      </c>
      <c r="C31" s="3">
        <v>36.065449999999998</v>
      </c>
      <c r="D31" s="16">
        <v>6.3996040000000004E-2</v>
      </c>
      <c r="E31" s="3">
        <v>1.8203600000000009</v>
      </c>
      <c r="F31" s="3">
        <v>2.7034600000000015</v>
      </c>
      <c r="G31" s="3">
        <v>3.1217800000000011</v>
      </c>
      <c r="H31" s="3">
        <v>3.4220600000000001</v>
      </c>
      <c r="I31" s="3">
        <v>0.88310000000000066</v>
      </c>
      <c r="J31" s="3">
        <v>1.3014200000000002</v>
      </c>
      <c r="K31" s="3">
        <v>1.6016999999999992</v>
      </c>
      <c r="L31" s="3">
        <v>0.41831999999999958</v>
      </c>
      <c r="M31" s="3">
        <v>0.71859999999999857</v>
      </c>
      <c r="N31" s="3">
        <v>0.30027999999999899</v>
      </c>
      <c r="P31" s="3">
        <f t="shared" si="1"/>
        <v>-0.28837044180017019</v>
      </c>
      <c r="Q31" s="3">
        <f t="shared" si="2"/>
        <v>-7.7938685825432896E-2</v>
      </c>
      <c r="R31" s="3">
        <f t="shared" si="3"/>
        <v>-1.0957619075701812</v>
      </c>
      <c r="S31" s="3">
        <f t="shared" si="4"/>
        <v>1.456953015046082E-2</v>
      </c>
      <c r="T31" s="3">
        <f t="shared" si="5"/>
        <v>-0.38802152253495853</v>
      </c>
      <c r="U31" s="3">
        <f t="shared" si="6"/>
        <v>-0.58982476349004387</v>
      </c>
      <c r="V31" s="3">
        <f t="shared" si="7"/>
        <v>-0.6442343761549838</v>
      </c>
      <c r="W31" s="3">
        <f t="shared" si="8"/>
        <v>-0.88729580124731666</v>
      </c>
      <c r="X31" s="3">
        <f t="shared" si="9"/>
        <v>-0.94953142685783298</v>
      </c>
      <c r="Y31" s="3">
        <f t="shared" si="10"/>
        <v>-0.92992714364608897</v>
      </c>
      <c r="Z31" s="3">
        <f t="shared" si="11"/>
        <v>-0.87257776333497594</v>
      </c>
      <c r="AA31" s="3">
        <f t="shared" si="12"/>
        <v>-0.82671535750855019</v>
      </c>
      <c r="AB31" s="3">
        <f t="shared" si="13"/>
        <v>-0.62551519768578345</v>
      </c>
    </row>
    <row r="32" spans="1:28" x14ac:dyDescent="0.25">
      <c r="A32" s="3">
        <v>1.2376625032189E+18</v>
      </c>
      <c r="B32" s="3">
        <v>236.24023</v>
      </c>
      <c r="C32" s="3">
        <v>36.020007999999997</v>
      </c>
      <c r="D32" s="16">
        <v>6.4113870000000003E-2</v>
      </c>
      <c r="E32" s="3">
        <v>1.8020999999999994</v>
      </c>
      <c r="F32" s="3">
        <v>2.6651299999999978</v>
      </c>
      <c r="G32" s="3">
        <v>3.0672399999999982</v>
      </c>
      <c r="H32" s="3">
        <v>3.3648299999999978</v>
      </c>
      <c r="I32" s="3">
        <v>0.86302999999999841</v>
      </c>
      <c r="J32" s="3">
        <v>1.2651399999999988</v>
      </c>
      <c r="K32" s="3">
        <v>1.5627299999999984</v>
      </c>
      <c r="L32" s="3">
        <v>0.40211000000000041</v>
      </c>
      <c r="M32" s="3">
        <v>0.69969999999999999</v>
      </c>
      <c r="N32" s="3">
        <v>0.29758999999999958</v>
      </c>
      <c r="P32" s="3">
        <f t="shared" si="1"/>
        <v>-8.0411760017876061E-2</v>
      </c>
      <c r="Q32" s="3">
        <f t="shared" si="2"/>
        <v>-0.23880601614243921</v>
      </c>
      <c r="R32" s="3">
        <f t="shared" si="3"/>
        <v>-1.095300372924898</v>
      </c>
      <c r="S32" s="3">
        <f t="shared" si="4"/>
        <v>-3.4048387848501982E-3</v>
      </c>
      <c r="T32" s="3">
        <f t="shared" si="5"/>
        <v>-0.42211681477925511</v>
      </c>
      <c r="U32" s="3">
        <f t="shared" si="6"/>
        <v>-0.63397799813293543</v>
      </c>
      <c r="V32" s="3">
        <f t="shared" si="7"/>
        <v>-0.68803815926417311</v>
      </c>
      <c r="W32" s="3">
        <f t="shared" si="8"/>
        <v>-0.92678007577252164</v>
      </c>
      <c r="X32" s="3">
        <f t="shared" si="9"/>
        <v>-0.99587256917979738</v>
      </c>
      <c r="Y32" s="3">
        <f t="shared" si="10"/>
        <v>-0.97223808733833039</v>
      </c>
      <c r="Z32" s="3">
        <f t="shared" si="11"/>
        <v>-0.92095769889196388</v>
      </c>
      <c r="AA32" s="3">
        <f t="shared" si="12"/>
        <v>-0.86524946648523404</v>
      </c>
      <c r="AB32" s="3">
        <f t="shared" si="13"/>
        <v>-0.64038995673493082</v>
      </c>
    </row>
    <row r="33" spans="1:28" x14ac:dyDescent="0.25">
      <c r="A33" s="3">
        <v>1.2376614659862001E+18</v>
      </c>
      <c r="B33" s="3">
        <v>236.06752</v>
      </c>
      <c r="C33" s="3">
        <v>35.897171999999998</v>
      </c>
      <c r="D33" s="16">
        <v>6.4131209999999994E-2</v>
      </c>
      <c r="E33" s="3">
        <v>1.8261099999999999</v>
      </c>
      <c r="F33" s="3">
        <v>2.673099999999998</v>
      </c>
      <c r="G33" s="3">
        <v>3.0893699999999988</v>
      </c>
      <c r="H33" s="3">
        <v>3.3738299999999981</v>
      </c>
      <c r="I33" s="3">
        <v>0.84698999999999813</v>
      </c>
      <c r="J33" s="3">
        <v>1.2632599999999989</v>
      </c>
      <c r="K33" s="3">
        <v>1.5477199999999982</v>
      </c>
      <c r="L33" s="3">
        <v>0.41627000000000081</v>
      </c>
      <c r="M33" s="3">
        <v>0.70073000000000008</v>
      </c>
      <c r="N33" s="3">
        <v>0.28445999999999927</v>
      </c>
      <c r="P33" s="3">
        <f t="shared" si="1"/>
        <v>-0.6118001892325724</v>
      </c>
      <c r="Q33" s="3">
        <f t="shared" si="2"/>
        <v>-0.67365262031521189</v>
      </c>
      <c r="R33" s="3">
        <f t="shared" si="3"/>
        <v>-1.0952324529490922</v>
      </c>
      <c r="S33" s="3">
        <f t="shared" si="4"/>
        <v>2.0229586085729851E-2</v>
      </c>
      <c r="T33" s="3">
        <f t="shared" si="5"/>
        <v>-0.41502734232459748</v>
      </c>
      <c r="U33" s="3">
        <f t="shared" si="6"/>
        <v>-0.61606250340159752</v>
      </c>
      <c r="V33" s="3">
        <f t="shared" si="7"/>
        <v>-0.68114956852535247</v>
      </c>
      <c r="W33" s="3">
        <f t="shared" si="8"/>
        <v>-0.95833601814343472</v>
      </c>
      <c r="X33" s="3">
        <f t="shared" si="9"/>
        <v>-0.99827392936627157</v>
      </c>
      <c r="Y33" s="3">
        <f t="shared" si="10"/>
        <v>-0.98853491219900635</v>
      </c>
      <c r="Z33" s="3">
        <f t="shared" si="11"/>
        <v>-0.87869613889893472</v>
      </c>
      <c r="AA33" s="3">
        <f t="shared" si="12"/>
        <v>-0.86314945948809174</v>
      </c>
      <c r="AB33" s="3">
        <f t="shared" si="13"/>
        <v>-0.71299426391535925</v>
      </c>
    </row>
    <row r="34" spans="1:28" x14ac:dyDescent="0.25">
      <c r="A34" s="3">
        <v>1.2376625032188301E+18</v>
      </c>
      <c r="B34" s="3">
        <v>236.23929999999999</v>
      </c>
      <c r="C34" s="3">
        <v>36.117984999999997</v>
      </c>
      <c r="D34" s="16">
        <v>6.4249870000000001E-2</v>
      </c>
      <c r="E34" s="3">
        <v>2.2490700000000032</v>
      </c>
      <c r="F34" s="3">
        <v>3.1645600000000016</v>
      </c>
      <c r="G34" s="3">
        <v>3.6622200000000014</v>
      </c>
      <c r="H34" s="3">
        <v>3.9597900000000017</v>
      </c>
      <c r="I34" s="3">
        <v>0.91548999999999836</v>
      </c>
      <c r="J34" s="3">
        <v>1.4131499999999981</v>
      </c>
      <c r="K34" s="3">
        <v>1.7107199999999985</v>
      </c>
      <c r="L34" s="3">
        <v>0.49765999999999977</v>
      </c>
      <c r="M34" s="3">
        <v>0.7952300000000001</v>
      </c>
      <c r="N34" s="3">
        <v>0.29757000000000033</v>
      </c>
      <c r="P34" s="3">
        <f t="shared" si="1"/>
        <v>-8.3273153331381453E-2</v>
      </c>
      <c r="Q34" s="3">
        <f t="shared" si="2"/>
        <v>0.10803827817710887</v>
      </c>
      <c r="R34" s="3">
        <f t="shared" si="3"/>
        <v>-1.0947676672323026</v>
      </c>
      <c r="S34" s="3">
        <f t="shared" si="4"/>
        <v>0.43657345710865347</v>
      </c>
      <c r="T34" s="3">
        <f t="shared" si="5"/>
        <v>2.2136036918305523E-2</v>
      </c>
      <c r="U34" s="3">
        <f t="shared" si="6"/>
        <v>-0.15230781940491278</v>
      </c>
      <c r="V34" s="3">
        <f t="shared" si="7"/>
        <v>-0.23265638748988754</v>
      </c>
      <c r="W34" s="3">
        <f t="shared" si="8"/>
        <v>-0.8235740448013199</v>
      </c>
      <c r="X34" s="3">
        <f t="shared" si="9"/>
        <v>-0.80681654726486762</v>
      </c>
      <c r="Y34" s="3">
        <f t="shared" si="10"/>
        <v>-0.81156073150012953</v>
      </c>
      <c r="Z34" s="3">
        <f t="shared" si="11"/>
        <v>-0.63578170614240181</v>
      </c>
      <c r="AA34" s="3">
        <f t="shared" si="12"/>
        <v>-0.67047891460465758</v>
      </c>
      <c r="AB34" s="3">
        <f t="shared" si="13"/>
        <v>-0.64050054973900961</v>
      </c>
    </row>
    <row r="35" spans="1:28" x14ac:dyDescent="0.25">
      <c r="A35" s="3">
        <v>1.23766250321903E+18</v>
      </c>
      <c r="B35" s="3">
        <v>236.62189000000001</v>
      </c>
      <c r="C35" s="3">
        <v>35.936266000000003</v>
      </c>
      <c r="D35" s="16">
        <v>6.4283400000000004E-2</v>
      </c>
      <c r="E35" s="3">
        <v>1.97654</v>
      </c>
      <c r="F35" s="3">
        <v>2.9062100000000015</v>
      </c>
      <c r="G35" s="3">
        <v>3.3224100000000014</v>
      </c>
      <c r="H35" s="3">
        <v>3.6519399999999997</v>
      </c>
      <c r="I35" s="3">
        <v>0.92967000000000155</v>
      </c>
      <c r="J35" s="3">
        <v>1.3458700000000015</v>
      </c>
      <c r="K35" s="3">
        <v>1.6753999999999998</v>
      </c>
      <c r="L35" s="3">
        <v>0.4161999999999999</v>
      </c>
      <c r="M35" s="3">
        <v>0.74572999999999823</v>
      </c>
      <c r="N35" s="3">
        <v>0.32952999999999832</v>
      </c>
      <c r="P35" s="3">
        <f t="shared" si="1"/>
        <v>1.0938671346268611</v>
      </c>
      <c r="Q35" s="3">
        <f t="shared" si="2"/>
        <v>-0.53525758023304593</v>
      </c>
      <c r="R35" s="3">
        <f t="shared" si="3"/>
        <v>-1.0946363317773562</v>
      </c>
      <c r="S35" s="3">
        <f t="shared" si="4"/>
        <v>0.16830649292793226</v>
      </c>
      <c r="T35" s="3">
        <f t="shared" si="5"/>
        <v>-0.20767139202281523</v>
      </c>
      <c r="U35" s="3">
        <f t="shared" si="6"/>
        <v>-0.42740335779875538</v>
      </c>
      <c r="V35" s="3">
        <f t="shared" si="7"/>
        <v>-0.46828446070609331</v>
      </c>
      <c r="W35" s="3">
        <f t="shared" si="8"/>
        <v>-0.79567733265545693</v>
      </c>
      <c r="X35" s="3">
        <f t="shared" si="9"/>
        <v>-0.89275458627869042</v>
      </c>
      <c r="Y35" s="3">
        <f t="shared" si="10"/>
        <v>-0.84990875642211783</v>
      </c>
      <c r="Z35" s="3">
        <f t="shared" si="11"/>
        <v>-0.87890505904014582</v>
      </c>
      <c r="AA35" s="3">
        <f t="shared" si="12"/>
        <v>-0.77140158097217448</v>
      </c>
      <c r="AB35" s="3">
        <f t="shared" si="13"/>
        <v>-0.4637729292145395</v>
      </c>
    </row>
    <row r="36" spans="1:28" x14ac:dyDescent="0.25">
      <c r="A36" s="3">
        <v>1.2376625032188301E+18</v>
      </c>
      <c r="B36" s="3">
        <v>236.10839000000001</v>
      </c>
      <c r="C36" s="3">
        <v>36.062103999999998</v>
      </c>
      <c r="D36" s="16">
        <v>6.4395629999999995E-2</v>
      </c>
      <c r="E36" s="3">
        <v>1.93309</v>
      </c>
      <c r="F36" s="3">
        <v>2.812660000000001</v>
      </c>
      <c r="G36" s="3">
        <v>3.2054500000000026</v>
      </c>
      <c r="H36" s="3">
        <v>3.503580000000003</v>
      </c>
      <c r="I36" s="3">
        <v>0.87957000000000107</v>
      </c>
      <c r="J36" s="3">
        <v>1.2723600000000026</v>
      </c>
      <c r="K36" s="3">
        <v>1.5704900000000031</v>
      </c>
      <c r="L36" s="3">
        <v>0.39279000000000153</v>
      </c>
      <c r="M36" s="3">
        <v>0.69092000000000198</v>
      </c>
      <c r="N36" s="3">
        <v>0.29813000000000045</v>
      </c>
      <c r="P36" s="3">
        <f t="shared" si="1"/>
        <v>-0.48605272178997005</v>
      </c>
      <c r="Q36" s="3">
        <f t="shared" si="2"/>
        <v>-8.9783720974430964E-2</v>
      </c>
      <c r="R36" s="3">
        <f t="shared" si="3"/>
        <v>-1.0941967320723562</v>
      </c>
      <c r="S36" s="3">
        <f t="shared" si="4"/>
        <v>0.12553615720837041</v>
      </c>
      <c r="T36" s="3">
        <f t="shared" si="5"/>
        <v>-0.29088596518883786</v>
      </c>
      <c r="U36" s="3">
        <f t="shared" si="6"/>
        <v>-0.52208913564679837</v>
      </c>
      <c r="V36" s="3">
        <f t="shared" si="7"/>
        <v>-0.58183905204068898</v>
      </c>
      <c r="W36" s="3">
        <f t="shared" si="8"/>
        <v>-0.89424046936261015</v>
      </c>
      <c r="X36" s="3">
        <f t="shared" si="9"/>
        <v>-0.98665032420833254</v>
      </c>
      <c r="Y36" s="3">
        <f t="shared" si="10"/>
        <v>-0.96381281345965497</v>
      </c>
      <c r="Z36" s="3">
        <f t="shared" si="11"/>
        <v>-0.94877392340714561</v>
      </c>
      <c r="AA36" s="3">
        <f t="shared" si="12"/>
        <v>-0.88315049700455861</v>
      </c>
      <c r="AB36" s="3">
        <f t="shared" si="13"/>
        <v>-0.63740394562468761</v>
      </c>
    </row>
    <row r="37" spans="1:28" x14ac:dyDescent="0.25">
      <c r="A37" s="3">
        <v>1.2376625037556401E+18</v>
      </c>
      <c r="B37" s="3">
        <v>236.36396999999999</v>
      </c>
      <c r="C37" s="3">
        <v>36.529536</v>
      </c>
      <c r="D37" s="16">
        <v>6.4439060000000006E-2</v>
      </c>
      <c r="E37" s="3">
        <v>1.8131799999999991</v>
      </c>
      <c r="F37" s="3">
        <v>2.7027499999999982</v>
      </c>
      <c r="G37" s="3">
        <v>3.161699999999998</v>
      </c>
      <c r="H37" s="3">
        <v>3.5358699999999992</v>
      </c>
      <c r="I37" s="3">
        <v>0.88956999999999908</v>
      </c>
      <c r="J37" s="3">
        <v>1.3485199999999988</v>
      </c>
      <c r="K37" s="3">
        <v>1.7226900000000001</v>
      </c>
      <c r="L37" s="3">
        <v>0.45894999999999975</v>
      </c>
      <c r="M37" s="3">
        <v>0.83312000000000097</v>
      </c>
      <c r="N37" s="3">
        <v>0.37417000000000122</v>
      </c>
      <c r="P37" s="3">
        <f t="shared" si="1"/>
        <v>0.30030738902402848</v>
      </c>
      <c r="Q37" s="3">
        <f t="shared" si="2"/>
        <v>1.5649528210953962</v>
      </c>
      <c r="R37" s="3">
        <f t="shared" si="3"/>
        <v>-1.0940266187765517</v>
      </c>
      <c r="S37" s="3">
        <f t="shared" si="4"/>
        <v>7.5018429130263289E-3</v>
      </c>
      <c r="T37" s="3">
        <f t="shared" si="5"/>
        <v>-0.38865308156166245</v>
      </c>
      <c r="U37" s="3">
        <f t="shared" si="6"/>
        <v>-0.55750725107816268</v>
      </c>
      <c r="V37" s="3">
        <f t="shared" si="7"/>
        <v>-0.55712431926774653</v>
      </c>
      <c r="W37" s="3">
        <f t="shared" si="8"/>
        <v>-0.8745671885827434</v>
      </c>
      <c r="X37" s="3">
        <f t="shared" si="9"/>
        <v>-0.88936969027116342</v>
      </c>
      <c r="Y37" s="3">
        <f t="shared" si="10"/>
        <v>-0.79856452939604472</v>
      </c>
      <c r="Z37" s="3">
        <f t="shared" si="11"/>
        <v>-0.75131454423068678</v>
      </c>
      <c r="AA37" s="3">
        <f t="shared" si="12"/>
        <v>-0.59322720089425041</v>
      </c>
      <c r="AB37" s="3">
        <f t="shared" si="13"/>
        <v>-0.2169293441014809</v>
      </c>
    </row>
    <row r="38" spans="1:28" x14ac:dyDescent="0.25">
      <c r="A38" s="3">
        <v>1.23766247369087E+18</v>
      </c>
      <c r="B38" s="3">
        <v>236.31164999999999</v>
      </c>
      <c r="C38" s="3">
        <v>36.406641999999998</v>
      </c>
      <c r="D38" s="16">
        <v>6.4482990000000004E-2</v>
      </c>
      <c r="E38" s="3">
        <v>1.9159700000000015</v>
      </c>
      <c r="F38" s="3">
        <v>2.7629999999999981</v>
      </c>
      <c r="G38" s="3">
        <v>3.1620799999999996</v>
      </c>
      <c r="H38" s="3">
        <v>3.4850600000000007</v>
      </c>
      <c r="I38" s="3">
        <v>0.84702999999999662</v>
      </c>
      <c r="J38" s="3">
        <v>1.2461099999999981</v>
      </c>
      <c r="K38" s="3">
        <v>1.5690899999999992</v>
      </c>
      <c r="L38" s="3">
        <v>0.39908000000000143</v>
      </c>
      <c r="M38" s="3">
        <v>0.72206000000000259</v>
      </c>
      <c r="N38" s="3">
        <v>0.32298000000000116</v>
      </c>
      <c r="P38" s="3">
        <f t="shared" si="1"/>
        <v>0.13933093938869534</v>
      </c>
      <c r="Q38" s="3">
        <f t="shared" si="2"/>
        <v>1.1299008935398756</v>
      </c>
      <c r="R38" s="3">
        <f t="shared" si="3"/>
        <v>-1.093854547003936</v>
      </c>
      <c r="S38" s="3">
        <f t="shared" si="4"/>
        <v>0.10868395588457676</v>
      </c>
      <c r="T38" s="3">
        <f t="shared" si="5"/>
        <v>-0.33505951626767172</v>
      </c>
      <c r="U38" s="3">
        <f t="shared" si="6"/>
        <v>-0.55719961944698615</v>
      </c>
      <c r="V38" s="3">
        <f t="shared" si="7"/>
        <v>-0.59601424098324107</v>
      </c>
      <c r="W38" s="3">
        <f t="shared" si="8"/>
        <v>-0.95825732502031824</v>
      </c>
      <c r="X38" s="3">
        <f t="shared" si="9"/>
        <v>-1.0201799544716106</v>
      </c>
      <c r="Y38" s="3">
        <f t="shared" si="10"/>
        <v>-0.96533283709756357</v>
      </c>
      <c r="Z38" s="3">
        <f t="shared" si="11"/>
        <v>-0.93000095643284175</v>
      </c>
      <c r="AA38" s="3">
        <f t="shared" si="12"/>
        <v>-0.81966096507154007</v>
      </c>
      <c r="AB38" s="3">
        <f t="shared" si="13"/>
        <v>-0.49999213805167503</v>
      </c>
    </row>
    <row r="39" spans="1:28" x14ac:dyDescent="0.25">
      <c r="A39" s="3">
        <v>1.2376625032186399E+18</v>
      </c>
      <c r="B39" s="3">
        <v>235.71006</v>
      </c>
      <c r="C39" s="3">
        <v>36.316696</v>
      </c>
      <c r="D39" s="16">
        <v>6.4746970000000001E-2</v>
      </c>
      <c r="E39" s="3">
        <v>1.8437400000000004</v>
      </c>
      <c r="F39" s="3">
        <v>2.6752799999999972</v>
      </c>
      <c r="G39" s="3">
        <v>3.0411199999999994</v>
      </c>
      <c r="H39" s="3">
        <v>3.2991499999999991</v>
      </c>
      <c r="I39" s="3">
        <v>0.83153999999999684</v>
      </c>
      <c r="J39" s="3">
        <v>1.197379999999999</v>
      </c>
      <c r="K39" s="3">
        <v>1.4554099999999988</v>
      </c>
      <c r="L39" s="3">
        <v>0.36584000000000216</v>
      </c>
      <c r="M39" s="3">
        <v>0.62387000000000192</v>
      </c>
      <c r="N39" s="3">
        <v>0.25802999999999976</v>
      </c>
      <c r="P39" s="3">
        <f t="shared" si="1"/>
        <v>-1.7116213223869499</v>
      </c>
      <c r="Q39" s="3">
        <f t="shared" si="2"/>
        <v>0.81148680761292136</v>
      </c>
      <c r="R39" s="3">
        <f t="shared" si="3"/>
        <v>-1.0928205495867935</v>
      </c>
      <c r="S39" s="3">
        <f t="shared" si="4"/>
        <v>3.7583809762045069E-2</v>
      </c>
      <c r="T39" s="3">
        <f t="shared" si="5"/>
        <v>-0.41308818925669949</v>
      </c>
      <c r="U39" s="3">
        <f t="shared" si="6"/>
        <v>-0.65512362499161181</v>
      </c>
      <c r="V39" s="3">
        <f t="shared" si="7"/>
        <v>-0.73830956367814082</v>
      </c>
      <c r="W39" s="3">
        <f t="shared" si="8"/>
        <v>-0.98873123694833753</v>
      </c>
      <c r="X39" s="3">
        <f t="shared" si="9"/>
        <v>-1.0824237214327239</v>
      </c>
      <c r="Y39" s="3">
        <f t="shared" si="10"/>
        <v>-1.0887587564954062</v>
      </c>
      <c r="Z39" s="3">
        <f t="shared" si="11"/>
        <v>-1.0292081777724054</v>
      </c>
      <c r="AA39" s="3">
        <f t="shared" si="12"/>
        <v>-1.0198548359932811</v>
      </c>
      <c r="AB39" s="3">
        <f t="shared" si="13"/>
        <v>-0.85914291881091465</v>
      </c>
    </row>
    <row r="40" spans="1:28" x14ac:dyDescent="0.25">
      <c r="A40" s="3">
        <v>1.2376623378635799E+18</v>
      </c>
      <c r="B40" s="3">
        <v>235.79899</v>
      </c>
      <c r="C40" s="3">
        <v>35.815162999999998</v>
      </c>
      <c r="D40" s="16">
        <v>6.4833169999999996E-2</v>
      </c>
      <c r="E40" s="3">
        <v>1.0413199999999989</v>
      </c>
      <c r="F40" s="3">
        <v>1.378149999999998</v>
      </c>
      <c r="G40" s="3">
        <v>1.6449099999999994</v>
      </c>
      <c r="H40" s="3">
        <v>1.7672699999999999</v>
      </c>
      <c r="I40" s="3">
        <v>0.33682999999999907</v>
      </c>
      <c r="J40" s="3">
        <v>0.60359000000000052</v>
      </c>
      <c r="K40" s="3">
        <v>0.72595000000000098</v>
      </c>
      <c r="L40" s="3">
        <v>0.26676000000000144</v>
      </c>
      <c r="M40" s="3">
        <v>0.38912000000000191</v>
      </c>
      <c r="N40" s="3">
        <v>0.12236000000000047</v>
      </c>
      <c r="P40" s="3">
        <f t="shared" si="1"/>
        <v>-1.438004432744967</v>
      </c>
      <c r="Q40" s="3">
        <f t="shared" si="2"/>
        <v>-0.96396926333195587</v>
      </c>
      <c r="R40" s="3">
        <f t="shared" si="3"/>
        <v>-1.0924829081845751</v>
      </c>
      <c r="S40" s="3">
        <f t="shared" si="4"/>
        <v>-0.75228437868653719</v>
      </c>
      <c r="T40" s="3">
        <f t="shared" si="5"/>
        <v>-1.566910950249135</v>
      </c>
      <c r="U40" s="3">
        <f t="shared" si="6"/>
        <v>-1.785435098052637</v>
      </c>
      <c r="V40" s="3">
        <f t="shared" si="7"/>
        <v>-1.9108089393430387</v>
      </c>
      <c r="W40" s="3">
        <f t="shared" si="8"/>
        <v>-1.9619881104093173</v>
      </c>
      <c r="X40" s="3">
        <f t="shared" si="9"/>
        <v>-1.8408831177766627</v>
      </c>
      <c r="Y40" s="3">
        <f t="shared" si="10"/>
        <v>-1.8807562157138238</v>
      </c>
      <c r="Z40" s="3">
        <f t="shared" si="11"/>
        <v>-1.3249197147857701</v>
      </c>
      <c r="AA40" s="3">
        <f t="shared" si="12"/>
        <v>-1.4984729355846689</v>
      </c>
      <c r="AB40" s="3">
        <f t="shared" si="13"/>
        <v>-1.6093505620072925</v>
      </c>
    </row>
    <row r="41" spans="1:28" x14ac:dyDescent="0.25">
      <c r="A41" s="3">
        <v>1.2376624731541299E+18</v>
      </c>
      <c r="B41" s="3">
        <v>236.24706</v>
      </c>
      <c r="C41" s="3">
        <v>35.929934000000003</v>
      </c>
      <c r="D41" s="16">
        <v>6.4855990000000002E-2</v>
      </c>
      <c r="E41" s="3">
        <v>2.0538799999999995</v>
      </c>
      <c r="F41" s="3">
        <v>2.9844399999999993</v>
      </c>
      <c r="G41" s="3">
        <v>3.3550599999999982</v>
      </c>
      <c r="H41" s="3">
        <v>3.6664299999999983</v>
      </c>
      <c r="I41" s="3">
        <v>0.93055999999999983</v>
      </c>
      <c r="J41" s="3">
        <v>1.3011799999999987</v>
      </c>
      <c r="K41" s="3">
        <v>1.6125499999999988</v>
      </c>
      <c r="L41" s="3">
        <v>0.37061999999999884</v>
      </c>
      <c r="M41" s="3">
        <v>0.68198999999999899</v>
      </c>
      <c r="N41" s="3">
        <v>0.31137000000000015</v>
      </c>
      <c r="P41" s="3">
        <f t="shared" si="1"/>
        <v>-5.9397441382355996E-2</v>
      </c>
      <c r="Q41" s="3">
        <f t="shared" si="2"/>
        <v>-0.5576732295347343</v>
      </c>
      <c r="R41" s="3">
        <f t="shared" si="3"/>
        <v>-1.0923935233029205</v>
      </c>
      <c r="S41" s="3">
        <f t="shared" si="4"/>
        <v>0.24443670615119795</v>
      </c>
      <c r="T41" s="3">
        <f t="shared" si="5"/>
        <v>-0.13808426151744127</v>
      </c>
      <c r="U41" s="3">
        <f t="shared" si="6"/>
        <v>-0.40097132422541126</v>
      </c>
      <c r="V41" s="3">
        <f t="shared" si="7"/>
        <v>-0.45719382961659366</v>
      </c>
      <c r="W41" s="3">
        <f t="shared" si="8"/>
        <v>-0.79392641066605185</v>
      </c>
      <c r="X41" s="3">
        <f t="shared" si="9"/>
        <v>-0.94983798347738491</v>
      </c>
      <c r="Y41" s="3">
        <f t="shared" si="10"/>
        <v>-0.9181469604523298</v>
      </c>
      <c r="Z41" s="3">
        <f t="shared" si="11"/>
        <v>-1.0149419167013225</v>
      </c>
      <c r="AA41" s="3">
        <f t="shared" si="12"/>
        <v>-0.90135735378561299</v>
      </c>
      <c r="AB41" s="3">
        <f t="shared" si="13"/>
        <v>-0.56419137692180654</v>
      </c>
    </row>
    <row r="42" spans="1:28" x14ac:dyDescent="0.25">
      <c r="A42" s="3">
        <v>1.23766247369087E+18</v>
      </c>
      <c r="B42" s="3">
        <v>236.20194000000001</v>
      </c>
      <c r="C42" s="3">
        <v>36.445641000000002</v>
      </c>
      <c r="D42" s="16">
        <v>6.4901249999999994E-2</v>
      </c>
      <c r="E42" s="3">
        <v>1.5531400000000026</v>
      </c>
      <c r="F42" s="3">
        <v>2.3354900000000001</v>
      </c>
      <c r="G42" s="3">
        <v>2.675060000000002</v>
      </c>
      <c r="H42" s="3">
        <v>2.9899200000000015</v>
      </c>
      <c r="I42" s="3">
        <v>0.78234999999999744</v>
      </c>
      <c r="J42" s="3">
        <v>1.1219199999999994</v>
      </c>
      <c r="K42" s="3">
        <v>1.4367799999999988</v>
      </c>
      <c r="L42" s="3">
        <v>0.33957000000000193</v>
      </c>
      <c r="M42" s="3">
        <v>0.6544300000000014</v>
      </c>
      <c r="N42" s="3">
        <v>0.31485999999999947</v>
      </c>
      <c r="P42" s="3">
        <f t="shared" si="1"/>
        <v>-0.19822116859077635</v>
      </c>
      <c r="Q42" s="3">
        <f t="shared" si="2"/>
        <v>1.2679596280813437</v>
      </c>
      <c r="R42" s="3">
        <f t="shared" si="3"/>
        <v>-1.0922162419819874</v>
      </c>
      <c r="S42" s="3">
        <f t="shared" si="4"/>
        <v>-0.24847049541872784</v>
      </c>
      <c r="T42" s="3">
        <f t="shared" si="5"/>
        <v>-0.71533810711968671</v>
      </c>
      <c r="U42" s="3">
        <f t="shared" si="6"/>
        <v>-0.95147003264426866</v>
      </c>
      <c r="V42" s="3">
        <f t="shared" si="7"/>
        <v>-0.97499388747429572</v>
      </c>
      <c r="W42" s="3">
        <f t="shared" si="8"/>
        <v>-1.0855041051045204</v>
      </c>
      <c r="X42" s="3">
        <f t="shared" si="9"/>
        <v>-1.1788102318962101</v>
      </c>
      <c r="Y42" s="3">
        <f t="shared" si="10"/>
        <v>-1.1089859281912349</v>
      </c>
      <c r="Z42" s="3">
        <f t="shared" si="11"/>
        <v>-1.1076129221944997</v>
      </c>
      <c r="AA42" s="3">
        <f t="shared" si="12"/>
        <v>-0.95754783227224771</v>
      </c>
      <c r="AB42" s="3">
        <f t="shared" si="13"/>
        <v>-0.54489289770934346</v>
      </c>
    </row>
    <row r="43" spans="1:28" x14ac:dyDescent="0.25">
      <c r="A43" s="3">
        <v>1.2376625032186399E+18</v>
      </c>
      <c r="B43" s="3">
        <v>235.80139</v>
      </c>
      <c r="C43" s="3">
        <v>36.410372000000002</v>
      </c>
      <c r="D43" s="16">
        <v>6.4920919999999993E-2</v>
      </c>
      <c r="E43" s="3">
        <v>1.8927200000000006</v>
      </c>
      <c r="F43" s="3">
        <v>2.7922799999999999</v>
      </c>
      <c r="G43" s="3">
        <v>3.2152399999999997</v>
      </c>
      <c r="H43" s="3">
        <v>3.5327399999999987</v>
      </c>
      <c r="I43" s="3">
        <v>0.89955999999999925</v>
      </c>
      <c r="J43" s="3">
        <v>1.322519999999999</v>
      </c>
      <c r="K43" s="3">
        <v>1.640019999999998</v>
      </c>
      <c r="L43" s="3">
        <v>0.42295999999999978</v>
      </c>
      <c r="M43" s="3">
        <v>0.74045999999999879</v>
      </c>
      <c r="N43" s="3">
        <v>0.31749999999999901</v>
      </c>
      <c r="P43" s="3">
        <f t="shared" si="1"/>
        <v>-1.4306201919360251</v>
      </c>
      <c r="Q43" s="3">
        <f t="shared" si="2"/>
        <v>1.143105311084947</v>
      </c>
      <c r="R43" s="3">
        <f t="shared" si="3"/>
        <v>-1.0921391955042423</v>
      </c>
      <c r="S43" s="3">
        <f t="shared" si="4"/>
        <v>8.5797642755005968E-2</v>
      </c>
      <c r="T43" s="3">
        <f t="shared" si="5"/>
        <v>-0.30901437781442453</v>
      </c>
      <c r="U43" s="3">
        <f t="shared" si="6"/>
        <v>-0.51416357335941754</v>
      </c>
      <c r="V43" s="3">
        <f t="shared" si="7"/>
        <v>-0.55952001804691442</v>
      </c>
      <c r="W43" s="3">
        <f t="shared" si="8"/>
        <v>-0.85491358108365223</v>
      </c>
      <c r="X43" s="3">
        <f t="shared" si="9"/>
        <v>-0.92257999072240426</v>
      </c>
      <c r="Y43" s="3">
        <f t="shared" si="10"/>
        <v>-0.88832192521430531</v>
      </c>
      <c r="Z43" s="3">
        <f t="shared" si="11"/>
        <v>-0.85872934254629951</v>
      </c>
      <c r="AA43" s="3">
        <f t="shared" si="12"/>
        <v>-0.78214627696726013</v>
      </c>
      <c r="AB43" s="3">
        <f t="shared" si="13"/>
        <v>-0.53029462117040271</v>
      </c>
    </row>
    <row r="44" spans="1:28" x14ac:dyDescent="0.25">
      <c r="A44" s="3">
        <v>1.2376625032187E+18</v>
      </c>
      <c r="B44" s="3">
        <v>235.94580999999999</v>
      </c>
      <c r="C44" s="3">
        <v>36.373638999999997</v>
      </c>
      <c r="D44" s="16">
        <v>6.4979609999999993E-2</v>
      </c>
      <c r="E44" s="3">
        <v>1.7072700000000012</v>
      </c>
      <c r="F44" s="3">
        <v>2.4680300000000024</v>
      </c>
      <c r="G44" s="3">
        <v>2.8274400000000028</v>
      </c>
      <c r="H44" s="3">
        <v>3.0700200000000031</v>
      </c>
      <c r="I44" s="3">
        <v>0.76076000000000121</v>
      </c>
      <c r="J44" s="3">
        <v>1.1201700000000017</v>
      </c>
      <c r="K44" s="3">
        <v>1.3627500000000019</v>
      </c>
      <c r="L44" s="3">
        <v>0.35941000000000045</v>
      </c>
      <c r="M44" s="3">
        <v>0.60199000000000069</v>
      </c>
      <c r="N44" s="3">
        <v>0.24258000000000024</v>
      </c>
      <c r="P44" s="3">
        <f t="shared" si="1"/>
        <v>-0.98627350125692792</v>
      </c>
      <c r="Q44" s="3">
        <f t="shared" si="2"/>
        <v>1.0130683487035539</v>
      </c>
      <c r="R44" s="3">
        <f t="shared" si="3"/>
        <v>-1.0919093094961658</v>
      </c>
      <c r="S44" s="3">
        <f t="shared" si="4"/>
        <v>-9.6751465626874936E-2</v>
      </c>
      <c r="T44" s="3">
        <f t="shared" si="5"/>
        <v>-0.59744115867046399</v>
      </c>
      <c r="U44" s="3">
        <f t="shared" si="6"/>
        <v>-0.82810974854299446</v>
      </c>
      <c r="V44" s="3">
        <f t="shared" si="7"/>
        <v>-0.91368542989879364</v>
      </c>
      <c r="W44" s="3">
        <f t="shared" si="8"/>
        <v>-1.1279787183082539</v>
      </c>
      <c r="X44" s="3">
        <f t="shared" si="9"/>
        <v>-1.1810455405804254</v>
      </c>
      <c r="Y44" s="3">
        <f t="shared" si="10"/>
        <v>-1.1893626067012795</v>
      </c>
      <c r="Z44" s="3">
        <f t="shared" si="11"/>
        <v>-1.0483989850291315</v>
      </c>
      <c r="AA44" s="3">
        <f t="shared" si="12"/>
        <v>-1.064464693369469</v>
      </c>
      <c r="AB44" s="3">
        <f t="shared" si="13"/>
        <v>-0.94457601446495565</v>
      </c>
    </row>
    <row r="45" spans="1:28" x14ac:dyDescent="0.25">
      <c r="A45" s="3">
        <v>1.2376625032188301E+18</v>
      </c>
      <c r="B45" s="3">
        <v>236.26456999999999</v>
      </c>
      <c r="C45" s="3">
        <v>36.167524</v>
      </c>
      <c r="D45" s="16">
        <v>6.4985280000000006E-2</v>
      </c>
      <c r="E45" s="3">
        <v>1.8518799999999978</v>
      </c>
      <c r="F45" s="3">
        <v>2.7363399999999984</v>
      </c>
      <c r="G45" s="3">
        <v>3.1441999999999979</v>
      </c>
      <c r="H45" s="3">
        <v>3.4565199999999976</v>
      </c>
      <c r="I45" s="3">
        <v>0.88446000000000069</v>
      </c>
      <c r="J45" s="3">
        <v>1.2923200000000001</v>
      </c>
      <c r="K45" s="3">
        <v>1.6046399999999998</v>
      </c>
      <c r="L45" s="3">
        <v>0.40785999999999945</v>
      </c>
      <c r="M45" s="3">
        <v>0.72017999999999915</v>
      </c>
      <c r="N45" s="3">
        <v>0.31231999999999971</v>
      </c>
      <c r="P45" s="3">
        <f t="shared" si="1"/>
        <v>-5.5232511470318666E-3</v>
      </c>
      <c r="Q45" s="3">
        <f t="shared" si="2"/>
        <v>0.28340922744374347</v>
      </c>
      <c r="R45" s="3">
        <f t="shared" si="3"/>
        <v>-1.0918871003691286</v>
      </c>
      <c r="S45" s="3">
        <f t="shared" si="4"/>
        <v>4.5596480251276855E-2</v>
      </c>
      <c r="T45" s="3">
        <f t="shared" si="5"/>
        <v>-0.35877411296041495</v>
      </c>
      <c r="U45" s="3">
        <f t="shared" si="6"/>
        <v>-0.57167449725070696</v>
      </c>
      <c r="V45" s="3">
        <f t="shared" si="7"/>
        <v>-0.6178587276150137</v>
      </c>
      <c r="W45" s="3">
        <f t="shared" si="8"/>
        <v>-0.8846202350612542</v>
      </c>
      <c r="X45" s="3">
        <f t="shared" si="9"/>
        <v>-0.96115503201576757</v>
      </c>
      <c r="Y45" s="3">
        <f t="shared" si="10"/>
        <v>-0.9267350940064889</v>
      </c>
      <c r="Z45" s="3">
        <f t="shared" si="11"/>
        <v>-0.90379640157841368</v>
      </c>
      <c r="AA45" s="3">
        <f t="shared" si="12"/>
        <v>-0.82349398755176773</v>
      </c>
      <c r="AB45" s="3">
        <f t="shared" si="13"/>
        <v>-0.55893820922787107</v>
      </c>
    </row>
    <row r="46" spans="1:28" x14ac:dyDescent="0.25">
      <c r="A46" s="3">
        <v>1.2376625032188301E+18</v>
      </c>
      <c r="B46" s="3">
        <v>236.26456999999999</v>
      </c>
      <c r="C46" s="3">
        <v>36.167524</v>
      </c>
      <c r="D46" s="16">
        <v>6.4999559999999998E-2</v>
      </c>
      <c r="E46" s="3">
        <v>1.8518799999999978</v>
      </c>
      <c r="F46" s="3">
        <v>2.7363399999999984</v>
      </c>
      <c r="G46" s="3">
        <v>3.1441999999999979</v>
      </c>
      <c r="H46" s="3">
        <v>3.4565199999999976</v>
      </c>
      <c r="I46" s="3">
        <v>0.88446000000000069</v>
      </c>
      <c r="J46" s="3">
        <v>1.2923200000000001</v>
      </c>
      <c r="K46" s="3">
        <v>1.6046399999999998</v>
      </c>
      <c r="L46" s="3">
        <v>0.40785999999999945</v>
      </c>
      <c r="M46" s="3">
        <v>0.72017999999999915</v>
      </c>
      <c r="N46" s="3">
        <v>0.31231999999999971</v>
      </c>
      <c r="P46" s="3">
        <f t="shared" si="1"/>
        <v>-5.5232511470318666E-3</v>
      </c>
      <c r="Q46" s="3">
        <f t="shared" si="2"/>
        <v>0.28340922744374347</v>
      </c>
      <c r="R46" s="3">
        <f t="shared" si="3"/>
        <v>-1.0918311662714062</v>
      </c>
      <c r="S46" s="3">
        <f t="shared" si="4"/>
        <v>4.5596480251276855E-2</v>
      </c>
      <c r="T46" s="3">
        <f t="shared" si="5"/>
        <v>-0.35877411296041495</v>
      </c>
      <c r="U46" s="3">
        <f t="shared" si="6"/>
        <v>-0.57167449725070696</v>
      </c>
      <c r="V46" s="3">
        <f t="shared" si="7"/>
        <v>-0.6178587276150137</v>
      </c>
      <c r="W46" s="3">
        <f t="shared" si="8"/>
        <v>-0.8846202350612542</v>
      </c>
      <c r="X46" s="3">
        <f t="shared" si="9"/>
        <v>-0.96115503201576757</v>
      </c>
      <c r="Y46" s="3">
        <f t="shared" si="10"/>
        <v>-0.9267350940064889</v>
      </c>
      <c r="Z46" s="3">
        <f t="shared" si="11"/>
        <v>-0.90379640157841368</v>
      </c>
      <c r="AA46" s="3">
        <f t="shared" si="12"/>
        <v>-0.82349398755176773</v>
      </c>
      <c r="AB46" s="3">
        <f t="shared" si="13"/>
        <v>-0.55893820922787107</v>
      </c>
    </row>
    <row r="47" spans="1:28" x14ac:dyDescent="0.25">
      <c r="A47" s="3">
        <v>1.2376625032187E+18</v>
      </c>
      <c r="B47" s="3">
        <v>235.80547000000001</v>
      </c>
      <c r="C47" s="3">
        <v>36.275041000000002</v>
      </c>
      <c r="D47" s="16">
        <v>6.5075030000000006E-2</v>
      </c>
      <c r="E47" s="3">
        <v>1.9735700000000023</v>
      </c>
      <c r="F47" s="3">
        <v>2.8438499999999998</v>
      </c>
      <c r="G47" s="3">
        <v>3.2469600000000014</v>
      </c>
      <c r="H47" s="3">
        <v>3.5362600000000004</v>
      </c>
      <c r="I47" s="3">
        <v>0.8702799999999975</v>
      </c>
      <c r="J47" s="3">
        <v>1.2733899999999991</v>
      </c>
      <c r="K47" s="3">
        <v>1.5626899999999981</v>
      </c>
      <c r="L47" s="3">
        <v>0.40311000000000163</v>
      </c>
      <c r="M47" s="3">
        <v>0.69241000000000064</v>
      </c>
      <c r="N47" s="3">
        <v>0.289299999999999</v>
      </c>
      <c r="P47" s="3">
        <f t="shared" si="1"/>
        <v>-1.4180669825607455</v>
      </c>
      <c r="Q47" s="3">
        <f t="shared" si="2"/>
        <v>0.66402567816539515</v>
      </c>
      <c r="R47" s="3">
        <f t="shared" si="3"/>
        <v>-1.0915355537815519</v>
      </c>
      <c r="S47" s="3">
        <f t="shared" si="4"/>
        <v>0.16538295099267333</v>
      </c>
      <c r="T47" s="3">
        <f t="shared" si="5"/>
        <v>-0.26314184400179219</v>
      </c>
      <c r="U47" s="3">
        <f t="shared" si="6"/>
        <v>-0.48848442772552453</v>
      </c>
      <c r="V47" s="3">
        <f t="shared" si="7"/>
        <v>-0.55682581366906336</v>
      </c>
      <c r="W47" s="3">
        <f t="shared" si="8"/>
        <v>-0.91251694720711707</v>
      </c>
      <c r="X47" s="3">
        <f t="shared" si="9"/>
        <v>-0.98533468538276858</v>
      </c>
      <c r="Y47" s="3">
        <f t="shared" si="10"/>
        <v>-0.97228151658512796</v>
      </c>
      <c r="Z47" s="3">
        <f t="shared" si="11"/>
        <v>-0.91797312544612486</v>
      </c>
      <c r="AA47" s="3">
        <f t="shared" si="12"/>
        <v>-0.88011262280481195</v>
      </c>
      <c r="AB47" s="3">
        <f t="shared" si="13"/>
        <v>-0.68623075692729785</v>
      </c>
    </row>
    <row r="48" spans="1:28" x14ac:dyDescent="0.25">
      <c r="A48" s="3">
        <v>1.2376625032188301E+18</v>
      </c>
      <c r="B48" s="3">
        <v>236.25417999999999</v>
      </c>
      <c r="C48" s="3">
        <v>36.106436000000002</v>
      </c>
      <c r="D48" s="16">
        <v>6.5155870000000005E-2</v>
      </c>
      <c r="E48" s="3">
        <v>2.0028100000000002</v>
      </c>
      <c r="F48" s="3">
        <v>2.8889299999999984</v>
      </c>
      <c r="G48" s="3">
        <v>3.3202700000000007</v>
      </c>
      <c r="H48" s="3">
        <v>3.6051699999999993</v>
      </c>
      <c r="I48" s="3">
        <v>0.88611999999999824</v>
      </c>
      <c r="J48" s="3">
        <v>1.3174600000000005</v>
      </c>
      <c r="K48" s="3">
        <v>1.6023599999999991</v>
      </c>
      <c r="L48" s="3">
        <v>0.43134000000000228</v>
      </c>
      <c r="M48" s="3">
        <v>0.71624000000000088</v>
      </c>
      <c r="N48" s="3">
        <v>0.2848999999999986</v>
      </c>
      <c r="P48" s="3">
        <f t="shared" si="1"/>
        <v>-3.7490860315819954E-2</v>
      </c>
      <c r="Q48" s="3">
        <f t="shared" si="2"/>
        <v>6.7154144603976729E-2</v>
      </c>
      <c r="R48" s="3">
        <f t="shared" si="3"/>
        <v>-1.0912189072507472</v>
      </c>
      <c r="S48" s="3">
        <f t="shared" si="4"/>
        <v>0.1941655658704616</v>
      </c>
      <c r="T48" s="3">
        <f t="shared" si="5"/>
        <v>-0.22304229340506132</v>
      </c>
      <c r="U48" s="3">
        <f t="shared" si="6"/>
        <v>-0.42913580961642706</v>
      </c>
      <c r="V48" s="3">
        <f t="shared" si="7"/>
        <v>-0.50408217057882998</v>
      </c>
      <c r="W48" s="3">
        <f t="shared" si="8"/>
        <v>-0.88135447045180049</v>
      </c>
      <c r="X48" s="3">
        <f t="shared" si="9"/>
        <v>-0.92904322611791312</v>
      </c>
      <c r="Y48" s="3">
        <f t="shared" si="10"/>
        <v>-0.92921056107393407</v>
      </c>
      <c r="Z48" s="3">
        <f t="shared" si="11"/>
        <v>-0.83371861707019213</v>
      </c>
      <c r="AA48" s="3">
        <f t="shared" si="12"/>
        <v>-0.83152702402626932</v>
      </c>
      <c r="AB48" s="3">
        <f t="shared" si="13"/>
        <v>-0.71056121782553905</v>
      </c>
    </row>
    <row r="49" spans="1:28" x14ac:dyDescent="0.25">
      <c r="A49" s="3">
        <v>1.2376625032186399E+18</v>
      </c>
      <c r="B49" s="3">
        <v>235.78666999999999</v>
      </c>
      <c r="C49" s="3">
        <v>36.463444000000003</v>
      </c>
      <c r="D49" s="16">
        <v>6.5224270000000001E-2</v>
      </c>
      <c r="E49" s="3">
        <v>1.7988499999999981</v>
      </c>
      <c r="F49" s="3">
        <v>2.6358099999999993</v>
      </c>
      <c r="G49" s="3">
        <v>3.0162899999999979</v>
      </c>
      <c r="H49" s="3">
        <v>3.288450000000001</v>
      </c>
      <c r="I49" s="3">
        <v>0.83696000000000126</v>
      </c>
      <c r="J49" s="3">
        <v>1.2174399999999999</v>
      </c>
      <c r="K49" s="3">
        <v>1.4896000000000029</v>
      </c>
      <c r="L49" s="3">
        <v>0.3804799999999986</v>
      </c>
      <c r="M49" s="3">
        <v>0.65264000000000166</v>
      </c>
      <c r="N49" s="3">
        <v>0.27216000000000307</v>
      </c>
      <c r="P49" s="3">
        <f t="shared" si="1"/>
        <v>-1.475910202231008</v>
      </c>
      <c r="Q49" s="3">
        <f t="shared" si="2"/>
        <v>1.3309832864069826</v>
      </c>
      <c r="R49" s="3">
        <f t="shared" si="3"/>
        <v>-1.0909509876230008</v>
      </c>
      <c r="S49" s="3">
        <f t="shared" si="4"/>
        <v>-6.6040008352214758E-3</v>
      </c>
      <c r="T49" s="3">
        <f t="shared" si="5"/>
        <v>-0.44819753402273604</v>
      </c>
      <c r="U49" s="3">
        <f t="shared" si="6"/>
        <v>-0.67522492341814289</v>
      </c>
      <c r="V49" s="3">
        <f t="shared" si="7"/>
        <v>-0.7464993326676258</v>
      </c>
      <c r="W49" s="3">
        <f t="shared" si="8"/>
        <v>-0.97806831876563893</v>
      </c>
      <c r="X49" s="3">
        <f t="shared" si="9"/>
        <v>-1.0568006973153423</v>
      </c>
      <c r="Y49" s="3">
        <f t="shared" si="10"/>
        <v>-1.051637607795435</v>
      </c>
      <c r="Z49" s="3">
        <f t="shared" si="11"/>
        <v>-0.985514022525387</v>
      </c>
      <c r="AA49" s="3">
        <f t="shared" si="12"/>
        <v>-0.96119735899543601</v>
      </c>
      <c r="AB49" s="3">
        <f t="shared" si="13"/>
        <v>-0.78100896142632448</v>
      </c>
    </row>
    <row r="50" spans="1:28" x14ac:dyDescent="0.25">
      <c r="A50" s="3">
        <v>1.2376625032186399E+18</v>
      </c>
      <c r="B50" s="3">
        <v>235.81009</v>
      </c>
      <c r="C50" s="3">
        <v>36.410902999999998</v>
      </c>
      <c r="D50" s="16">
        <v>6.5315159999999997E-2</v>
      </c>
      <c r="E50" s="3">
        <v>1.9369399999999999</v>
      </c>
      <c r="F50" s="3">
        <v>2.8146200000000015</v>
      </c>
      <c r="G50" s="3">
        <v>3.2293200000000013</v>
      </c>
      <c r="H50" s="3">
        <v>3.5403200000000012</v>
      </c>
      <c r="I50" s="3">
        <v>0.87768000000000157</v>
      </c>
      <c r="J50" s="3">
        <v>1.2923800000000014</v>
      </c>
      <c r="K50" s="3">
        <v>1.6033800000000014</v>
      </c>
      <c r="L50" s="3">
        <v>0.41469999999999985</v>
      </c>
      <c r="M50" s="3">
        <v>0.72569999999999979</v>
      </c>
      <c r="N50" s="3">
        <v>0.31099999999999994</v>
      </c>
      <c r="P50" s="3">
        <f t="shared" si="1"/>
        <v>-1.4038523190035346</v>
      </c>
      <c r="Q50" s="3">
        <f t="shared" si="2"/>
        <v>1.1449850820544807</v>
      </c>
      <c r="R50" s="3">
        <f t="shared" si="3"/>
        <v>-1.0905949757082949</v>
      </c>
      <c r="S50" s="3">
        <f t="shared" si="4"/>
        <v>0.12932593379111629</v>
      </c>
      <c r="T50" s="3">
        <f t="shared" si="5"/>
        <v>-0.28914250646724049</v>
      </c>
      <c r="U50" s="3">
        <f t="shared" si="6"/>
        <v>-0.50276501186744915</v>
      </c>
      <c r="V50" s="3">
        <f t="shared" si="7"/>
        <v>-0.55371829384688387</v>
      </c>
      <c r="W50" s="3">
        <f t="shared" si="8"/>
        <v>-0.89795871943000483</v>
      </c>
      <c r="X50" s="3">
        <f t="shared" si="9"/>
        <v>-0.96107839286087837</v>
      </c>
      <c r="Y50" s="3">
        <f t="shared" si="10"/>
        <v>-0.9281031152806013</v>
      </c>
      <c r="Z50" s="3">
        <f t="shared" si="11"/>
        <v>-0.88338191920889897</v>
      </c>
      <c r="AA50" s="3">
        <f t="shared" si="12"/>
        <v>-0.81223958112048011</v>
      </c>
      <c r="AB50" s="3">
        <f t="shared" si="13"/>
        <v>-0.56623734749734145</v>
      </c>
    </row>
    <row r="51" spans="1:28" x14ac:dyDescent="0.25">
      <c r="A51" s="3">
        <v>1.23766247369074E+18</v>
      </c>
      <c r="B51" s="3">
        <v>235.81360000000001</v>
      </c>
      <c r="C51" s="3">
        <v>36.473101</v>
      </c>
      <c r="D51" s="16">
        <v>6.5316739999999998E-2</v>
      </c>
      <c r="E51" s="3">
        <v>1.7890300000000003</v>
      </c>
      <c r="F51" s="3">
        <v>2.5791599999999981</v>
      </c>
      <c r="G51" s="3">
        <v>2.9582799999999985</v>
      </c>
      <c r="H51" s="3">
        <v>3.2732599999999969</v>
      </c>
      <c r="I51" s="3">
        <v>0.79012999999999778</v>
      </c>
      <c r="J51" s="3">
        <v>1.1692499999999981</v>
      </c>
      <c r="K51" s="3">
        <v>1.4842299999999966</v>
      </c>
      <c r="L51" s="3">
        <v>0.37912000000000035</v>
      </c>
      <c r="M51" s="3">
        <v>0.69409999999999883</v>
      </c>
      <c r="N51" s="3">
        <v>0.31497999999999848</v>
      </c>
      <c r="P51" s="3">
        <f t="shared" si="1"/>
        <v>-1.3930528668204147</v>
      </c>
      <c r="Q51" s="3">
        <f t="shared" si="2"/>
        <v>1.3651696296328713</v>
      </c>
      <c r="R51" s="3">
        <f t="shared" si="3"/>
        <v>-1.0905887869215722</v>
      </c>
      <c r="S51" s="3">
        <f t="shared" si="4"/>
        <v>-1.62703920151064E-2</v>
      </c>
      <c r="T51" s="3">
        <f t="shared" si="5"/>
        <v>-0.49858882819542721</v>
      </c>
      <c r="U51" s="3">
        <f t="shared" si="6"/>
        <v>-0.7221873205878161</v>
      </c>
      <c r="V51" s="3">
        <f t="shared" si="7"/>
        <v>-0.75812574303681568</v>
      </c>
      <c r="W51" s="3">
        <f t="shared" si="8"/>
        <v>-1.0701982926577804</v>
      </c>
      <c r="X51" s="3">
        <f t="shared" si="9"/>
        <v>-1.1183547118824717</v>
      </c>
      <c r="Y51" s="3">
        <f t="shared" si="10"/>
        <v>-1.0574679841779753</v>
      </c>
      <c r="Z51" s="3">
        <f t="shared" si="11"/>
        <v>-0.98957304241171784</v>
      </c>
      <c r="AA51" s="3">
        <f t="shared" si="12"/>
        <v>-0.87666698025610668</v>
      </c>
      <c r="AB51" s="3">
        <f t="shared" si="13"/>
        <v>-0.54422933968485154</v>
      </c>
    </row>
    <row r="52" spans="1:28" x14ac:dyDescent="0.25">
      <c r="A52" s="3">
        <v>1.2376625032187699E+18</v>
      </c>
      <c r="B52" s="3">
        <v>236.01967999999999</v>
      </c>
      <c r="C52" s="3">
        <v>36.125104999999998</v>
      </c>
      <c r="D52" s="16">
        <v>6.5348059999999999E-2</v>
      </c>
      <c r="E52" s="3">
        <v>1.9589399999999983</v>
      </c>
      <c r="F52" s="3">
        <v>2.8948599999999978</v>
      </c>
      <c r="G52" s="3">
        <v>3.3355999999999995</v>
      </c>
      <c r="H52" s="3">
        <v>3.6846099999999993</v>
      </c>
      <c r="I52" s="3">
        <v>0.93591999999999942</v>
      </c>
      <c r="J52" s="3">
        <v>1.3766600000000011</v>
      </c>
      <c r="K52" s="3">
        <v>1.7256700000000009</v>
      </c>
      <c r="L52" s="3">
        <v>0.44074000000000169</v>
      </c>
      <c r="M52" s="3">
        <v>0.78975000000000151</v>
      </c>
      <c r="N52" s="3">
        <v>0.34900999999999982</v>
      </c>
      <c r="P52" s="3">
        <f t="shared" si="1"/>
        <v>-0.75899272269117923</v>
      </c>
      <c r="Q52" s="3">
        <f t="shared" si="2"/>
        <v>0.13324349343737749</v>
      </c>
      <c r="R52" s="3">
        <f t="shared" si="3"/>
        <v>-1.0904661079341302</v>
      </c>
      <c r="S52" s="3">
        <f t="shared" si="4"/>
        <v>0.15098179997823472</v>
      </c>
      <c r="T52" s="3">
        <f t="shared" si="5"/>
        <v>-0.21776744125247494</v>
      </c>
      <c r="U52" s="3">
        <f t="shared" si="6"/>
        <v>-0.41672530196927937</v>
      </c>
      <c r="V52" s="3">
        <f t="shared" si="7"/>
        <v>-0.44327887632417584</v>
      </c>
      <c r="W52" s="3">
        <f t="shared" si="8"/>
        <v>-0.78338153216804196</v>
      </c>
      <c r="X52" s="3">
        <f t="shared" si="9"/>
        <v>-0.85342592662893257</v>
      </c>
      <c r="Y52" s="3">
        <f t="shared" si="10"/>
        <v>-0.79532905050964708</v>
      </c>
      <c r="Z52" s="3">
        <f t="shared" si="11"/>
        <v>-0.80566362667934199</v>
      </c>
      <c r="AA52" s="3">
        <f t="shared" si="12"/>
        <v>-0.68165176736614908</v>
      </c>
      <c r="AB52" s="3">
        <f t="shared" si="13"/>
        <v>-0.35605534323778237</v>
      </c>
    </row>
    <row r="53" spans="1:28" x14ac:dyDescent="0.25">
      <c r="A53" s="3">
        <v>1.2376624736910001E+18</v>
      </c>
      <c r="B53" s="3">
        <v>236.37001000000001</v>
      </c>
      <c r="C53" s="3">
        <v>36.133343000000004</v>
      </c>
      <c r="D53" s="16">
        <v>6.5348920000000005E-2</v>
      </c>
      <c r="E53" s="3">
        <v>1.7693000000000012</v>
      </c>
      <c r="F53" s="3">
        <v>2.6161600000000007</v>
      </c>
      <c r="G53" s="3">
        <v>2.9935100000000006</v>
      </c>
      <c r="H53" s="3">
        <v>3.2851400000000019</v>
      </c>
      <c r="I53" s="3">
        <v>0.8468599999999995</v>
      </c>
      <c r="J53" s="3">
        <v>1.2242099999999994</v>
      </c>
      <c r="K53" s="3">
        <v>1.5158400000000007</v>
      </c>
      <c r="L53" s="3">
        <v>0.37734999999999985</v>
      </c>
      <c r="M53" s="3">
        <v>0.66898000000000124</v>
      </c>
      <c r="N53" s="3">
        <v>0.29163000000000139</v>
      </c>
      <c r="P53" s="3">
        <f t="shared" si="1"/>
        <v>0.31889106172661508</v>
      </c>
      <c r="Q53" s="3">
        <f t="shared" si="2"/>
        <v>0.16240649390285838</v>
      </c>
      <c r="R53" s="3">
        <f t="shared" si="3"/>
        <v>-1.0904627393540152</v>
      </c>
      <c r="S53" s="3">
        <f t="shared" si="4"/>
        <v>-3.5691766554736291E-2</v>
      </c>
      <c r="T53" s="3">
        <f t="shared" si="5"/>
        <v>-0.46567659722650112</v>
      </c>
      <c r="U53" s="3">
        <f t="shared" si="6"/>
        <v>-0.6936666301501726</v>
      </c>
      <c r="V53" s="3">
        <f t="shared" si="7"/>
        <v>-0.74903280326156896</v>
      </c>
      <c r="W53" s="3">
        <f t="shared" si="8"/>
        <v>-0.95859177079357039</v>
      </c>
      <c r="X53" s="3">
        <f t="shared" si="9"/>
        <v>-1.0481532460055389</v>
      </c>
      <c r="Y53" s="3">
        <f t="shared" si="10"/>
        <v>-1.023148021896428</v>
      </c>
      <c r="Z53" s="3">
        <f t="shared" si="11"/>
        <v>-0.99485573741084776</v>
      </c>
      <c r="AA53" s="3">
        <f t="shared" si="12"/>
        <v>-0.92788268488543357</v>
      </c>
      <c r="AB53" s="3">
        <f t="shared" si="13"/>
        <v>-0.67334667195162634</v>
      </c>
    </row>
    <row r="54" spans="1:28" x14ac:dyDescent="0.25">
      <c r="A54" s="3">
        <v>1.23766250321903E+18</v>
      </c>
      <c r="B54" s="3">
        <v>236.63884999999999</v>
      </c>
      <c r="C54" s="3">
        <v>35.784723999999997</v>
      </c>
      <c r="D54" s="16">
        <v>6.5432879999999999E-2</v>
      </c>
      <c r="E54" s="3">
        <v>1.8967999999999989</v>
      </c>
      <c r="F54" s="3">
        <v>2.7572599999999987</v>
      </c>
      <c r="G54" s="3">
        <v>3.1620599999999985</v>
      </c>
      <c r="H54" s="3">
        <v>3.4725699999999993</v>
      </c>
      <c r="I54" s="3">
        <v>0.86045999999999978</v>
      </c>
      <c r="J54" s="3">
        <v>1.2652599999999996</v>
      </c>
      <c r="K54" s="3">
        <v>1.5757700000000003</v>
      </c>
      <c r="L54" s="3">
        <v>0.40479999999999983</v>
      </c>
      <c r="M54" s="3">
        <v>0.71531000000000056</v>
      </c>
      <c r="N54" s="3">
        <v>0.31051000000000073</v>
      </c>
      <c r="P54" s="3">
        <f t="shared" si="1"/>
        <v>1.1460491030101196</v>
      </c>
      <c r="Q54" s="3">
        <f t="shared" si="2"/>
        <v>-1.0717250986279245</v>
      </c>
      <c r="R54" s="3">
        <f t="shared" si="3"/>
        <v>-1.0901338719279099</v>
      </c>
      <c r="S54" s="3">
        <f t="shared" si="4"/>
        <v>8.9813821575161087E-2</v>
      </c>
      <c r="T54" s="3">
        <f t="shared" si="5"/>
        <v>-0.34016535966663397</v>
      </c>
      <c r="U54" s="3">
        <f t="shared" si="6"/>
        <v>-0.55721581058546987</v>
      </c>
      <c r="V54" s="3">
        <f t="shared" si="7"/>
        <v>-0.60557407413078279</v>
      </c>
      <c r="W54" s="3">
        <f t="shared" si="8"/>
        <v>-0.93183610893294566</v>
      </c>
      <c r="X54" s="3">
        <f t="shared" si="9"/>
        <v>-0.99571929087002142</v>
      </c>
      <c r="Y54" s="3">
        <f t="shared" si="10"/>
        <v>-0.95808015288241821</v>
      </c>
      <c r="Z54" s="3">
        <f t="shared" si="11"/>
        <v>-0.91292919632266856</v>
      </c>
      <c r="AA54" s="3">
        <f t="shared" si="12"/>
        <v>-0.83342314684893237</v>
      </c>
      <c r="AB54" s="3">
        <f t="shared" si="13"/>
        <v>-0.56894687609736827</v>
      </c>
    </row>
    <row r="55" spans="1:28" x14ac:dyDescent="0.25">
      <c r="A55" s="3">
        <v>1.2376625032188301E+18</v>
      </c>
      <c r="B55" s="3">
        <v>236.23173</v>
      </c>
      <c r="C55" s="3">
        <v>36.092804000000001</v>
      </c>
      <c r="D55" s="16">
        <v>6.5570669999999998E-2</v>
      </c>
      <c r="E55" s="3">
        <v>1.882950000000001</v>
      </c>
      <c r="F55" s="3">
        <v>2.75929</v>
      </c>
      <c r="G55" s="3">
        <v>3.2014600000000009</v>
      </c>
      <c r="H55" s="3">
        <v>3.5233600000000003</v>
      </c>
      <c r="I55" s="3">
        <v>0.87633999999999901</v>
      </c>
      <c r="J55" s="3">
        <v>1.3185099999999998</v>
      </c>
      <c r="K55" s="3">
        <v>1.6404099999999993</v>
      </c>
      <c r="L55" s="3">
        <v>0.44217000000000084</v>
      </c>
      <c r="M55" s="3">
        <v>0.76407000000000025</v>
      </c>
      <c r="N55" s="3">
        <v>0.32189999999999941</v>
      </c>
      <c r="P55" s="3">
        <f t="shared" si="1"/>
        <v>-0.10656427954959953</v>
      </c>
      <c r="Q55" s="3">
        <f t="shared" si="2"/>
        <v>1.8896069543865825E-2</v>
      </c>
      <c r="R55" s="3">
        <f t="shared" si="3"/>
        <v>-1.089594154888331</v>
      </c>
      <c r="S55" s="3">
        <f t="shared" si="4"/>
        <v>7.6180469452817173E-2</v>
      </c>
      <c r="T55" s="3">
        <f t="shared" si="5"/>
        <v>-0.33835963456212159</v>
      </c>
      <c r="U55" s="3">
        <f t="shared" si="6"/>
        <v>-0.52531926777413984</v>
      </c>
      <c r="V55" s="3">
        <f t="shared" si="7"/>
        <v>-0.56669946039470598</v>
      </c>
      <c r="W55" s="3">
        <f t="shared" si="8"/>
        <v>-0.90059493905451249</v>
      </c>
      <c r="X55" s="3">
        <f t="shared" si="9"/>
        <v>-0.92770204090738306</v>
      </c>
      <c r="Y55" s="3">
        <f t="shared" si="10"/>
        <v>-0.88789849005803057</v>
      </c>
      <c r="Z55" s="3">
        <f t="shared" si="11"/>
        <v>-0.80139568665180005</v>
      </c>
      <c r="AA55" s="3">
        <f t="shared" si="12"/>
        <v>-0.73400922337257057</v>
      </c>
      <c r="AB55" s="3">
        <f t="shared" si="13"/>
        <v>-0.50596416027216151</v>
      </c>
    </row>
    <row r="56" spans="1:28" x14ac:dyDescent="0.25">
      <c r="A56" s="3">
        <v>1.2376625032188301E+18</v>
      </c>
      <c r="B56" s="3">
        <v>236.15736000000001</v>
      </c>
      <c r="C56" s="3">
        <v>36.030281000000002</v>
      </c>
      <c r="D56" s="16">
        <v>6.5647179999999999E-2</v>
      </c>
      <c r="E56" s="3">
        <v>2.1199899999999978</v>
      </c>
      <c r="F56" s="3">
        <v>2.9894499999999979</v>
      </c>
      <c r="G56" s="3">
        <v>3.3914200000000001</v>
      </c>
      <c r="H56" s="3">
        <v>3.6735599999999984</v>
      </c>
      <c r="I56" s="3">
        <v>0.86946000000000012</v>
      </c>
      <c r="J56" s="3">
        <v>1.2714300000000023</v>
      </c>
      <c r="K56" s="3">
        <v>1.5535700000000006</v>
      </c>
      <c r="L56" s="3">
        <v>0.40197000000000216</v>
      </c>
      <c r="M56" s="3">
        <v>0.68411000000000044</v>
      </c>
      <c r="N56" s="3">
        <v>0.28213999999999828</v>
      </c>
      <c r="P56" s="3">
        <f t="shared" si="1"/>
        <v>-0.33538344161717826</v>
      </c>
      <c r="Q56" s="3">
        <f t="shared" si="2"/>
        <v>-0.20243899698951073</v>
      </c>
      <c r="R56" s="3">
        <f t="shared" si="3"/>
        <v>-1.0892944687667099</v>
      </c>
      <c r="S56" s="3">
        <f t="shared" si="4"/>
        <v>0.30951258404349169</v>
      </c>
      <c r="T56" s="3">
        <f t="shared" si="5"/>
        <v>-0.13362776754029904</v>
      </c>
      <c r="U56" s="3">
        <f t="shared" si="6"/>
        <v>-0.37153583446348354</v>
      </c>
      <c r="V56" s="3">
        <f t="shared" si="7"/>
        <v>-0.45173653495350596</v>
      </c>
      <c r="W56" s="3">
        <f t="shared" si="8"/>
        <v>-0.91413015623106131</v>
      </c>
      <c r="X56" s="3">
        <f t="shared" si="9"/>
        <v>-0.98783823110908886</v>
      </c>
      <c r="Y56" s="3">
        <f t="shared" si="10"/>
        <v>-0.98218338485490297</v>
      </c>
      <c r="Z56" s="3">
        <f t="shared" si="11"/>
        <v>-0.92137553917437554</v>
      </c>
      <c r="AA56" s="3">
        <f t="shared" si="12"/>
        <v>-0.89703500928663782</v>
      </c>
      <c r="AB56" s="3">
        <f t="shared" si="13"/>
        <v>-0.72582305238898159</v>
      </c>
    </row>
    <row r="57" spans="1:28" x14ac:dyDescent="0.25">
      <c r="A57" s="3">
        <v>1.2376625032188301E+18</v>
      </c>
      <c r="B57" s="3">
        <v>236.26403999999999</v>
      </c>
      <c r="C57" s="3">
        <v>36.182251999999998</v>
      </c>
      <c r="D57" s="16">
        <v>6.5654039999999997E-2</v>
      </c>
      <c r="E57" s="3">
        <v>1.9060499999999969</v>
      </c>
      <c r="F57" s="3">
        <v>2.839109999999998</v>
      </c>
      <c r="G57" s="3">
        <v>3.2886299999999977</v>
      </c>
      <c r="H57" s="3">
        <v>3.6416599999999981</v>
      </c>
      <c r="I57" s="3">
        <v>0.93306000000000111</v>
      </c>
      <c r="J57" s="3">
        <v>1.3825800000000008</v>
      </c>
      <c r="K57" s="3">
        <v>1.7356100000000012</v>
      </c>
      <c r="L57" s="3">
        <v>0.4495199999999997</v>
      </c>
      <c r="M57" s="3">
        <v>0.8025500000000001</v>
      </c>
      <c r="N57" s="3">
        <v>0.3530300000000004</v>
      </c>
      <c r="P57" s="3">
        <f t="shared" si="1"/>
        <v>-7.1539376590032322E-3</v>
      </c>
      <c r="Q57" s="3">
        <f t="shared" si="2"/>
        <v>0.33554720642592933</v>
      </c>
      <c r="R57" s="3">
        <f t="shared" si="3"/>
        <v>-1.089267598464863</v>
      </c>
      <c r="S57" s="3">
        <f t="shared" si="4"/>
        <v>9.8919128949289073E-2</v>
      </c>
      <c r="T57" s="3">
        <f t="shared" si="5"/>
        <v>-0.26735816764483966</v>
      </c>
      <c r="U57" s="3">
        <f t="shared" si="6"/>
        <v>-0.45475019069638939</v>
      </c>
      <c r="V57" s="3">
        <f t="shared" si="7"/>
        <v>-0.4761527621277693</v>
      </c>
      <c r="W57" s="3">
        <f t="shared" si="8"/>
        <v>-0.78900809047108167</v>
      </c>
      <c r="X57" s="3">
        <f t="shared" si="9"/>
        <v>-0.84586419668003499</v>
      </c>
      <c r="Y57" s="3">
        <f t="shared" si="10"/>
        <v>-0.78453688268052513</v>
      </c>
      <c r="Z57" s="3">
        <f t="shared" si="11"/>
        <v>-0.77945907182491392</v>
      </c>
      <c r="AA57" s="3">
        <f t="shared" si="12"/>
        <v>-0.65555459303273445</v>
      </c>
      <c r="AB57" s="3">
        <f t="shared" si="13"/>
        <v>-0.33382614941711536</v>
      </c>
    </row>
    <row r="58" spans="1:28" x14ac:dyDescent="0.25">
      <c r="A58" s="3">
        <v>1.2376625032189E+18</v>
      </c>
      <c r="B58" s="3">
        <v>236.21476999999999</v>
      </c>
      <c r="C58" s="3">
        <v>36.019869999999997</v>
      </c>
      <c r="D58" s="16">
        <v>6.5661650000000002E-2</v>
      </c>
      <c r="E58" s="3">
        <v>1.6394300000000008</v>
      </c>
      <c r="F58" s="3">
        <v>2.4712800000000001</v>
      </c>
      <c r="G58" s="3">
        <v>2.8665699999999994</v>
      </c>
      <c r="H58" s="3">
        <v>3.1563500000000015</v>
      </c>
      <c r="I58" s="3">
        <v>0.83184999999999931</v>
      </c>
      <c r="J58" s="3">
        <v>1.2271399999999986</v>
      </c>
      <c r="K58" s="3">
        <v>1.5169200000000007</v>
      </c>
      <c r="L58" s="3">
        <v>0.39528999999999925</v>
      </c>
      <c r="M58" s="3">
        <v>0.6850700000000014</v>
      </c>
      <c r="N58" s="3">
        <v>0.28978000000000215</v>
      </c>
      <c r="P58" s="3">
        <f t="shared" si="1"/>
        <v>-0.15874624793294556</v>
      </c>
      <c r="Q58" s="3">
        <f t="shared" si="2"/>
        <v>-0.23929454419102214</v>
      </c>
      <c r="R58" s="3">
        <f t="shared" si="3"/>
        <v>-1.0892377904477992</v>
      </c>
      <c r="S58" s="3">
        <f t="shared" si="4"/>
        <v>-0.16353028208752146</v>
      </c>
      <c r="T58" s="3">
        <f t="shared" si="5"/>
        <v>-0.59455021946373621</v>
      </c>
      <c r="U58" s="3">
        <f t="shared" si="6"/>
        <v>-0.79643178610118837</v>
      </c>
      <c r="V58" s="3">
        <f t="shared" si="7"/>
        <v>-0.8476085367340882</v>
      </c>
      <c r="W58" s="3">
        <f t="shared" si="8"/>
        <v>-0.98812136524415672</v>
      </c>
      <c r="X58" s="3">
        <f t="shared" si="9"/>
        <v>-1.0444107006085348</v>
      </c>
      <c r="Y58" s="3">
        <f t="shared" si="10"/>
        <v>-1.0219754322329018</v>
      </c>
      <c r="Z58" s="3">
        <f t="shared" si="11"/>
        <v>-0.9413124897925641</v>
      </c>
      <c r="AA58" s="3">
        <f t="shared" si="12"/>
        <v>-0.89507772121162954</v>
      </c>
      <c r="AB58" s="3">
        <f t="shared" si="13"/>
        <v>-0.68357652482929077</v>
      </c>
    </row>
    <row r="59" spans="1:28" x14ac:dyDescent="0.25">
      <c r="A59" s="3">
        <v>1.2376624731539999E+18</v>
      </c>
      <c r="B59" s="3">
        <v>235.99902</v>
      </c>
      <c r="C59" s="3">
        <v>36.086818000000001</v>
      </c>
      <c r="D59" s="16">
        <v>6.5674079999999996E-2</v>
      </c>
      <c r="E59" s="3">
        <v>1.7484500000000018</v>
      </c>
      <c r="F59" s="3">
        <v>2.6404100000000028</v>
      </c>
      <c r="G59" s="3">
        <v>3.0121099999999998</v>
      </c>
      <c r="H59" s="3">
        <v>3.3375500000000002</v>
      </c>
      <c r="I59" s="3">
        <v>0.89196000000000097</v>
      </c>
      <c r="J59" s="3">
        <v>1.263659999999998</v>
      </c>
      <c r="K59" s="3">
        <v>1.5890999999999984</v>
      </c>
      <c r="L59" s="3">
        <v>0.37169999999999703</v>
      </c>
      <c r="M59" s="3">
        <v>0.69713999999999743</v>
      </c>
      <c r="N59" s="3">
        <v>0.3254400000000004</v>
      </c>
      <c r="P59" s="3">
        <f t="shared" si="1"/>
        <v>-0.82255872898827775</v>
      </c>
      <c r="Q59" s="3">
        <f t="shared" si="2"/>
        <v>-2.2947195780385664E-3</v>
      </c>
      <c r="R59" s="3">
        <f t="shared" si="3"/>
        <v>-1.0891891027142775</v>
      </c>
      <c r="S59" s="3">
        <f t="shared" si="4"/>
        <v>-5.6215621554801608E-2</v>
      </c>
      <c r="T59" s="3">
        <f t="shared" si="5"/>
        <v>-0.44410574314551537</v>
      </c>
      <c r="U59" s="3">
        <f t="shared" si="6"/>
        <v>-0.67860887136106895</v>
      </c>
      <c r="V59" s="3">
        <f t="shared" si="7"/>
        <v>-0.70891824319250663</v>
      </c>
      <c r="W59" s="3">
        <f t="shared" si="8"/>
        <v>-0.86986527447635054</v>
      </c>
      <c r="X59" s="3">
        <f t="shared" si="9"/>
        <v>-0.99776300166702292</v>
      </c>
      <c r="Y59" s="3">
        <f t="shared" si="10"/>
        <v>-0.94360735638722992</v>
      </c>
      <c r="Z59" s="3">
        <f t="shared" si="11"/>
        <v>-1.0117185773798256</v>
      </c>
      <c r="AA59" s="3">
        <f t="shared" si="12"/>
        <v>-0.87046890135192279</v>
      </c>
      <c r="AB59" s="3">
        <f t="shared" si="13"/>
        <v>-0.48638919854948198</v>
      </c>
    </row>
    <row r="60" spans="1:28" x14ac:dyDescent="0.25">
      <c r="A60" s="3">
        <v>1.2376625032188301E+18</v>
      </c>
      <c r="B60" s="3">
        <v>236.27367000000001</v>
      </c>
      <c r="C60" s="3">
        <v>36.115484000000002</v>
      </c>
      <c r="D60" s="16">
        <v>6.5750260000000005E-2</v>
      </c>
      <c r="E60" s="3">
        <v>1.8521899999999967</v>
      </c>
      <c r="F60" s="3">
        <v>2.7235799999999983</v>
      </c>
      <c r="G60" s="3">
        <v>3.1620699999999999</v>
      </c>
      <c r="H60" s="3">
        <v>3.4625199999999978</v>
      </c>
      <c r="I60" s="3">
        <v>0.87139000000000166</v>
      </c>
      <c r="J60" s="3">
        <v>1.3098800000000033</v>
      </c>
      <c r="K60" s="3">
        <v>1.6103300000000011</v>
      </c>
      <c r="L60" s="3">
        <v>0.4384900000000016</v>
      </c>
      <c r="M60" s="3">
        <v>0.73893999999999949</v>
      </c>
      <c r="N60" s="3">
        <v>0.30044999999999789</v>
      </c>
      <c r="P60" s="3">
        <f t="shared" si="1"/>
        <v>2.2475328586992641E-2</v>
      </c>
      <c r="Q60" s="3">
        <f t="shared" si="2"/>
        <v>9.9184592311124781E-2</v>
      </c>
      <c r="R60" s="3">
        <f t="shared" si="3"/>
        <v>-1.0888907091873514</v>
      </c>
      <c r="S60" s="3">
        <f t="shared" si="4"/>
        <v>4.5901631093003395E-2</v>
      </c>
      <c r="T60" s="3">
        <f t="shared" si="5"/>
        <v>-0.37012438504591416</v>
      </c>
      <c r="U60" s="3">
        <f t="shared" si="6"/>
        <v>-0.55720771501622723</v>
      </c>
      <c r="V60" s="3">
        <f t="shared" si="7"/>
        <v>-0.61326633378913331</v>
      </c>
      <c r="W60" s="3">
        <f t="shared" si="8"/>
        <v>-0.91033321304054327</v>
      </c>
      <c r="X60" s="3">
        <f t="shared" si="9"/>
        <v>-0.93872530601869453</v>
      </c>
      <c r="Y60" s="3">
        <f t="shared" si="10"/>
        <v>-0.92055728364957579</v>
      </c>
      <c r="Z60" s="3">
        <f t="shared" si="11"/>
        <v>-0.81237891693247166</v>
      </c>
      <c r="AA60" s="3">
        <f t="shared" si="12"/>
        <v>-0.78524531641935202</v>
      </c>
      <c r="AB60" s="3">
        <f t="shared" si="13"/>
        <v>-0.62457515715108491</v>
      </c>
    </row>
    <row r="61" spans="1:28" x14ac:dyDescent="0.25">
      <c r="A61" s="3">
        <v>1.2376625032188301E+18</v>
      </c>
      <c r="B61" s="3">
        <v>236.05607000000001</v>
      </c>
      <c r="C61" s="3">
        <v>36.111181999999999</v>
      </c>
      <c r="D61" s="16">
        <v>6.5796610000000005E-2</v>
      </c>
      <c r="E61" s="3">
        <v>1.8721599999999974</v>
      </c>
      <c r="F61" s="3">
        <v>2.7383299999999977</v>
      </c>
      <c r="G61" s="3">
        <v>3.1506199999999982</v>
      </c>
      <c r="H61" s="3">
        <v>3.4721099999999989</v>
      </c>
      <c r="I61" s="3">
        <v>0.86617000000000033</v>
      </c>
      <c r="J61" s="3">
        <v>1.2784600000000008</v>
      </c>
      <c r="K61" s="3">
        <v>1.5999500000000015</v>
      </c>
      <c r="L61" s="3">
        <v>0.41229000000000049</v>
      </c>
      <c r="M61" s="3">
        <v>0.73378000000000121</v>
      </c>
      <c r="N61" s="3">
        <v>0.32149000000000072</v>
      </c>
      <c r="P61" s="3">
        <f t="shared" si="1"/>
        <v>-0.64702917142530325</v>
      </c>
      <c r="Q61" s="3">
        <f t="shared" si="2"/>
        <v>8.3955261405262938E-2</v>
      </c>
      <c r="R61" s="3">
        <f t="shared" si="3"/>
        <v>-1.0887091583869706</v>
      </c>
      <c r="S61" s="3">
        <f t="shared" si="4"/>
        <v>6.5559251445585234E-2</v>
      </c>
      <c r="T61" s="3">
        <f t="shared" si="5"/>
        <v>-0.35700396864614103</v>
      </c>
      <c r="U61" s="3">
        <f t="shared" si="6"/>
        <v>-0.56647714179769337</v>
      </c>
      <c r="V61" s="3">
        <f t="shared" si="7"/>
        <v>-0.60592615765743385</v>
      </c>
      <c r="W61" s="3">
        <f t="shared" si="8"/>
        <v>-0.92060266560763837</v>
      </c>
      <c r="X61" s="3">
        <f t="shared" si="9"/>
        <v>-0.97885867679477445</v>
      </c>
      <c r="Y61" s="3">
        <f t="shared" si="10"/>
        <v>-0.93182717319346697</v>
      </c>
      <c r="Z61" s="3">
        <f t="shared" si="11"/>
        <v>-0.89057474121336011</v>
      </c>
      <c r="AA61" s="3">
        <f t="shared" si="12"/>
        <v>-0.79576573982250742</v>
      </c>
      <c r="AB61" s="3">
        <f t="shared" si="13"/>
        <v>-0.50823131685585377</v>
      </c>
    </row>
    <row r="62" spans="1:28" x14ac:dyDescent="0.25">
      <c r="A62" s="3">
        <v>1.2376625032189E+18</v>
      </c>
      <c r="B62" s="3">
        <v>236.24889999999999</v>
      </c>
      <c r="C62" s="3">
        <v>35.988132999999998</v>
      </c>
      <c r="D62" s="16">
        <v>6.5869510000000006E-2</v>
      </c>
      <c r="E62" s="3">
        <v>1.8909200000000013</v>
      </c>
      <c r="F62" s="3">
        <v>2.7892299999999999</v>
      </c>
      <c r="G62" s="3">
        <v>3.2072099999999999</v>
      </c>
      <c r="H62" s="3">
        <v>3.5671299999999988</v>
      </c>
      <c r="I62" s="3">
        <v>0.89830999999999861</v>
      </c>
      <c r="J62" s="3">
        <v>1.3162899999999986</v>
      </c>
      <c r="K62" s="3">
        <v>1.6762099999999975</v>
      </c>
      <c r="L62" s="3">
        <v>0.41798000000000002</v>
      </c>
      <c r="M62" s="3">
        <v>0.77789999999999893</v>
      </c>
      <c r="N62" s="3">
        <v>0.35991999999999891</v>
      </c>
      <c r="P62" s="3">
        <f t="shared" si="1"/>
        <v>-5.373619009552686E-2</v>
      </c>
      <c r="Q62" s="3">
        <f t="shared" si="2"/>
        <v>-0.35164537519033179</v>
      </c>
      <c r="R62" s="3">
        <f t="shared" si="3"/>
        <v>-1.0884236124679247</v>
      </c>
      <c r="S62" s="3">
        <f t="shared" si="4"/>
        <v>8.4025799157878597E-2</v>
      </c>
      <c r="T62" s="3">
        <f t="shared" si="5"/>
        <v>-0.31172741306997093</v>
      </c>
      <c r="U62" s="3">
        <f t="shared" si="6"/>
        <v>-0.52066431546030467</v>
      </c>
      <c r="V62" s="3">
        <f t="shared" si="7"/>
        <v>-0.53319794743491089</v>
      </c>
      <c r="W62" s="3">
        <f t="shared" si="8"/>
        <v>-0.85737274118113738</v>
      </c>
      <c r="X62" s="3">
        <f t="shared" si="9"/>
        <v>-0.93053768963822137</v>
      </c>
      <c r="Y62" s="3">
        <f t="shared" si="10"/>
        <v>-0.84902931417447547</v>
      </c>
      <c r="Z62" s="3">
        <f t="shared" si="11"/>
        <v>-0.8735925183065586</v>
      </c>
      <c r="AA62" s="3">
        <f t="shared" si="12"/>
        <v>-0.70581204204201353</v>
      </c>
      <c r="AB62" s="3">
        <f t="shared" si="13"/>
        <v>-0.29572685951056304</v>
      </c>
    </row>
    <row r="63" spans="1:28" x14ac:dyDescent="0.25">
      <c r="A63" s="3">
        <v>1.2376625032189701E+18</v>
      </c>
      <c r="B63" s="3">
        <v>236.45294999999999</v>
      </c>
      <c r="C63" s="3">
        <v>35.954416000000002</v>
      </c>
      <c r="D63" s="16">
        <v>6.5956790000000001E-2</v>
      </c>
      <c r="E63" s="3">
        <v>1.9209500000000013</v>
      </c>
      <c r="F63" s="3">
        <v>2.8317699999999988</v>
      </c>
      <c r="G63" s="3">
        <v>3.2589800000000011</v>
      </c>
      <c r="H63" s="3">
        <v>3.6038700000000006</v>
      </c>
      <c r="I63" s="3">
        <v>0.91081999999999752</v>
      </c>
      <c r="J63" s="3">
        <v>1.3380299999999998</v>
      </c>
      <c r="K63" s="3">
        <v>1.6829199999999993</v>
      </c>
      <c r="L63" s="3">
        <v>0.42721000000000231</v>
      </c>
      <c r="M63" s="3">
        <v>0.77210000000000178</v>
      </c>
      <c r="N63" s="3">
        <v>0.34488999999999947</v>
      </c>
      <c r="P63" s="3">
        <f t="shared" si="1"/>
        <v>0.57407811701615952</v>
      </c>
      <c r="Q63" s="3">
        <f t="shared" si="2"/>
        <v>-0.47100552166930865</v>
      </c>
      <c r="R63" s="3">
        <f t="shared" si="3"/>
        <v>-1.0880817407557946</v>
      </c>
      <c r="S63" s="3">
        <f t="shared" si="4"/>
        <v>0.11358605650329731</v>
      </c>
      <c r="T63" s="3">
        <f t="shared" si="5"/>
        <v>-0.27388724265326869</v>
      </c>
      <c r="U63" s="3">
        <f t="shared" si="6"/>
        <v>-0.47875355349729726</v>
      </c>
      <c r="V63" s="3">
        <f t="shared" si="7"/>
        <v>-0.50507718924110301</v>
      </c>
      <c r="W63" s="3">
        <f t="shared" si="8"/>
        <v>-0.83276146692552122</v>
      </c>
      <c r="X63" s="3">
        <f t="shared" si="9"/>
        <v>-0.90276876918398985</v>
      </c>
      <c r="Y63" s="3">
        <f t="shared" si="10"/>
        <v>-0.84174405802423147</v>
      </c>
      <c r="Z63" s="3">
        <f t="shared" si="11"/>
        <v>-0.84604490540149191</v>
      </c>
      <c r="AA63" s="3">
        <f t="shared" si="12"/>
        <v>-0.71763732416183756</v>
      </c>
      <c r="AB63" s="3">
        <f t="shared" si="13"/>
        <v>-0.37883750207886258</v>
      </c>
    </row>
    <row r="64" spans="1:28" x14ac:dyDescent="0.25">
      <c r="A64" s="3">
        <v>1.2376625032187E+18</v>
      </c>
      <c r="B64" s="3">
        <v>235.78942000000001</v>
      </c>
      <c r="C64" s="3">
        <v>36.296126999999998</v>
      </c>
      <c r="D64" s="16">
        <v>6.6005069999999999E-2</v>
      </c>
      <c r="E64" s="3">
        <v>1.7686500000000009</v>
      </c>
      <c r="F64" s="3">
        <v>2.56616</v>
      </c>
      <c r="G64" s="3">
        <v>2.9246000000000016</v>
      </c>
      <c r="H64" s="3">
        <v>3.1822499999999998</v>
      </c>
      <c r="I64" s="3">
        <v>0.79750999999999905</v>
      </c>
      <c r="J64" s="3">
        <v>1.1559500000000007</v>
      </c>
      <c r="K64" s="3">
        <v>1.4135999999999989</v>
      </c>
      <c r="L64" s="3">
        <v>0.35844000000000165</v>
      </c>
      <c r="M64" s="3">
        <v>0.6160899999999998</v>
      </c>
      <c r="N64" s="3">
        <v>0.25764999999999816</v>
      </c>
      <c r="P64" s="3">
        <f t="shared" si="1"/>
        <v>-1.4674490929706803</v>
      </c>
      <c r="Q64" s="3">
        <f t="shared" si="2"/>
        <v>0.73867134796566336</v>
      </c>
      <c r="R64" s="3">
        <f t="shared" si="3"/>
        <v>-1.0878926302349232</v>
      </c>
      <c r="S64" s="3">
        <f t="shared" si="4"/>
        <v>-3.6331598964810551E-2</v>
      </c>
      <c r="T64" s="3">
        <f t="shared" si="5"/>
        <v>-0.51015258502234473</v>
      </c>
      <c r="U64" s="3">
        <f t="shared" si="6"/>
        <v>-0.74945319779302999</v>
      </c>
      <c r="V64" s="3">
        <f t="shared" si="7"/>
        <v>-0.82778470338570664</v>
      </c>
      <c r="W64" s="3">
        <f t="shared" si="8"/>
        <v>-1.0556794114422332</v>
      </c>
      <c r="X64" s="3">
        <f t="shared" si="9"/>
        <v>-1.1353430578825263</v>
      </c>
      <c r="Y64" s="3">
        <f t="shared" si="10"/>
        <v>-1.1341531767102528</v>
      </c>
      <c r="Z64" s="3">
        <f t="shared" si="11"/>
        <v>-1.0512940212715882</v>
      </c>
      <c r="AA64" s="3">
        <f t="shared" si="12"/>
        <v>-1.0357170247678156</v>
      </c>
      <c r="AB64" s="3">
        <f t="shared" si="13"/>
        <v>-0.86124418588849871</v>
      </c>
    </row>
    <row r="65" spans="1:28" x14ac:dyDescent="0.25">
      <c r="A65" s="3">
        <v>1.2376625032189701E+18</v>
      </c>
      <c r="B65" s="3">
        <v>236.43817000000001</v>
      </c>
      <c r="C65" s="3">
        <v>35.865676000000001</v>
      </c>
      <c r="D65" s="16">
        <v>6.6037529999999997E-2</v>
      </c>
      <c r="E65" s="3">
        <v>1.9364699999999999</v>
      </c>
      <c r="F65" s="3">
        <v>2.8178699999999992</v>
      </c>
      <c r="G65" s="3">
        <v>3.2472699999999985</v>
      </c>
      <c r="H65" s="3">
        <v>3.5849499999999992</v>
      </c>
      <c r="I65" s="3">
        <v>0.8813999999999993</v>
      </c>
      <c r="J65" s="3">
        <v>1.3107999999999986</v>
      </c>
      <c r="K65" s="3">
        <v>1.6484799999999993</v>
      </c>
      <c r="L65" s="3">
        <v>0.42939999999999934</v>
      </c>
      <c r="M65" s="3">
        <v>0.76707999999999998</v>
      </c>
      <c r="N65" s="3">
        <v>0.33768000000000065</v>
      </c>
      <c r="P65" s="3">
        <f t="shared" si="1"/>
        <v>0.52860350070106898</v>
      </c>
      <c r="Q65" s="3">
        <f t="shared" si="2"/>
        <v>-0.78515029725865215</v>
      </c>
      <c r="R65" s="3">
        <f t="shared" si="3"/>
        <v>-1.087765485920352</v>
      </c>
      <c r="S65" s="3">
        <f t="shared" si="4"/>
        <v>0.12886328574075512</v>
      </c>
      <c r="T65" s="3">
        <f t="shared" si="5"/>
        <v>-0.28625156726051271</v>
      </c>
      <c r="U65" s="3">
        <f t="shared" si="6"/>
        <v>-0.48823346507904175</v>
      </c>
      <c r="V65" s="3">
        <f t="shared" si="7"/>
        <v>-0.51955853777204641</v>
      </c>
      <c r="W65" s="3">
        <f t="shared" si="8"/>
        <v>-0.8906402589798974</v>
      </c>
      <c r="X65" s="3">
        <f t="shared" si="9"/>
        <v>-0.93755017231042581</v>
      </c>
      <c r="Y65" s="3">
        <f t="shared" si="10"/>
        <v>-0.8791366395166812</v>
      </c>
      <c r="Z65" s="3">
        <f t="shared" si="11"/>
        <v>-0.83950868955512137</v>
      </c>
      <c r="AA65" s="3">
        <f t="shared" si="12"/>
        <v>-0.72787230972072847</v>
      </c>
      <c r="AB65" s="3">
        <f t="shared" si="13"/>
        <v>-0.41870628005074312</v>
      </c>
    </row>
    <row r="66" spans="1:28" x14ac:dyDescent="0.25">
      <c r="A66" s="3">
        <v>1.2376624736909299E+18</v>
      </c>
      <c r="B66" s="3">
        <v>236.33320000000001</v>
      </c>
      <c r="C66" s="3">
        <v>36.342984999999999</v>
      </c>
      <c r="D66" s="16">
        <v>6.6088040000000001E-2</v>
      </c>
      <c r="E66" s="3">
        <v>1.9434199999999997</v>
      </c>
      <c r="F66" s="3">
        <v>2.8417899999999996</v>
      </c>
      <c r="G66" s="3">
        <v>3.2593700000000005</v>
      </c>
      <c r="H66" s="3">
        <v>3.6097599999999979</v>
      </c>
      <c r="I66" s="3">
        <v>0.89836999999999989</v>
      </c>
      <c r="J66" s="3">
        <v>1.3159500000000008</v>
      </c>
      <c r="K66" s="3">
        <v>1.6663399999999982</v>
      </c>
      <c r="L66" s="3">
        <v>0.41758000000000095</v>
      </c>
      <c r="M66" s="3">
        <v>0.76796999999999827</v>
      </c>
      <c r="N66" s="3">
        <v>0.35038999999999731</v>
      </c>
      <c r="P66" s="3">
        <f t="shared" si="1"/>
        <v>0.20563526831919826</v>
      </c>
      <c r="Q66" s="3">
        <f t="shared" si="2"/>
        <v>0.90455140086813479</v>
      </c>
      <c r="R66" s="3">
        <f t="shared" si="3"/>
        <v>-1.0875676405929036</v>
      </c>
      <c r="S66" s="3">
        <f t="shared" si="4"/>
        <v>0.13570457074077691</v>
      </c>
      <c r="T66" s="3">
        <f t="shared" si="5"/>
        <v>-0.26497425469898106</v>
      </c>
      <c r="U66" s="3">
        <f t="shared" si="6"/>
        <v>-0.47843782629688103</v>
      </c>
      <c r="V66" s="3">
        <f t="shared" si="7"/>
        <v>-0.50056898930203264</v>
      </c>
      <c r="W66" s="3">
        <f t="shared" si="8"/>
        <v>-0.85725470149645555</v>
      </c>
      <c r="X66" s="3">
        <f t="shared" si="9"/>
        <v>-0.93097197818258093</v>
      </c>
      <c r="Y66" s="3">
        <f t="shared" si="10"/>
        <v>-0.85974548082170132</v>
      </c>
      <c r="Z66" s="3">
        <f t="shared" si="11"/>
        <v>-0.87478634768488994</v>
      </c>
      <c r="AA66" s="3">
        <f t="shared" si="12"/>
        <v>-0.72605774056786154</v>
      </c>
      <c r="AB66" s="3">
        <f t="shared" si="13"/>
        <v>-0.34842442595607581</v>
      </c>
    </row>
    <row r="67" spans="1:28" x14ac:dyDescent="0.25">
      <c r="A67" s="3">
        <v>1.2376625037557701E+18</v>
      </c>
      <c r="B67" s="3">
        <v>236.55311</v>
      </c>
      <c r="C67" s="3">
        <v>36.306319999999999</v>
      </c>
      <c r="D67" s="16">
        <v>6.6127720000000001E-2</v>
      </c>
      <c r="E67" s="3">
        <v>1.6878100000000025</v>
      </c>
      <c r="F67" s="3">
        <v>2.5025500000000029</v>
      </c>
      <c r="G67" s="3">
        <v>2.8564700000000016</v>
      </c>
      <c r="H67" s="3">
        <v>3.0897100000000002</v>
      </c>
      <c r="I67" s="3">
        <v>0.81474000000000046</v>
      </c>
      <c r="J67" s="3">
        <v>1.1686599999999991</v>
      </c>
      <c r="K67" s="3">
        <v>1.4018999999999977</v>
      </c>
      <c r="L67" s="3">
        <v>0.35391999999999868</v>
      </c>
      <c r="M67" s="3">
        <v>0.58715999999999724</v>
      </c>
      <c r="N67" s="3">
        <v>0.23323999999999856</v>
      </c>
      <c r="P67" s="3">
        <f t="shared" ref="P67:P130" si="14">(B67-B$476)/B$477</f>
        <v>0.88224710011009955</v>
      </c>
      <c r="Q67" s="3">
        <f t="shared" ref="Q67:Q130" si="15">(C67-C$476)/C$477</f>
        <v>0.77475516245273168</v>
      </c>
      <c r="R67" s="3">
        <f t="shared" ref="R67:R130" si="16">(D67-D$476)/D$477</f>
        <v>-1.0874122158731816</v>
      </c>
      <c r="S67" s="3">
        <f t="shared" ref="S67:S130" si="17">(E67-E$476)/E$477</f>
        <v>-0.11590706362693519</v>
      </c>
      <c r="T67" s="3">
        <f t="shared" ref="T67:T130" si="18">(F67-F$476)/F$477</f>
        <v>-0.56673493669621355</v>
      </c>
      <c r="U67" s="3">
        <f t="shared" ref="U67:U130" si="19">(G67-G$476)/G$477</f>
        <v>-0.80460831103505503</v>
      </c>
      <c r="V67" s="3">
        <f t="shared" ref="V67:V130" si="20">(H67-H$476)/H$477</f>
        <v>-0.89861472416019894</v>
      </c>
      <c r="W67" s="3">
        <f t="shared" ref="W67:W130" si="21">(I67-I$476)/I$477</f>
        <v>-1.0217823486585131</v>
      </c>
      <c r="X67" s="3">
        <f t="shared" ref="X67:X130" si="22">(J67-J$476)/J$477</f>
        <v>-1.119108330238864</v>
      </c>
      <c r="Y67" s="3">
        <f t="shared" ref="Y67:Y130" si="23">(K67-K$476)/K$477</f>
        <v>-1.1468562313984558</v>
      </c>
      <c r="Z67" s="3">
        <f t="shared" ref="Z67:Z130" si="24">(L67-L$476)/L$477</f>
        <v>-1.0647842932467726</v>
      </c>
      <c r="AA67" s="3">
        <f t="shared" ref="AA67:AA130" si="25">(M67-M$476)/M$477</f>
        <v>-1.0947007164448341</v>
      </c>
      <c r="AB67" s="3">
        <f t="shared" ref="AB67:AB130" si="26">(N67-N$476)/N$477</f>
        <v>-0.99622294737168127</v>
      </c>
    </row>
    <row r="68" spans="1:28" x14ac:dyDescent="0.25">
      <c r="A68" s="3">
        <v>1.2376625032188301E+18</v>
      </c>
      <c r="B68" s="3">
        <v>236.24598</v>
      </c>
      <c r="C68" s="3">
        <v>36.109456999999999</v>
      </c>
      <c r="D68" s="16">
        <v>6.6295129999999994E-2</v>
      </c>
      <c r="E68" s="3">
        <v>2.2125299999999992</v>
      </c>
      <c r="F68" s="3">
        <v>3.1335699999999989</v>
      </c>
      <c r="G68" s="3">
        <v>3.5693099999999998</v>
      </c>
      <c r="H68" s="3">
        <v>3.8889699999999987</v>
      </c>
      <c r="I68" s="3">
        <v>0.92103999999999964</v>
      </c>
      <c r="J68" s="3">
        <v>1.3567800000000005</v>
      </c>
      <c r="K68" s="3">
        <v>1.6764399999999995</v>
      </c>
      <c r="L68" s="3">
        <v>0.4357400000000009</v>
      </c>
      <c r="M68" s="3">
        <v>0.75539999999999985</v>
      </c>
      <c r="N68" s="3">
        <v>0.31965999999999894</v>
      </c>
      <c r="P68" s="3">
        <f t="shared" si="14"/>
        <v>-6.2720349746392914E-2</v>
      </c>
      <c r="Q68" s="3">
        <f t="shared" si="15"/>
        <v>7.7848660797963612E-2</v>
      </c>
      <c r="R68" s="3">
        <f t="shared" si="16"/>
        <v>-1.0867564786673185</v>
      </c>
      <c r="S68" s="3">
        <f t="shared" si="17"/>
        <v>0.4006050320869512</v>
      </c>
      <c r="T68" s="3">
        <f t="shared" si="18"/>
        <v>-5.4301803175603944E-3</v>
      </c>
      <c r="U68" s="3">
        <f t="shared" si="19"/>
        <v>-0.22752375322726162</v>
      </c>
      <c r="V68" s="3">
        <f t="shared" si="20"/>
        <v>-0.286861942614696</v>
      </c>
      <c r="W68" s="3">
        <f t="shared" si="21"/>
        <v>-0.81265537396848919</v>
      </c>
      <c r="X68" s="3">
        <f t="shared" si="22"/>
        <v>-0.87881903328165156</v>
      </c>
      <c r="Y68" s="3">
        <f t="shared" si="23"/>
        <v>-0.8487795960053891</v>
      </c>
      <c r="Z68" s="3">
        <f t="shared" si="24"/>
        <v>-0.8205864939085209</v>
      </c>
      <c r="AA68" s="3">
        <f t="shared" si="25"/>
        <v>-0.75168598129997222</v>
      </c>
      <c r="AB68" s="3">
        <f t="shared" si="26"/>
        <v>-0.5183505767294494</v>
      </c>
    </row>
    <row r="69" spans="1:28" x14ac:dyDescent="0.25">
      <c r="A69" s="3">
        <v>1.23766146598626E+18</v>
      </c>
      <c r="B69" s="3">
        <v>236.36339000000001</v>
      </c>
      <c r="C69" s="3">
        <v>35.81127</v>
      </c>
      <c r="D69" s="16">
        <v>6.6331390000000004E-2</v>
      </c>
      <c r="E69" s="3">
        <v>1.9531499999999973</v>
      </c>
      <c r="F69" s="3">
        <v>2.8321899999999971</v>
      </c>
      <c r="G69" s="3">
        <v>3.2434999999999974</v>
      </c>
      <c r="H69" s="3">
        <v>3.5411999999999999</v>
      </c>
      <c r="I69" s="3">
        <v>0.87903999999999982</v>
      </c>
      <c r="J69" s="3">
        <v>1.2903500000000001</v>
      </c>
      <c r="K69" s="3">
        <v>1.5880500000000026</v>
      </c>
      <c r="L69" s="3">
        <v>0.41131000000000029</v>
      </c>
      <c r="M69" s="3">
        <v>0.7090100000000028</v>
      </c>
      <c r="N69" s="3">
        <v>0.29770000000000252</v>
      </c>
      <c r="P69" s="3">
        <f t="shared" si="14"/>
        <v>0.2985228641619091</v>
      </c>
      <c r="Q69" s="3">
        <f t="shared" si="15"/>
        <v>-0.97775071038366468</v>
      </c>
      <c r="R69" s="3">
        <f t="shared" si="16"/>
        <v>-1.0866144499289838</v>
      </c>
      <c r="S69" s="3">
        <f t="shared" si="17"/>
        <v>0.14528236974080527</v>
      </c>
      <c r="T69" s="3">
        <f t="shared" si="18"/>
        <v>-0.27351364435578512</v>
      </c>
      <c r="U69" s="3">
        <f t="shared" si="19"/>
        <v>-0.49128549468307081</v>
      </c>
      <c r="V69" s="3">
        <f t="shared" si="20"/>
        <v>-0.55304474275242244</v>
      </c>
      <c r="W69" s="3">
        <f t="shared" si="21"/>
        <v>-0.89528315324394581</v>
      </c>
      <c r="X69" s="3">
        <f t="shared" si="22"/>
        <v>-0.96367135093457312</v>
      </c>
      <c r="Y69" s="3">
        <f t="shared" si="23"/>
        <v>-0.94474737411565368</v>
      </c>
      <c r="Z69" s="3">
        <f t="shared" si="24"/>
        <v>-0.89349962319027931</v>
      </c>
      <c r="AA69" s="3">
        <f t="shared" si="25"/>
        <v>-0.84626784984115666</v>
      </c>
      <c r="AB69" s="3">
        <f t="shared" si="26"/>
        <v>-0.63978169521245865</v>
      </c>
    </row>
    <row r="70" spans="1:28" x14ac:dyDescent="0.25">
      <c r="A70" s="3">
        <v>1.2376624736908001E+18</v>
      </c>
      <c r="B70" s="3">
        <v>236.01835</v>
      </c>
      <c r="C70" s="3">
        <v>36.347510999999997</v>
      </c>
      <c r="D70" s="16">
        <v>6.6398659999999998E-2</v>
      </c>
      <c r="E70" s="3">
        <v>1.869130000000002</v>
      </c>
      <c r="F70" s="3">
        <v>2.7234100000000012</v>
      </c>
      <c r="G70" s="3">
        <v>3.1403800000000004</v>
      </c>
      <c r="H70" s="3">
        <v>3.4681500000000014</v>
      </c>
      <c r="I70" s="3">
        <v>0.85427999999999926</v>
      </c>
      <c r="J70" s="3">
        <v>1.2712499999999984</v>
      </c>
      <c r="K70" s="3">
        <v>1.5990199999999994</v>
      </c>
      <c r="L70" s="3">
        <v>0.41696999999999917</v>
      </c>
      <c r="M70" s="3">
        <v>0.74474000000000018</v>
      </c>
      <c r="N70" s="3">
        <v>0.327770000000001</v>
      </c>
      <c r="P70" s="3">
        <f t="shared" si="14"/>
        <v>-0.76308482280613121</v>
      </c>
      <c r="Q70" s="3">
        <f t="shared" si="15"/>
        <v>0.92057370483834966</v>
      </c>
      <c r="R70" s="3">
        <f t="shared" si="16"/>
        <v>-1.0863509564588301</v>
      </c>
      <c r="S70" s="3">
        <f t="shared" si="17"/>
        <v>6.2576648057090942E-2</v>
      </c>
      <c r="T70" s="3">
        <f t="shared" si="18"/>
        <v>-0.37027560340441745</v>
      </c>
      <c r="U70" s="3">
        <f t="shared" si="19"/>
        <v>-0.57476700470094022</v>
      </c>
      <c r="V70" s="3">
        <f t="shared" si="20"/>
        <v>-0.60895713758251291</v>
      </c>
      <c r="W70" s="3">
        <f t="shared" si="21"/>
        <v>-0.94399419645490679</v>
      </c>
      <c r="X70" s="3">
        <f t="shared" si="22"/>
        <v>-0.98806814857375624</v>
      </c>
      <c r="Y70" s="3">
        <f t="shared" si="23"/>
        <v>-0.93283690318150581</v>
      </c>
      <c r="Z70" s="3">
        <f t="shared" si="24"/>
        <v>-0.87660693748685481</v>
      </c>
      <c r="AA70" s="3">
        <f t="shared" si="25"/>
        <v>-0.77342003429952078</v>
      </c>
      <c r="AB70" s="3">
        <f t="shared" si="26"/>
        <v>-0.47350511357382025</v>
      </c>
    </row>
    <row r="71" spans="1:28" x14ac:dyDescent="0.25">
      <c r="A71" s="3">
        <v>1.2376625032189E+18</v>
      </c>
      <c r="B71" s="3">
        <v>236.35445999999999</v>
      </c>
      <c r="C71" s="3">
        <v>36.020178999999999</v>
      </c>
      <c r="D71" s="16">
        <v>6.6449170000000002E-2</v>
      </c>
      <c r="E71" s="3">
        <v>2.0114400000000003</v>
      </c>
      <c r="F71" s="3">
        <v>2.9162999999999997</v>
      </c>
      <c r="G71" s="3">
        <v>3.3345599999999997</v>
      </c>
      <c r="H71" s="3">
        <v>3.6760200000000012</v>
      </c>
      <c r="I71" s="3">
        <v>0.90485999999999933</v>
      </c>
      <c r="J71" s="3">
        <v>1.3231199999999994</v>
      </c>
      <c r="K71" s="3">
        <v>1.6645800000000008</v>
      </c>
      <c r="L71" s="3">
        <v>0.41826000000000008</v>
      </c>
      <c r="M71" s="3">
        <v>0.75972000000000151</v>
      </c>
      <c r="N71" s="3">
        <v>0.34146000000000143</v>
      </c>
      <c r="P71" s="3">
        <f t="shared" si="14"/>
        <v>0.27104733481851034</v>
      </c>
      <c r="Q71" s="3">
        <f t="shared" si="15"/>
        <v>-0.238200666169188</v>
      </c>
      <c r="R71" s="3">
        <f t="shared" si="16"/>
        <v>-1.0861531111313816</v>
      </c>
      <c r="S71" s="3">
        <f t="shared" si="17"/>
        <v>0.20266057156113651</v>
      </c>
      <c r="T71" s="3">
        <f t="shared" si="18"/>
        <v>-0.19869613768561578</v>
      </c>
      <c r="U71" s="3">
        <f t="shared" si="19"/>
        <v>-0.41756724117039029</v>
      </c>
      <c r="V71" s="3">
        <f t="shared" si="20"/>
        <v>-0.44985365348489292</v>
      </c>
      <c r="W71" s="3">
        <f t="shared" si="21"/>
        <v>-0.84448674227032061</v>
      </c>
      <c r="X71" s="3">
        <f t="shared" si="22"/>
        <v>-0.92181359917352901</v>
      </c>
      <c r="Y71" s="3">
        <f t="shared" si="23"/>
        <v>-0.86165636768077825</v>
      </c>
      <c r="Z71" s="3">
        <f t="shared" si="24"/>
        <v>-0.87275683774172452</v>
      </c>
      <c r="AA71" s="3">
        <f t="shared" si="25"/>
        <v>-0.7428781849624404</v>
      </c>
      <c r="AB71" s="3">
        <f t="shared" si="26"/>
        <v>-0.39780420227906987</v>
      </c>
    </row>
    <row r="72" spans="1:28" x14ac:dyDescent="0.25">
      <c r="A72" s="3">
        <v>1.23766247369087E+18</v>
      </c>
      <c r="B72" s="3">
        <v>236.21849</v>
      </c>
      <c r="C72" s="3">
        <v>36.333888000000002</v>
      </c>
      <c r="D72" s="16">
        <v>6.6489409999999999E-2</v>
      </c>
      <c r="E72" s="3">
        <v>1.5154099999999993</v>
      </c>
      <c r="F72" s="3">
        <v>2.3124499999999983</v>
      </c>
      <c r="G72" s="3">
        <v>2.7183400000000013</v>
      </c>
      <c r="H72" s="3">
        <v>3.0335699999999992</v>
      </c>
      <c r="I72" s="3">
        <v>0.79703999999999908</v>
      </c>
      <c r="J72" s="3">
        <v>1.2029300000000021</v>
      </c>
      <c r="K72" s="3">
        <v>1.51816</v>
      </c>
      <c r="L72" s="3">
        <v>0.40589000000000297</v>
      </c>
      <c r="M72" s="3">
        <v>0.72112000000000087</v>
      </c>
      <c r="N72" s="3">
        <v>0.3152299999999979</v>
      </c>
      <c r="P72" s="3">
        <f t="shared" si="14"/>
        <v>-0.14730067467901145</v>
      </c>
      <c r="Q72" s="3">
        <f t="shared" si="15"/>
        <v>0.87234749030316661</v>
      </c>
      <c r="R72" s="3">
        <f t="shared" si="16"/>
        <v>-1.0859954929176314</v>
      </c>
      <c r="S72" s="3">
        <f t="shared" si="17"/>
        <v>-0.28561030592964182</v>
      </c>
      <c r="T72" s="3">
        <f t="shared" si="18"/>
        <v>-0.73583264229601264</v>
      </c>
      <c r="U72" s="3">
        <f t="shared" si="19"/>
        <v>-0.91643240896725697</v>
      </c>
      <c r="V72" s="3">
        <f t="shared" si="20"/>
        <v>-0.94158422239101891</v>
      </c>
      <c r="W72" s="3">
        <f t="shared" si="21"/>
        <v>-1.0566040556388872</v>
      </c>
      <c r="X72" s="3">
        <f t="shared" si="22"/>
        <v>-1.0753345996056283</v>
      </c>
      <c r="Y72" s="3">
        <f t="shared" si="23"/>
        <v>-1.0206291255821871</v>
      </c>
      <c r="Z72" s="3">
        <f t="shared" si="24"/>
        <v>-0.90967601126669873</v>
      </c>
      <c r="AA72" s="3">
        <f t="shared" si="25"/>
        <v>-0.8215774763116539</v>
      </c>
      <c r="AB72" s="3">
        <f t="shared" si="26"/>
        <v>-0.54284692713381844</v>
      </c>
    </row>
    <row r="73" spans="1:28" x14ac:dyDescent="0.25">
      <c r="A73" s="3">
        <v>1.2376614659861299E+18</v>
      </c>
      <c r="B73" s="3">
        <v>235.9846</v>
      </c>
      <c r="C73" s="3">
        <v>35.897812000000002</v>
      </c>
      <c r="D73" s="16">
        <v>6.6573939999999998E-2</v>
      </c>
      <c r="E73" s="3">
        <v>1.8771599999999999</v>
      </c>
      <c r="F73" s="3">
        <v>2.7173900000000017</v>
      </c>
      <c r="G73" s="3">
        <v>3.1031900000000014</v>
      </c>
      <c r="H73" s="3">
        <v>3.3945299999999996</v>
      </c>
      <c r="I73" s="3">
        <v>0.84023000000000181</v>
      </c>
      <c r="J73" s="3">
        <v>1.2260300000000015</v>
      </c>
      <c r="K73" s="3">
        <v>1.5173699999999997</v>
      </c>
      <c r="L73" s="3">
        <v>0.3857999999999997</v>
      </c>
      <c r="M73" s="3">
        <v>0.67713999999999785</v>
      </c>
      <c r="N73" s="3">
        <v>0.29133999999999816</v>
      </c>
      <c r="P73" s="3">
        <f t="shared" si="14"/>
        <v>-0.86692570918211009</v>
      </c>
      <c r="Q73" s="3">
        <f t="shared" si="15"/>
        <v>-0.67138698298843147</v>
      </c>
      <c r="R73" s="3">
        <f t="shared" si="16"/>
        <v>-1.0856643928279615</v>
      </c>
      <c r="S73" s="3">
        <f t="shared" si="17"/>
        <v>7.0481039215387731E-2</v>
      </c>
      <c r="T73" s="3">
        <f t="shared" si="18"/>
        <v>-0.37563051233503647</v>
      </c>
      <c r="U73" s="3">
        <f t="shared" si="19"/>
        <v>-0.60487442670990621</v>
      </c>
      <c r="V73" s="3">
        <f t="shared" si="20"/>
        <v>-0.66530580982606458</v>
      </c>
      <c r="W73" s="3">
        <f t="shared" si="21"/>
        <v>-0.97163515595062011</v>
      </c>
      <c r="X73" s="3">
        <f t="shared" si="22"/>
        <v>-1.0458285249739494</v>
      </c>
      <c r="Y73" s="3">
        <f t="shared" si="23"/>
        <v>-1.0214868532064336</v>
      </c>
      <c r="Z73" s="3">
        <f t="shared" si="24"/>
        <v>-0.96963609179353993</v>
      </c>
      <c r="AA73" s="3">
        <f t="shared" si="25"/>
        <v>-0.91124573624788685</v>
      </c>
      <c r="AB73" s="3">
        <f t="shared" si="26"/>
        <v>-0.67495027051084633</v>
      </c>
    </row>
    <row r="74" spans="1:28" x14ac:dyDescent="0.25">
      <c r="A74" s="3">
        <v>1.2376625032188301E+18</v>
      </c>
      <c r="B74" s="3">
        <v>236.21942000000001</v>
      </c>
      <c r="C74" s="3">
        <v>36.215575000000001</v>
      </c>
      <c r="D74" s="16">
        <v>6.6674170000000005E-2</v>
      </c>
      <c r="E74" s="3">
        <v>2.0042399999999994</v>
      </c>
      <c r="F74" s="3">
        <v>2.8588200000000015</v>
      </c>
      <c r="G74" s="3">
        <v>3.2528900000000007</v>
      </c>
      <c r="H74" s="3">
        <v>3.5459300000000002</v>
      </c>
      <c r="I74" s="3">
        <v>0.85458000000000212</v>
      </c>
      <c r="J74" s="3">
        <v>1.2486500000000014</v>
      </c>
      <c r="K74" s="3">
        <v>1.5416900000000009</v>
      </c>
      <c r="L74" s="3">
        <v>0.39406999999999925</v>
      </c>
      <c r="M74" s="3">
        <v>0.68710999999999878</v>
      </c>
      <c r="N74" s="3">
        <v>0.29303999999999952</v>
      </c>
      <c r="P74" s="3">
        <f t="shared" si="14"/>
        <v>-0.14443928136550607</v>
      </c>
      <c r="Q74" s="3">
        <f t="shared" si="15"/>
        <v>0.45351256992564126</v>
      </c>
      <c r="R74" s="3">
        <f t="shared" si="16"/>
        <v>-1.0852717965664258</v>
      </c>
      <c r="S74" s="3">
        <f t="shared" si="17"/>
        <v>0.19557319717262359</v>
      </c>
      <c r="T74" s="3">
        <f t="shared" si="18"/>
        <v>-0.24982573325571528</v>
      </c>
      <c r="U74" s="3">
        <f t="shared" si="19"/>
        <v>-0.48368375516534295</v>
      </c>
      <c r="V74" s="3">
        <f t="shared" si="20"/>
        <v>-0.54942440561968653</v>
      </c>
      <c r="W74" s="3">
        <f t="shared" si="21"/>
        <v>-0.9434039980315051</v>
      </c>
      <c r="X74" s="3">
        <f t="shared" si="22"/>
        <v>-1.0169355635813697</v>
      </c>
      <c r="Y74" s="3">
        <f t="shared" si="23"/>
        <v>-0.99508187115369184</v>
      </c>
      <c r="Z74" s="3">
        <f t="shared" si="24"/>
        <v>-0.94495366939648318</v>
      </c>
      <c r="AA74" s="3">
        <f t="shared" si="25"/>
        <v>-0.8909184840522465</v>
      </c>
      <c r="AB74" s="3">
        <f t="shared" si="26"/>
        <v>-0.66554986516379189</v>
      </c>
    </row>
    <row r="75" spans="1:28" x14ac:dyDescent="0.25">
      <c r="A75" s="3">
        <v>1.23766233786351E+18</v>
      </c>
      <c r="B75" s="3">
        <v>235.67094</v>
      </c>
      <c r="C75" s="3">
        <v>35.869135999999997</v>
      </c>
      <c r="D75" s="16">
        <v>6.6760009999999995E-2</v>
      </c>
      <c r="E75" s="3">
        <v>1.6348999999999982</v>
      </c>
      <c r="F75" s="3">
        <v>2.4556199999999997</v>
      </c>
      <c r="G75" s="3">
        <v>2.8477099999999993</v>
      </c>
      <c r="H75" s="3">
        <v>3.1529500000000006</v>
      </c>
      <c r="I75" s="3">
        <v>0.82072000000000145</v>
      </c>
      <c r="J75" s="3">
        <v>1.2128100000000011</v>
      </c>
      <c r="K75" s="3">
        <v>1.5180500000000023</v>
      </c>
      <c r="L75" s="3">
        <v>0.39208999999999961</v>
      </c>
      <c r="M75" s="3">
        <v>0.69733000000000089</v>
      </c>
      <c r="N75" s="3">
        <v>0.30524000000000129</v>
      </c>
      <c r="P75" s="3">
        <f t="shared" si="14"/>
        <v>-1.8319844475729721</v>
      </c>
      <c r="Q75" s="3">
        <f t="shared" si="15"/>
        <v>-0.77290169546083676</v>
      </c>
      <c r="R75" s="3">
        <f t="shared" si="16"/>
        <v>-1.0849355652675112</v>
      </c>
      <c r="S75" s="3">
        <f t="shared" si="17"/>
        <v>-0.1679894218069628</v>
      </c>
      <c r="T75" s="3">
        <f t="shared" si="18"/>
        <v>-0.60848009884139465</v>
      </c>
      <c r="U75" s="3">
        <f t="shared" si="19"/>
        <v>-0.81170002969057042</v>
      </c>
      <c r="V75" s="3">
        <f t="shared" si="20"/>
        <v>-0.85021089323542109</v>
      </c>
      <c r="W75" s="3">
        <f t="shared" si="21"/>
        <v>-1.0100177267521486</v>
      </c>
      <c r="X75" s="3">
        <f t="shared" si="22"/>
        <v>-1.0627146854341578</v>
      </c>
      <c r="Y75" s="3">
        <f t="shared" si="23"/>
        <v>-1.0207485560108771</v>
      </c>
      <c r="Z75" s="3">
        <f t="shared" si="24"/>
        <v>-0.95086312481923607</v>
      </c>
      <c r="AA75" s="3">
        <f t="shared" si="25"/>
        <v>-0.87008152142040407</v>
      </c>
      <c r="AB75" s="3">
        <f t="shared" si="26"/>
        <v>-0.59808813267321048</v>
      </c>
    </row>
    <row r="76" spans="1:28" x14ac:dyDescent="0.25">
      <c r="A76" s="3">
        <v>1.23766247369087E+18</v>
      </c>
      <c r="B76" s="3">
        <v>236.14635000000001</v>
      </c>
      <c r="C76" s="3">
        <v>36.440747000000002</v>
      </c>
      <c r="D76" s="16">
        <v>6.6768380000000002E-2</v>
      </c>
      <c r="E76" s="3">
        <v>1.9153699999999994</v>
      </c>
      <c r="F76" s="3">
        <v>2.8350299999999997</v>
      </c>
      <c r="G76" s="3">
        <v>3.2627900000000007</v>
      </c>
      <c r="H76" s="3">
        <v>3.6264800000000008</v>
      </c>
      <c r="I76" s="3">
        <v>0.91966000000000037</v>
      </c>
      <c r="J76" s="3">
        <v>1.3474200000000014</v>
      </c>
      <c r="K76" s="3">
        <v>1.7111100000000015</v>
      </c>
      <c r="L76" s="3">
        <v>0.42776000000000103</v>
      </c>
      <c r="M76" s="3">
        <v>0.7914500000000011</v>
      </c>
      <c r="N76" s="3">
        <v>0.36369000000000007</v>
      </c>
      <c r="P76" s="3">
        <f t="shared" si="14"/>
        <v>-0.36925864632827415</v>
      </c>
      <c r="Q76" s="3">
        <f t="shared" si="15"/>
        <v>1.2506345826482326</v>
      </c>
      <c r="R76" s="3">
        <f t="shared" si="16"/>
        <v>-1.0849027803656945</v>
      </c>
      <c r="S76" s="3">
        <f t="shared" si="17"/>
        <v>0.10809334135219864</v>
      </c>
      <c r="T76" s="3">
        <f t="shared" si="18"/>
        <v>-0.27098740824897893</v>
      </c>
      <c r="U76" s="3">
        <f t="shared" si="19"/>
        <v>-0.47566914161630364</v>
      </c>
      <c r="V76" s="3">
        <f t="shared" si="20"/>
        <v>-0.48777151850724421</v>
      </c>
      <c r="W76" s="3">
        <f t="shared" si="21"/>
        <v>-0.81537028671610989</v>
      </c>
      <c r="X76" s="3">
        <f t="shared" si="22"/>
        <v>-0.8907747414440973</v>
      </c>
      <c r="Y76" s="3">
        <f t="shared" si="23"/>
        <v>-0.8111372963438529</v>
      </c>
      <c r="Z76" s="3">
        <f t="shared" si="24"/>
        <v>-0.84440339000628628</v>
      </c>
      <c r="AA76" s="3">
        <f t="shared" si="25"/>
        <v>-0.67818573639999291</v>
      </c>
      <c r="AB76" s="3">
        <f t="shared" si="26"/>
        <v>-0.27488007824092919</v>
      </c>
    </row>
    <row r="77" spans="1:28" x14ac:dyDescent="0.25">
      <c r="A77" s="3">
        <v>1.2376625032189E+18</v>
      </c>
      <c r="B77" s="3">
        <v>236.31521000000001</v>
      </c>
      <c r="C77" s="3">
        <v>36.017164000000001</v>
      </c>
      <c r="D77" s="16">
        <v>6.683443E-2</v>
      </c>
      <c r="E77" s="3">
        <v>1.9855599999999995</v>
      </c>
      <c r="F77" s="3">
        <v>2.8892299999999977</v>
      </c>
      <c r="G77" s="3">
        <v>3.304829999999999</v>
      </c>
      <c r="H77" s="3">
        <v>3.6335699999999989</v>
      </c>
      <c r="I77" s="3">
        <v>0.9036699999999982</v>
      </c>
      <c r="J77" s="3">
        <v>1.3192699999999995</v>
      </c>
      <c r="K77" s="3">
        <v>1.6480099999999993</v>
      </c>
      <c r="L77" s="3">
        <v>0.4156000000000013</v>
      </c>
      <c r="M77" s="3">
        <v>0.74434000000000111</v>
      </c>
      <c r="N77" s="3">
        <v>0.32873999999999981</v>
      </c>
      <c r="P77" s="3">
        <f t="shared" si="14"/>
        <v>0.15028422992205079</v>
      </c>
      <c r="Q77" s="3">
        <f t="shared" si="15"/>
        <v>-0.24887394201323979</v>
      </c>
      <c r="R77" s="3">
        <f t="shared" si="16"/>
        <v>-1.08464406557896</v>
      </c>
      <c r="S77" s="3">
        <f t="shared" si="17"/>
        <v>0.17718539806465103</v>
      </c>
      <c r="T77" s="3">
        <f t="shared" si="18"/>
        <v>-0.22277543747828688</v>
      </c>
      <c r="U77" s="3">
        <f t="shared" si="19"/>
        <v>-0.44163536852523311</v>
      </c>
      <c r="V77" s="3">
        <f t="shared" si="20"/>
        <v>-0.48234483980299725</v>
      </c>
      <c r="W77" s="3">
        <f t="shared" si="21"/>
        <v>-0.84682786268312737</v>
      </c>
      <c r="X77" s="3">
        <f t="shared" si="22"/>
        <v>-0.92673127827880886</v>
      </c>
      <c r="Y77" s="3">
        <f t="shared" si="23"/>
        <v>-0.87964693316654918</v>
      </c>
      <c r="Z77" s="3">
        <f t="shared" si="24"/>
        <v>-0.88069580310764284</v>
      </c>
      <c r="AA77" s="3">
        <f t="shared" si="25"/>
        <v>-0.77423557099743823</v>
      </c>
      <c r="AB77" s="3">
        <f t="shared" si="26"/>
        <v>-0.46814135287580599</v>
      </c>
    </row>
    <row r="78" spans="1:28" x14ac:dyDescent="0.25">
      <c r="A78" s="3">
        <v>1.2376624736908001E+18</v>
      </c>
      <c r="B78" s="3">
        <v>236.14118999999999</v>
      </c>
      <c r="C78" s="3">
        <v>36.477392999999999</v>
      </c>
      <c r="D78" s="16">
        <v>6.6917630000000006E-2</v>
      </c>
      <c r="E78" s="3">
        <v>1.8567400000000021</v>
      </c>
      <c r="F78" s="3">
        <v>2.7475900000000006</v>
      </c>
      <c r="G78" s="3">
        <v>3.165140000000001</v>
      </c>
      <c r="H78" s="3">
        <v>3.5187400000000011</v>
      </c>
      <c r="I78" s="3">
        <v>0.89084999999999859</v>
      </c>
      <c r="J78" s="3">
        <v>1.3083999999999989</v>
      </c>
      <c r="K78" s="3">
        <v>1.661999999999999</v>
      </c>
      <c r="L78" s="3">
        <v>0.41755000000000031</v>
      </c>
      <c r="M78" s="3">
        <v>0.77115000000000045</v>
      </c>
      <c r="N78" s="3">
        <v>0.35360000000000014</v>
      </c>
      <c r="P78" s="3">
        <f t="shared" si="14"/>
        <v>-0.38513476406759078</v>
      </c>
      <c r="Q78" s="3">
        <f t="shared" si="15"/>
        <v>1.3803635599554911</v>
      </c>
      <c r="R78" s="3">
        <f t="shared" si="16"/>
        <v>-1.0843181750376074</v>
      </c>
      <c r="S78" s="3">
        <f t="shared" si="17"/>
        <v>5.0380457963526679E-2</v>
      </c>
      <c r="T78" s="3">
        <f t="shared" si="18"/>
        <v>-0.34876701570634833</v>
      </c>
      <c r="U78" s="3">
        <f t="shared" si="19"/>
        <v>-0.55472237525910018</v>
      </c>
      <c r="V78" s="3">
        <f t="shared" si="20"/>
        <v>-0.57023560364063308</v>
      </c>
      <c r="W78" s="3">
        <f t="shared" si="21"/>
        <v>-0.8720490086429209</v>
      </c>
      <c r="X78" s="3">
        <f t="shared" si="22"/>
        <v>-0.94061573850592461</v>
      </c>
      <c r="Y78" s="3">
        <f t="shared" si="23"/>
        <v>-0.86445755409920411</v>
      </c>
      <c r="Z78" s="3">
        <f t="shared" si="24"/>
        <v>-0.87487588488826695</v>
      </c>
      <c r="AA78" s="3">
        <f t="shared" si="25"/>
        <v>-0.71957422381939862</v>
      </c>
      <c r="AB78" s="3">
        <f t="shared" si="26"/>
        <v>-0.33067424880075408</v>
      </c>
    </row>
    <row r="79" spans="1:28" x14ac:dyDescent="0.25">
      <c r="A79" s="3">
        <v>1.2376625032189E+18</v>
      </c>
      <c r="B79" s="3">
        <v>236.36476999999999</v>
      </c>
      <c r="C79" s="3">
        <v>36.013185</v>
      </c>
      <c r="D79" s="16">
        <v>6.6954180000000002E-2</v>
      </c>
      <c r="E79" s="3">
        <v>1.9879899999999999</v>
      </c>
      <c r="F79" s="3">
        <v>2.9320899999999988</v>
      </c>
      <c r="G79" s="3">
        <v>3.3717400000000008</v>
      </c>
      <c r="H79" s="3">
        <v>3.7352000000000007</v>
      </c>
      <c r="I79" s="3">
        <v>0.94409999999999883</v>
      </c>
      <c r="J79" s="3">
        <v>1.3837500000000009</v>
      </c>
      <c r="K79" s="3">
        <v>1.7472100000000008</v>
      </c>
      <c r="L79" s="3">
        <v>0.43965000000000209</v>
      </c>
      <c r="M79" s="3">
        <v>0.80311000000000199</v>
      </c>
      <c r="N79" s="3">
        <v>0.36345999999999989</v>
      </c>
      <c r="P79" s="3">
        <f t="shared" si="14"/>
        <v>0.30276880262700911</v>
      </c>
      <c r="Q79" s="3">
        <f t="shared" si="15"/>
        <v>-0.26295983408074391</v>
      </c>
      <c r="R79" s="3">
        <f t="shared" si="16"/>
        <v>-1.0841750103827223</v>
      </c>
      <c r="S79" s="3">
        <f t="shared" si="17"/>
        <v>0.17957738692077418</v>
      </c>
      <c r="T79" s="3">
        <f t="shared" si="18"/>
        <v>-0.18465062073968938</v>
      </c>
      <c r="U79" s="3">
        <f t="shared" si="19"/>
        <v>-0.38746791473066405</v>
      </c>
      <c r="V79" s="3">
        <f t="shared" si="20"/>
        <v>-0.40455734238229468</v>
      </c>
      <c r="W79" s="3">
        <f t="shared" si="21"/>
        <v>-0.76728878849010884</v>
      </c>
      <c r="X79" s="3">
        <f t="shared" si="22"/>
        <v>-0.84436973315972907</v>
      </c>
      <c r="Y79" s="3">
        <f t="shared" si="23"/>
        <v>-0.77194240110931711</v>
      </c>
      <c r="Z79" s="3">
        <f t="shared" si="24"/>
        <v>-0.80891681173530128</v>
      </c>
      <c r="AA79" s="3">
        <f t="shared" si="25"/>
        <v>-0.65441284165564362</v>
      </c>
      <c r="AB79" s="3">
        <f t="shared" si="26"/>
        <v>-0.27615189778788352</v>
      </c>
    </row>
    <row r="80" spans="1:28" x14ac:dyDescent="0.25">
      <c r="A80" s="3">
        <v>1.23766250321903E+18</v>
      </c>
      <c r="B80" s="3">
        <v>236.59724</v>
      </c>
      <c r="C80" s="3">
        <v>35.946224000000001</v>
      </c>
      <c r="D80" s="16">
        <v>6.7003170000000001E-2</v>
      </c>
      <c r="E80" s="3">
        <v>1.8468900000000019</v>
      </c>
      <c r="F80" s="3">
        <v>2.6915700000000022</v>
      </c>
      <c r="G80" s="3">
        <v>3.0783799999999992</v>
      </c>
      <c r="H80" s="3">
        <v>3.3844700000000003</v>
      </c>
      <c r="I80" s="3">
        <v>0.84468000000000032</v>
      </c>
      <c r="J80" s="3">
        <v>1.2314899999999973</v>
      </c>
      <c r="K80" s="3">
        <v>1.5375799999999984</v>
      </c>
      <c r="L80" s="3">
        <v>0.38680999999999699</v>
      </c>
      <c r="M80" s="3">
        <v>0.69289999999999807</v>
      </c>
      <c r="N80" s="3">
        <v>0.30609000000000108</v>
      </c>
      <c r="P80" s="3">
        <f t="shared" si="14"/>
        <v>1.0180248279848194</v>
      </c>
      <c r="Q80" s="3">
        <f t="shared" si="15"/>
        <v>-0.50000567945191177</v>
      </c>
      <c r="R80" s="3">
        <f t="shared" si="16"/>
        <v>-1.0839831188247793</v>
      </c>
      <c r="S80" s="3">
        <f t="shared" si="17"/>
        <v>4.0684536057020576E-2</v>
      </c>
      <c r="T80" s="3">
        <f t="shared" si="18"/>
        <v>-0.39859791243280934</v>
      </c>
      <c r="U80" s="3">
        <f t="shared" si="19"/>
        <v>-0.62495953399795501</v>
      </c>
      <c r="V80" s="3">
        <f t="shared" si="20"/>
        <v>-0.67300572347412324</v>
      </c>
      <c r="W80" s="3">
        <f t="shared" si="21"/>
        <v>-0.96288054600358064</v>
      </c>
      <c r="X80" s="3">
        <f t="shared" si="22"/>
        <v>-1.0388543618791941</v>
      </c>
      <c r="Y80" s="3">
        <f t="shared" si="23"/>
        <v>-0.99954422626211414</v>
      </c>
      <c r="Z80" s="3">
        <f t="shared" si="24"/>
        <v>-0.96662167261325427</v>
      </c>
      <c r="AA80" s="3">
        <f t="shared" si="25"/>
        <v>-0.87911359034986603</v>
      </c>
      <c r="AB80" s="3">
        <f t="shared" si="26"/>
        <v>-0.59338792999968815</v>
      </c>
    </row>
    <row r="81" spans="1:28" x14ac:dyDescent="0.25">
      <c r="A81" s="3">
        <v>1.2376625032188301E+18</v>
      </c>
      <c r="B81" s="3">
        <v>236.08357000000001</v>
      </c>
      <c r="C81" s="3">
        <v>36.118487999999999</v>
      </c>
      <c r="D81" s="16">
        <v>6.7073629999999995E-2</v>
      </c>
      <c r="E81" s="3">
        <v>1.8969799999999992</v>
      </c>
      <c r="F81" s="3">
        <v>2.7920300000000005</v>
      </c>
      <c r="G81" s="3">
        <v>3.2015000000000011</v>
      </c>
      <c r="H81" s="3">
        <v>3.5157300000000014</v>
      </c>
      <c r="I81" s="3">
        <v>0.89505000000000123</v>
      </c>
      <c r="J81" s="3">
        <v>1.3045200000000019</v>
      </c>
      <c r="K81" s="3">
        <v>1.6187500000000021</v>
      </c>
      <c r="L81" s="3">
        <v>0.40947000000000067</v>
      </c>
      <c r="M81" s="3">
        <v>0.7237000000000009</v>
      </c>
      <c r="N81" s="3">
        <v>0.31423000000000023</v>
      </c>
      <c r="P81" s="3">
        <f t="shared" si="14"/>
        <v>-0.56241807882263761</v>
      </c>
      <c r="Q81" s="3">
        <f t="shared" si="15"/>
        <v>0.10981892751362049</v>
      </c>
      <c r="R81" s="3">
        <f t="shared" si="16"/>
        <v>-1.0837071302725714</v>
      </c>
      <c r="S81" s="3">
        <f t="shared" si="17"/>
        <v>8.9991005934874177E-2</v>
      </c>
      <c r="T81" s="3">
        <f t="shared" si="18"/>
        <v>-0.3092367577534032</v>
      </c>
      <c r="U81" s="3">
        <f t="shared" si="19"/>
        <v>-0.52528688549717384</v>
      </c>
      <c r="V81" s="3">
        <f t="shared" si="20"/>
        <v>-0.57253945454328281</v>
      </c>
      <c r="W81" s="3">
        <f t="shared" si="21"/>
        <v>-0.86378623071536997</v>
      </c>
      <c r="X81" s="3">
        <f t="shared" si="22"/>
        <v>-0.9455717371886444</v>
      </c>
      <c r="Y81" s="3">
        <f t="shared" si="23"/>
        <v>-0.91141542719874935</v>
      </c>
      <c r="Z81" s="3">
        <f t="shared" si="24"/>
        <v>-0.89899123833061523</v>
      </c>
      <c r="AA81" s="3">
        <f t="shared" si="25"/>
        <v>-0.81631726461007437</v>
      </c>
      <c r="AB81" s="3">
        <f t="shared" si="26"/>
        <v>-0.54837657733795075</v>
      </c>
    </row>
    <row r="82" spans="1:28" x14ac:dyDescent="0.25">
      <c r="A82" s="3">
        <v>1.2376624736910001E+18</v>
      </c>
      <c r="B82" s="3">
        <v>236.43284</v>
      </c>
      <c r="C82" s="3">
        <v>36.130147999999998</v>
      </c>
      <c r="D82" s="16">
        <v>6.7119040000000005E-2</v>
      </c>
      <c r="E82" s="3">
        <v>1.8868599999999986</v>
      </c>
      <c r="F82" s="3">
        <v>2.7563899999999997</v>
      </c>
      <c r="G82" s="3">
        <v>3.1540900000000001</v>
      </c>
      <c r="H82" s="3">
        <v>3.4734300000000005</v>
      </c>
      <c r="I82" s="3">
        <v>0.86953000000000102</v>
      </c>
      <c r="J82" s="3">
        <v>1.2672300000000014</v>
      </c>
      <c r="K82" s="3">
        <v>1.5865700000000018</v>
      </c>
      <c r="L82" s="3">
        <v>0.39770000000000039</v>
      </c>
      <c r="M82" s="3">
        <v>0.71704000000000079</v>
      </c>
      <c r="N82" s="3">
        <v>0.3193400000000004</v>
      </c>
      <c r="P82" s="3">
        <f t="shared" si="14"/>
        <v>0.51220433257112652</v>
      </c>
      <c r="Q82" s="3">
        <f t="shared" si="15"/>
        <v>0.1510960075606276</v>
      </c>
      <c r="R82" s="3">
        <f t="shared" si="16"/>
        <v>-1.0835292614085952</v>
      </c>
      <c r="S82" s="3">
        <f t="shared" si="17"/>
        <v>8.002930748879844E-2</v>
      </c>
      <c r="T82" s="3">
        <f t="shared" si="18"/>
        <v>-0.34093924185428082</v>
      </c>
      <c r="U82" s="3">
        <f t="shared" si="19"/>
        <v>-0.56366797927090739</v>
      </c>
      <c r="V82" s="3">
        <f t="shared" si="20"/>
        <v>-0.60491583101573909</v>
      </c>
      <c r="W82" s="3">
        <f t="shared" si="21"/>
        <v>-0.91399244326560047</v>
      </c>
      <c r="X82" s="3">
        <f t="shared" si="22"/>
        <v>-0.99320297195121354</v>
      </c>
      <c r="Y82" s="3">
        <f t="shared" si="23"/>
        <v>-0.94635425624715364</v>
      </c>
      <c r="Z82" s="3">
        <f t="shared" si="24"/>
        <v>-0.93411966778809763</v>
      </c>
      <c r="AA82" s="3">
        <f t="shared" si="25"/>
        <v>-0.82989595063043087</v>
      </c>
      <c r="AB82" s="3">
        <f t="shared" si="26"/>
        <v>-0.5201200647947678</v>
      </c>
    </row>
    <row r="83" spans="1:28" x14ac:dyDescent="0.25">
      <c r="A83" s="3">
        <v>1.2376625037557701E+18</v>
      </c>
      <c r="B83" s="3">
        <v>236.58447000000001</v>
      </c>
      <c r="C83" s="3">
        <v>36.317391000000001</v>
      </c>
      <c r="D83" s="16">
        <v>6.7139190000000001E-2</v>
      </c>
      <c r="E83" s="3">
        <v>1.813209999999998</v>
      </c>
      <c r="F83" s="3">
        <v>2.6355199999999996</v>
      </c>
      <c r="G83" s="3">
        <v>3.0365199999999994</v>
      </c>
      <c r="H83" s="3">
        <v>3.3049299999999988</v>
      </c>
      <c r="I83" s="3">
        <v>0.82231000000000165</v>
      </c>
      <c r="J83" s="3">
        <v>1.2233100000000015</v>
      </c>
      <c r="K83" s="3">
        <v>1.4917200000000008</v>
      </c>
      <c r="L83" s="3">
        <v>0.4009999999999998</v>
      </c>
      <c r="M83" s="3">
        <v>0.66940999999999917</v>
      </c>
      <c r="N83" s="3">
        <v>0.26840999999999937</v>
      </c>
      <c r="P83" s="3">
        <f t="shared" si="14"/>
        <v>0.97873451334718364</v>
      </c>
      <c r="Q83" s="3">
        <f t="shared" si="15"/>
        <v>0.81394714814745706</v>
      </c>
      <c r="R83" s="3">
        <f t="shared" si="16"/>
        <v>-1.0834503347931113</v>
      </c>
      <c r="S83" s="3">
        <f t="shared" si="17"/>
        <v>7.5313736396440106E-3</v>
      </c>
      <c r="T83" s="3">
        <f t="shared" si="18"/>
        <v>-0.44845549475195168</v>
      </c>
      <c r="U83" s="3">
        <f t="shared" si="19"/>
        <v>-0.65884758684268052</v>
      </c>
      <c r="V83" s="3">
        <f t="shared" si="20"/>
        <v>-0.73388555762587648</v>
      </c>
      <c r="W83" s="3">
        <f t="shared" si="21"/>
        <v>-1.0068896751081489</v>
      </c>
      <c r="X83" s="3">
        <f t="shared" si="22"/>
        <v>-1.0493028333288485</v>
      </c>
      <c r="Y83" s="3">
        <f t="shared" si="23"/>
        <v>-1.0493358577151819</v>
      </c>
      <c r="Z83" s="3">
        <f t="shared" si="24"/>
        <v>-0.92427057541684288</v>
      </c>
      <c r="AA83" s="3">
        <f t="shared" si="25"/>
        <v>-0.92700598293517456</v>
      </c>
      <c r="AB83" s="3">
        <f t="shared" si="26"/>
        <v>-0.80174514969188948</v>
      </c>
    </row>
    <row r="84" spans="1:28" x14ac:dyDescent="0.25">
      <c r="A84" s="3">
        <v>1.2376625032189701E+18</v>
      </c>
      <c r="B84" s="3">
        <v>236.51518999999999</v>
      </c>
      <c r="C84" s="3">
        <v>35.948939000000003</v>
      </c>
      <c r="D84" s="16">
        <v>6.7181210000000005E-2</v>
      </c>
      <c r="E84" s="3">
        <v>1.9525100000000002</v>
      </c>
      <c r="F84" s="3">
        <v>2.8408200000000008</v>
      </c>
      <c r="G84" s="3">
        <v>3.2486800000000002</v>
      </c>
      <c r="H84" s="3">
        <v>3.5651400000000013</v>
      </c>
      <c r="I84" s="3">
        <v>0.8883100000000006</v>
      </c>
      <c r="J84" s="3">
        <v>1.29617</v>
      </c>
      <c r="K84" s="3">
        <v>1.6126300000000011</v>
      </c>
      <c r="L84" s="3">
        <v>0.40785999999999945</v>
      </c>
      <c r="M84" s="3">
        <v>0.72432000000000052</v>
      </c>
      <c r="N84" s="3">
        <v>0.31646000000000107</v>
      </c>
      <c r="P84" s="3">
        <f t="shared" si="14"/>
        <v>0.76557609532850446</v>
      </c>
      <c r="Q84" s="3">
        <f t="shared" si="15"/>
        <v>-0.49039442110476633</v>
      </c>
      <c r="R84" s="3">
        <f t="shared" si="16"/>
        <v>-1.0832857444019139</v>
      </c>
      <c r="S84" s="3">
        <f t="shared" si="17"/>
        <v>0.14465238090627375</v>
      </c>
      <c r="T84" s="3">
        <f t="shared" si="18"/>
        <v>-0.26583708886221935</v>
      </c>
      <c r="U84" s="3">
        <f t="shared" si="19"/>
        <v>-0.48709198981599544</v>
      </c>
      <c r="V84" s="3">
        <f t="shared" si="20"/>
        <v>-0.53472109138715929</v>
      </c>
      <c r="W84" s="3">
        <f t="shared" si="21"/>
        <v>-0.87704602196100412</v>
      </c>
      <c r="X84" s="3">
        <f t="shared" si="22"/>
        <v>-0.95623735291048773</v>
      </c>
      <c r="Y84" s="3">
        <f t="shared" si="23"/>
        <v>-0.91806010195873278</v>
      </c>
      <c r="Z84" s="3">
        <f t="shared" si="24"/>
        <v>-0.90379640157841368</v>
      </c>
      <c r="AA84" s="3">
        <f t="shared" si="25"/>
        <v>-0.8150531827283003</v>
      </c>
      <c r="AB84" s="3">
        <f t="shared" si="26"/>
        <v>-0.53604545738270226</v>
      </c>
    </row>
    <row r="85" spans="1:28" x14ac:dyDescent="0.25">
      <c r="A85" s="3">
        <v>1.23766247369074E+18</v>
      </c>
      <c r="B85" s="3">
        <v>235.96458999999999</v>
      </c>
      <c r="C85" s="3">
        <v>36.526887000000002</v>
      </c>
      <c r="D85" s="16">
        <v>6.7256919999999998E-2</v>
      </c>
      <c r="E85" s="3">
        <v>0.77464999999999939</v>
      </c>
      <c r="F85" s="3">
        <v>1.275640000000001</v>
      </c>
      <c r="G85" s="3">
        <v>1.6906800000000004</v>
      </c>
      <c r="H85" s="3">
        <v>1.8536400000000004</v>
      </c>
      <c r="I85" s="3">
        <v>0.5009900000000016</v>
      </c>
      <c r="J85" s="3">
        <v>0.91603000000000101</v>
      </c>
      <c r="K85" s="3">
        <v>1.078990000000001</v>
      </c>
      <c r="L85" s="3">
        <v>0.41503999999999941</v>
      </c>
      <c r="M85" s="3">
        <v>0.5779999999999994</v>
      </c>
      <c r="N85" s="3">
        <v>0.16295999999999999</v>
      </c>
      <c r="P85" s="3">
        <f t="shared" si="14"/>
        <v>-0.92849181692684701</v>
      </c>
      <c r="Q85" s="3">
        <f t="shared" si="15"/>
        <v>1.5555752065975872</v>
      </c>
      <c r="R85" s="3">
        <f t="shared" si="16"/>
        <v>-1.0829891918431902</v>
      </c>
      <c r="S85" s="3">
        <f t="shared" si="17"/>
        <v>-1.0147830076010491</v>
      </c>
      <c r="T85" s="3">
        <f t="shared" si="18"/>
        <v>-1.6580956204281696</v>
      </c>
      <c r="U85" s="3">
        <f t="shared" si="19"/>
        <v>-1.748381677634502</v>
      </c>
      <c r="V85" s="3">
        <f t="shared" si="20"/>
        <v>-1.8447014302194924</v>
      </c>
      <c r="W85" s="3">
        <f t="shared" si="21"/>
        <v>-1.6390315331269547</v>
      </c>
      <c r="X85" s="3">
        <f t="shared" si="22"/>
        <v>-1.441797491892594</v>
      </c>
      <c r="Y85" s="3">
        <f t="shared" si="23"/>
        <v>-1.497449683481116</v>
      </c>
      <c r="Z85" s="3">
        <f t="shared" si="24"/>
        <v>-0.88236716423731631</v>
      </c>
      <c r="AA85" s="3">
        <f t="shared" si="25"/>
        <v>-1.1133765068271817</v>
      </c>
      <c r="AB85" s="3">
        <f t="shared" si="26"/>
        <v>-1.3848467637189994</v>
      </c>
    </row>
    <row r="86" spans="1:28" x14ac:dyDescent="0.25">
      <c r="A86" s="3">
        <v>1.23766247369074E+18</v>
      </c>
      <c r="B86" s="3">
        <v>235.87022999999999</v>
      </c>
      <c r="C86" s="3">
        <v>36.612698999999999</v>
      </c>
      <c r="D86" s="16">
        <v>6.7274340000000002E-2</v>
      </c>
      <c r="E86" s="3">
        <v>1.8501499999999993</v>
      </c>
      <c r="F86" s="3">
        <v>2.6800999999999995</v>
      </c>
      <c r="G86" s="3">
        <v>3.0853599999999979</v>
      </c>
      <c r="H86" s="3">
        <v>3.3864799999999988</v>
      </c>
      <c r="I86" s="3">
        <v>0.82995000000000019</v>
      </c>
      <c r="J86" s="3">
        <v>1.2352099999999986</v>
      </c>
      <c r="K86" s="3">
        <v>1.5363299999999995</v>
      </c>
      <c r="L86" s="3">
        <v>0.4052599999999984</v>
      </c>
      <c r="M86" s="3">
        <v>0.70637999999999934</v>
      </c>
      <c r="N86" s="3">
        <v>0.30112000000000094</v>
      </c>
      <c r="P86" s="3">
        <f t="shared" si="14"/>
        <v>-1.2188155513990684</v>
      </c>
      <c r="Q86" s="3">
        <f t="shared" si="15"/>
        <v>1.8593546914169632</v>
      </c>
      <c r="R86" s="3">
        <f t="shared" si="16"/>
        <v>-1.0829209585110946</v>
      </c>
      <c r="S86" s="3">
        <f t="shared" si="17"/>
        <v>4.3893541682927584E-2</v>
      </c>
      <c r="T86" s="3">
        <f t="shared" si="18"/>
        <v>-0.4088007040331782</v>
      </c>
      <c r="U86" s="3">
        <f t="shared" si="19"/>
        <v>-0.61930882666742126</v>
      </c>
      <c r="V86" s="3">
        <f t="shared" si="20"/>
        <v>-0.67146727154245445</v>
      </c>
      <c r="W86" s="3">
        <f t="shared" si="21"/>
        <v>-0.99185928859233041</v>
      </c>
      <c r="X86" s="3">
        <f t="shared" si="22"/>
        <v>-1.0341027342761688</v>
      </c>
      <c r="Y86" s="3">
        <f t="shared" si="23"/>
        <v>-1.0009013902245276</v>
      </c>
      <c r="Z86" s="3">
        <f t="shared" si="24"/>
        <v>-0.91155629253758863</v>
      </c>
      <c r="AA86" s="3">
        <f t="shared" si="25"/>
        <v>-0.85163000362998309</v>
      </c>
      <c r="AB86" s="3">
        <f t="shared" si="26"/>
        <v>-0.62087029151429063</v>
      </c>
    </row>
    <row r="87" spans="1:28" x14ac:dyDescent="0.25">
      <c r="A87" s="3">
        <v>1.23766247369074E+18</v>
      </c>
      <c r="B87" s="3">
        <v>235.96593999999999</v>
      </c>
      <c r="C87" s="3">
        <v>36.560442999999999</v>
      </c>
      <c r="D87" s="16">
        <v>6.7340609999999995E-2</v>
      </c>
      <c r="E87" s="3">
        <v>1.8488100000000003</v>
      </c>
      <c r="F87" s="3">
        <v>2.7378399999999985</v>
      </c>
      <c r="G87" s="3">
        <v>3.1393899999999988</v>
      </c>
      <c r="H87" s="3">
        <v>3.4502999999999986</v>
      </c>
      <c r="I87" s="3">
        <v>0.88902999999999821</v>
      </c>
      <c r="J87" s="3">
        <v>1.2905799999999985</v>
      </c>
      <c r="K87" s="3">
        <v>1.6014899999999983</v>
      </c>
      <c r="L87" s="3">
        <v>0.4015500000000003</v>
      </c>
      <c r="M87" s="3">
        <v>0.71246000000000009</v>
      </c>
      <c r="N87" s="3">
        <v>0.3109099999999998</v>
      </c>
      <c r="P87" s="3">
        <f t="shared" si="14"/>
        <v>-0.9243381814718008</v>
      </c>
      <c r="Q87" s="3">
        <f t="shared" si="15"/>
        <v>1.6743654036865547</v>
      </c>
      <c r="R87" s="3">
        <f t="shared" si="16"/>
        <v>-1.0826613819945627</v>
      </c>
      <c r="S87" s="3">
        <f t="shared" si="17"/>
        <v>4.2574502560622167E-2</v>
      </c>
      <c r="T87" s="3">
        <f t="shared" si="18"/>
        <v>-0.35743983332653961</v>
      </c>
      <c r="U87" s="3">
        <f t="shared" si="19"/>
        <v>-0.57556846605584555</v>
      </c>
      <c r="V87" s="3">
        <f t="shared" si="20"/>
        <v>-0.6226195092145087</v>
      </c>
      <c r="W87" s="3">
        <f t="shared" si="21"/>
        <v>-0.87562954574485818</v>
      </c>
      <c r="X87" s="3">
        <f t="shared" si="22"/>
        <v>-0.96337756750750647</v>
      </c>
      <c r="Y87" s="3">
        <f t="shared" si="23"/>
        <v>-0.93015514719177561</v>
      </c>
      <c r="Z87" s="3">
        <f t="shared" si="24"/>
        <v>-0.92262906002163192</v>
      </c>
      <c r="AA87" s="3">
        <f t="shared" si="25"/>
        <v>-0.83923384582160832</v>
      </c>
      <c r="AB87" s="3">
        <f t="shared" si="26"/>
        <v>-0.5667350160157153</v>
      </c>
    </row>
    <row r="88" spans="1:28" x14ac:dyDescent="0.25">
      <c r="A88" s="3">
        <v>1.2376624736909299E+18</v>
      </c>
      <c r="B88" s="3">
        <v>236.32599999999999</v>
      </c>
      <c r="C88" s="3">
        <v>36.213644000000002</v>
      </c>
      <c r="D88" s="16">
        <v>6.7534540000000004E-2</v>
      </c>
      <c r="E88" s="3">
        <v>1.9074799999999996</v>
      </c>
      <c r="F88" s="3">
        <v>2.7887000000000022</v>
      </c>
      <c r="G88" s="3">
        <v>3.2061600000000006</v>
      </c>
      <c r="H88" s="3">
        <v>3.5120100000000001</v>
      </c>
      <c r="I88" s="3">
        <v>0.88122000000000256</v>
      </c>
      <c r="J88" s="3">
        <v>1.2986800000000009</v>
      </c>
      <c r="K88" s="3">
        <v>1.6045300000000005</v>
      </c>
      <c r="L88" s="3">
        <v>0.41745999999999839</v>
      </c>
      <c r="M88" s="3">
        <v>0.7233099999999979</v>
      </c>
      <c r="N88" s="3">
        <v>0.30584999999999951</v>
      </c>
      <c r="P88" s="3">
        <f t="shared" si="14"/>
        <v>0.18348254589228546</v>
      </c>
      <c r="Q88" s="3">
        <f t="shared" si="15"/>
        <v>0.44667671730379427</v>
      </c>
      <c r="R88" s="3">
        <f t="shared" si="16"/>
        <v>-1.0819017671786433</v>
      </c>
      <c r="S88" s="3">
        <f t="shared" si="17"/>
        <v>0.10032676025145452</v>
      </c>
      <c r="T88" s="3">
        <f t="shared" si="18"/>
        <v>-0.31219885854060486</v>
      </c>
      <c r="U88" s="3">
        <f t="shared" si="19"/>
        <v>-0.52151435023065684</v>
      </c>
      <c r="V88" s="3">
        <f t="shared" si="20"/>
        <v>-0.57538673871532953</v>
      </c>
      <c r="W88" s="3">
        <f t="shared" si="21"/>
        <v>-0.89099437803392856</v>
      </c>
      <c r="X88" s="3">
        <f t="shared" si="22"/>
        <v>-0.95303128159769368</v>
      </c>
      <c r="Y88" s="3">
        <f t="shared" si="23"/>
        <v>-0.92685452443518068</v>
      </c>
      <c r="Z88" s="3">
        <f t="shared" si="24"/>
        <v>-0.87514449649839787</v>
      </c>
      <c r="AA88" s="3">
        <f t="shared" si="25"/>
        <v>-0.81711241289055181</v>
      </c>
      <c r="AB88" s="3">
        <f t="shared" si="26"/>
        <v>-0.59471504604869174</v>
      </c>
    </row>
    <row r="89" spans="1:28" x14ac:dyDescent="0.25">
      <c r="A89" s="3">
        <v>1.2376625032187699E+18</v>
      </c>
      <c r="B89" s="3">
        <v>236.09370999999999</v>
      </c>
      <c r="C89" s="3">
        <v>36.178286</v>
      </c>
      <c r="D89" s="16">
        <v>6.7626790000000006E-2</v>
      </c>
      <c r="E89" s="3">
        <v>1.7988499999999981</v>
      </c>
      <c r="F89" s="3">
        <v>2.6768399999999986</v>
      </c>
      <c r="G89" s="3">
        <v>3.07789</v>
      </c>
      <c r="H89" s="3">
        <v>3.3715099999999989</v>
      </c>
      <c r="I89" s="3">
        <v>0.87799000000000049</v>
      </c>
      <c r="J89" s="3">
        <v>1.279040000000002</v>
      </c>
      <c r="K89" s="3">
        <v>1.5726600000000008</v>
      </c>
      <c r="L89" s="3">
        <v>0.40105000000000146</v>
      </c>
      <c r="M89" s="3">
        <v>0.69467000000000034</v>
      </c>
      <c r="N89" s="3">
        <v>0.29361999999999888</v>
      </c>
      <c r="P89" s="3">
        <f t="shared" si="14"/>
        <v>-0.53121966140485199</v>
      </c>
      <c r="Q89" s="3">
        <f t="shared" si="15"/>
        <v>0.32150733511663476</v>
      </c>
      <c r="R89" s="3">
        <f t="shared" si="16"/>
        <v>-1.0815404282070116</v>
      </c>
      <c r="S89" s="3">
        <f t="shared" si="17"/>
        <v>-6.6040008352214758E-3</v>
      </c>
      <c r="T89" s="3">
        <f t="shared" si="18"/>
        <v>-0.41170053843746796</v>
      </c>
      <c r="U89" s="3">
        <f t="shared" si="19"/>
        <v>-0.62535621689078558</v>
      </c>
      <c r="V89" s="3">
        <f t="shared" si="20"/>
        <v>-0.68292529413802561</v>
      </c>
      <c r="W89" s="3">
        <f t="shared" si="21"/>
        <v>-0.8973488477258309</v>
      </c>
      <c r="X89" s="3">
        <f t="shared" si="22"/>
        <v>-0.97811783163086063</v>
      </c>
      <c r="Y89" s="3">
        <f t="shared" si="23"/>
        <v>-0.96145677682090547</v>
      </c>
      <c r="Z89" s="3">
        <f t="shared" si="24"/>
        <v>-0.92412134674454616</v>
      </c>
      <c r="AA89" s="3">
        <f t="shared" si="25"/>
        <v>-0.87550484046156851</v>
      </c>
      <c r="AB89" s="3">
        <f t="shared" si="26"/>
        <v>-0.66234266804539121</v>
      </c>
    </row>
    <row r="90" spans="1:28" x14ac:dyDescent="0.25">
      <c r="A90" s="3">
        <v>1.2376625032188301E+18</v>
      </c>
      <c r="B90" s="3">
        <v>236.11035000000001</v>
      </c>
      <c r="C90" s="3">
        <v>36.119973000000002</v>
      </c>
      <c r="D90" s="16">
        <v>6.7648449999999999E-2</v>
      </c>
      <c r="E90" s="3">
        <v>1.8811199999999992</v>
      </c>
      <c r="F90" s="3">
        <v>2.781369999999999</v>
      </c>
      <c r="G90" s="3">
        <v>3.2020599999999995</v>
      </c>
      <c r="H90" s="3">
        <v>3.5395499999999984</v>
      </c>
      <c r="I90" s="3">
        <v>0.90024999999999977</v>
      </c>
      <c r="J90" s="3">
        <v>1.3209400000000002</v>
      </c>
      <c r="K90" s="3">
        <v>1.6584299999999992</v>
      </c>
      <c r="L90" s="3">
        <v>0.42069000000000045</v>
      </c>
      <c r="M90" s="3">
        <v>0.75817999999999941</v>
      </c>
      <c r="N90" s="3">
        <v>0.33748999999999896</v>
      </c>
      <c r="P90" s="3">
        <f t="shared" si="14"/>
        <v>-0.48002225846266322</v>
      </c>
      <c r="Q90" s="3">
        <f t="shared" si="15"/>
        <v>0.11507591412338972</v>
      </c>
      <c r="R90" s="3">
        <f t="shared" si="16"/>
        <v>-1.0814555869915587</v>
      </c>
      <c r="S90" s="3">
        <f t="shared" si="17"/>
        <v>7.4379095129068637E-2</v>
      </c>
      <c r="T90" s="3">
        <f t="shared" si="18"/>
        <v>-0.31871903835147825</v>
      </c>
      <c r="U90" s="3">
        <f t="shared" si="19"/>
        <v>-0.52483353361965379</v>
      </c>
      <c r="V90" s="3">
        <f t="shared" si="20"/>
        <v>-0.55430765105454061</v>
      </c>
      <c r="W90" s="3">
        <f t="shared" si="21"/>
        <v>-0.8535561247098401</v>
      </c>
      <c r="X90" s="3">
        <f t="shared" si="22"/>
        <v>-0.92459815513443966</v>
      </c>
      <c r="Y90" s="3">
        <f t="shared" si="23"/>
        <v>-0.86833361437586032</v>
      </c>
      <c r="Z90" s="3">
        <f t="shared" si="24"/>
        <v>-0.86550432426834367</v>
      </c>
      <c r="AA90" s="3">
        <f t="shared" si="25"/>
        <v>-0.74601800124943396</v>
      </c>
      <c r="AB90" s="3">
        <f t="shared" si="26"/>
        <v>-0.41975691358954004</v>
      </c>
    </row>
    <row r="91" spans="1:28" x14ac:dyDescent="0.25">
      <c r="A91" s="3">
        <v>1.23766250321903E+18</v>
      </c>
      <c r="B91" s="3">
        <v>236.61057</v>
      </c>
      <c r="C91" s="3">
        <v>35.901086999999997</v>
      </c>
      <c r="D91" s="16">
        <v>6.7894540000000003E-2</v>
      </c>
      <c r="E91" s="3">
        <v>1.6896699999999996</v>
      </c>
      <c r="F91" s="3">
        <v>2.5334800000000008</v>
      </c>
      <c r="G91" s="3">
        <v>2.9314199999999992</v>
      </c>
      <c r="H91" s="3">
        <v>3.2116299999999995</v>
      </c>
      <c r="I91" s="3">
        <v>0.84381000000000128</v>
      </c>
      <c r="J91" s="3">
        <v>1.2417499999999997</v>
      </c>
      <c r="K91" s="3">
        <v>1.52196</v>
      </c>
      <c r="L91" s="3">
        <v>0.39793999999999841</v>
      </c>
      <c r="M91" s="3">
        <v>0.6781499999999987</v>
      </c>
      <c r="N91" s="3">
        <v>0.28021000000000029</v>
      </c>
      <c r="P91" s="3">
        <f t="shared" si="14"/>
        <v>1.0590381321445677</v>
      </c>
      <c r="Q91" s="3">
        <f t="shared" si="15"/>
        <v>-0.65979329198039083</v>
      </c>
      <c r="R91" s="3">
        <f t="shared" si="16"/>
        <v>-1.0804916638747142</v>
      </c>
      <c r="S91" s="3">
        <f t="shared" si="17"/>
        <v>-0.11407615857657247</v>
      </c>
      <c r="T91" s="3">
        <f t="shared" si="18"/>
        <v>-0.53922209064570692</v>
      </c>
      <c r="U91" s="3">
        <f t="shared" si="19"/>
        <v>-0.74393201957036048</v>
      </c>
      <c r="V91" s="3">
        <f t="shared" si="20"/>
        <v>-0.80529728161831338</v>
      </c>
      <c r="W91" s="3">
        <f t="shared" si="21"/>
        <v>-0.96459212143142747</v>
      </c>
      <c r="X91" s="3">
        <f t="shared" si="22"/>
        <v>-1.0257490663934321</v>
      </c>
      <c r="Y91" s="3">
        <f t="shared" si="23"/>
        <v>-1.0165033471364464</v>
      </c>
      <c r="Z91" s="3">
        <f t="shared" si="24"/>
        <v>-0.93340337016110309</v>
      </c>
      <c r="AA91" s="3">
        <f t="shared" si="25"/>
        <v>-0.90918650608563889</v>
      </c>
      <c r="AB91" s="3">
        <f t="shared" si="26"/>
        <v>-0.73649527728297082</v>
      </c>
    </row>
    <row r="92" spans="1:28" x14ac:dyDescent="0.25">
      <c r="A92" s="3">
        <v>1.2376614659861299E+18</v>
      </c>
      <c r="B92" s="3">
        <v>235.94979000000001</v>
      </c>
      <c r="C92" s="3">
        <v>35.964848000000003</v>
      </c>
      <c r="D92" s="16">
        <v>6.8176280000000006E-2</v>
      </c>
      <c r="E92" s="3">
        <v>1.0882000000000005</v>
      </c>
      <c r="F92" s="3">
        <v>1.5284000000000013</v>
      </c>
      <c r="G92" s="3">
        <v>1.8585700000000003</v>
      </c>
      <c r="H92" s="3">
        <v>1.9844499999999989</v>
      </c>
      <c r="I92" s="3">
        <v>0.44020000000000081</v>
      </c>
      <c r="J92" s="3">
        <v>0.77036999999999978</v>
      </c>
      <c r="K92" s="3">
        <v>0.89624999999999844</v>
      </c>
      <c r="L92" s="3">
        <v>0.33016999999999896</v>
      </c>
      <c r="M92" s="3">
        <v>0.45604999999999762</v>
      </c>
      <c r="N92" s="3">
        <v>0.12587999999999866</v>
      </c>
      <c r="P92" s="3">
        <f t="shared" si="14"/>
        <v>-0.97402796858203167</v>
      </c>
      <c r="Q92" s="3">
        <f t="shared" si="15"/>
        <v>-0.43407563324302434</v>
      </c>
      <c r="R92" s="3">
        <f t="shared" si="16"/>
        <v>-1.0793881013612447</v>
      </c>
      <c r="S92" s="3">
        <f t="shared" si="17"/>
        <v>-0.70613769655689096</v>
      </c>
      <c r="T92" s="3">
        <f t="shared" si="18"/>
        <v>-1.4332606069226239</v>
      </c>
      <c r="U92" s="3">
        <f t="shared" si="19"/>
        <v>-1.6124651656397337</v>
      </c>
      <c r="V92" s="3">
        <f t="shared" si="20"/>
        <v>-1.744579590825595</v>
      </c>
      <c r="W92" s="3">
        <f t="shared" si="21"/>
        <v>-1.7586254069877902</v>
      </c>
      <c r="X92" s="3">
        <f t="shared" si="22"/>
        <v>-1.6278518135744333</v>
      </c>
      <c r="Y92" s="3">
        <f t="shared" si="23"/>
        <v>-1.6958561974744482</v>
      </c>
      <c r="Z92" s="3">
        <f t="shared" si="24"/>
        <v>-1.1356679125853604</v>
      </c>
      <c r="AA92" s="3">
        <f t="shared" si="25"/>
        <v>-1.362013257605331</v>
      </c>
      <c r="AB92" s="3">
        <f t="shared" si="26"/>
        <v>-1.5898861932887114</v>
      </c>
    </row>
    <row r="93" spans="1:28" x14ac:dyDescent="0.25">
      <c r="A93" s="3">
        <v>1.2376625037558999E+18</v>
      </c>
      <c r="B93" s="3">
        <v>236.80717999999999</v>
      </c>
      <c r="C93" s="3">
        <v>36.161382000000003</v>
      </c>
      <c r="D93" s="16">
        <v>6.8195469999999994E-2</v>
      </c>
      <c r="E93" s="3">
        <v>1.9433100000000003</v>
      </c>
      <c r="F93" s="3">
        <v>2.7389499999999991</v>
      </c>
      <c r="G93" s="3">
        <v>3.0961700000000008</v>
      </c>
      <c r="H93" s="3">
        <v>3.3600399999999979</v>
      </c>
      <c r="I93" s="3">
        <v>0.79563999999999879</v>
      </c>
      <c r="J93" s="3">
        <v>1.1528600000000004</v>
      </c>
      <c r="K93" s="3">
        <v>1.4167299999999976</v>
      </c>
      <c r="L93" s="3">
        <v>0.35722000000000165</v>
      </c>
      <c r="M93" s="3">
        <v>0.62108999999999881</v>
      </c>
      <c r="N93" s="3">
        <v>0.26386999999999716</v>
      </c>
      <c r="P93" s="3">
        <f t="shared" si="14"/>
        <v>1.6639612927484733</v>
      </c>
      <c r="Q93" s="3">
        <f t="shared" si="15"/>
        <v>0.26166618922345081</v>
      </c>
      <c r="R93" s="3">
        <f t="shared" si="16"/>
        <v>-1.079312935021238</v>
      </c>
      <c r="S93" s="3">
        <f t="shared" si="17"/>
        <v>0.13559629140984192</v>
      </c>
      <c r="T93" s="3">
        <f t="shared" si="18"/>
        <v>-0.35645246639747136</v>
      </c>
      <c r="U93" s="3">
        <f t="shared" si="19"/>
        <v>-0.6105575163174074</v>
      </c>
      <c r="V93" s="3">
        <f t="shared" si="20"/>
        <v>-0.69170442033516732</v>
      </c>
      <c r="W93" s="3">
        <f t="shared" si="21"/>
        <v>-1.0593583149480696</v>
      </c>
      <c r="X93" s="3">
        <f t="shared" si="22"/>
        <v>-1.139289974359232</v>
      </c>
      <c r="Y93" s="3">
        <f t="shared" si="23"/>
        <v>-1.1307548381483679</v>
      </c>
      <c r="Z93" s="3">
        <f t="shared" si="24"/>
        <v>-1.0549352008755073</v>
      </c>
      <c r="AA93" s="3">
        <f t="shared" si="25"/>
        <v>-1.0255228160438266</v>
      </c>
      <c r="AB93" s="3">
        <f t="shared" si="26"/>
        <v>-0.82684976161872092</v>
      </c>
    </row>
    <row r="94" spans="1:28" x14ac:dyDescent="0.25">
      <c r="A94" s="3">
        <v>1.23766247369074E+18</v>
      </c>
      <c r="B94" s="3">
        <v>235.99565000000001</v>
      </c>
      <c r="C94" s="3">
        <v>36.567264999999999</v>
      </c>
      <c r="D94" s="16">
        <v>6.846621E-2</v>
      </c>
      <c r="E94" s="3">
        <v>1.3670399999999994</v>
      </c>
      <c r="F94" s="3">
        <v>1.9974100000000021</v>
      </c>
      <c r="G94" s="3">
        <v>2.3528400000000005</v>
      </c>
      <c r="H94" s="3">
        <v>2.5597600000000007</v>
      </c>
      <c r="I94" s="3">
        <v>0.63037000000000276</v>
      </c>
      <c r="J94" s="3">
        <v>0.98580000000000112</v>
      </c>
      <c r="K94" s="3">
        <v>1.1927200000000013</v>
      </c>
      <c r="L94" s="3">
        <v>0.35542999999999836</v>
      </c>
      <c r="M94" s="3">
        <v>0.56234999999999857</v>
      </c>
      <c r="N94" s="3">
        <v>0.20692000000000021</v>
      </c>
      <c r="P94" s="3">
        <f t="shared" si="14"/>
        <v>-0.8329274337908259</v>
      </c>
      <c r="Q94" s="3">
        <f t="shared" si="15"/>
        <v>1.6985156815665454</v>
      </c>
      <c r="R94" s="3">
        <f t="shared" si="16"/>
        <v>-1.078252458997611</v>
      </c>
      <c r="S94" s="3">
        <f t="shared" si="17"/>
        <v>-0.43165943621068648</v>
      </c>
      <c r="T94" s="3">
        <f t="shared" si="18"/>
        <v>-1.0160669462000567</v>
      </c>
      <c r="U94" s="3">
        <f t="shared" si="19"/>
        <v>-1.2123254647423951</v>
      </c>
      <c r="V94" s="3">
        <f t="shared" si="20"/>
        <v>-1.3042379088310689</v>
      </c>
      <c r="W94" s="3">
        <f t="shared" si="21"/>
        <v>-1.3844986263969852</v>
      </c>
      <c r="X94" s="3">
        <f t="shared" si="22"/>
        <v>-1.3526789279509364</v>
      </c>
      <c r="Y94" s="3">
        <f t="shared" si="23"/>
        <v>-1.3739694775247768</v>
      </c>
      <c r="Z94" s="3">
        <f t="shared" si="24"/>
        <v>-1.0602775873435624</v>
      </c>
      <c r="AA94" s="3">
        <f t="shared" si="25"/>
        <v>-1.1452843801332757</v>
      </c>
      <c r="AB94" s="3">
        <f t="shared" si="26"/>
        <v>-1.1417633407447743</v>
      </c>
    </row>
    <row r="95" spans="1:28" x14ac:dyDescent="0.25">
      <c r="A95" s="3">
        <v>1.2376624736908001E+18</v>
      </c>
      <c r="B95" s="3">
        <v>236.03367</v>
      </c>
      <c r="C95" s="3">
        <v>36.556773</v>
      </c>
      <c r="D95" s="16">
        <v>6.8495280000000006E-2</v>
      </c>
      <c r="E95" s="3">
        <v>1.7509900000000016</v>
      </c>
      <c r="F95" s="3">
        <v>2.5737000000000005</v>
      </c>
      <c r="G95" s="3">
        <v>2.9553600000000007</v>
      </c>
      <c r="H95" s="3">
        <v>3.2679700000000018</v>
      </c>
      <c r="I95" s="3">
        <v>0.82270999999999894</v>
      </c>
      <c r="J95" s="3">
        <v>1.2043699999999991</v>
      </c>
      <c r="K95" s="3">
        <v>1.5169800000000002</v>
      </c>
      <c r="L95" s="3">
        <v>0.38166000000000011</v>
      </c>
      <c r="M95" s="3">
        <v>0.69427000000000127</v>
      </c>
      <c r="N95" s="3">
        <v>0.31261000000000116</v>
      </c>
      <c r="P95" s="3">
        <f t="shared" si="14"/>
        <v>-0.71594875230893484</v>
      </c>
      <c r="Q95" s="3">
        <f t="shared" si="15"/>
        <v>1.6613733896408849</v>
      </c>
      <c r="R95" s="3">
        <f t="shared" si="16"/>
        <v>-1.0781385931558185</v>
      </c>
      <c r="S95" s="3">
        <f t="shared" si="17"/>
        <v>-5.3715353367743447E-2</v>
      </c>
      <c r="T95" s="3">
        <f t="shared" si="18"/>
        <v>-0.50344560606273114</v>
      </c>
      <c r="U95" s="3">
        <f t="shared" si="19"/>
        <v>-0.72455122680631878</v>
      </c>
      <c r="V95" s="3">
        <f t="shared" si="20"/>
        <v>-0.76217470359329631</v>
      </c>
      <c r="W95" s="3">
        <f t="shared" si="21"/>
        <v>-1.0061027438769592</v>
      </c>
      <c r="X95" s="3">
        <f t="shared" si="22"/>
        <v>-1.0734952598883325</v>
      </c>
      <c r="Y95" s="3">
        <f t="shared" si="23"/>
        <v>-1.0219102883627063</v>
      </c>
      <c r="Z95" s="3">
        <f t="shared" si="24"/>
        <v>-0.9819922258592968</v>
      </c>
      <c r="AA95" s="3">
        <f t="shared" si="25"/>
        <v>-0.87632037715948596</v>
      </c>
      <c r="AB95" s="3">
        <f t="shared" si="26"/>
        <v>-0.55733461066866086</v>
      </c>
    </row>
    <row r="96" spans="1:28" x14ac:dyDescent="0.25">
      <c r="A96" s="3">
        <v>1.2376624731539999E+18</v>
      </c>
      <c r="B96" s="3">
        <v>235.94121000000001</v>
      </c>
      <c r="C96" s="3">
        <v>36.107756999999999</v>
      </c>
      <c r="D96" s="16">
        <v>6.8518010000000004E-2</v>
      </c>
      <c r="E96" s="3">
        <v>1.8187500000000014</v>
      </c>
      <c r="F96" s="3">
        <v>2.6358999999999995</v>
      </c>
      <c r="G96" s="3">
        <v>3.0136400000000005</v>
      </c>
      <c r="H96" s="3">
        <v>3.3060799999999997</v>
      </c>
      <c r="I96" s="3">
        <v>0.81714999999999804</v>
      </c>
      <c r="J96" s="3">
        <v>1.1948899999999991</v>
      </c>
      <c r="K96" s="3">
        <v>1.4873299999999983</v>
      </c>
      <c r="L96" s="3">
        <v>0.37774000000000107</v>
      </c>
      <c r="M96" s="3">
        <v>0.67018000000000022</v>
      </c>
      <c r="N96" s="3">
        <v>0.29243999999999915</v>
      </c>
      <c r="P96" s="3">
        <f t="shared" si="14"/>
        <v>-1.0004266294740445</v>
      </c>
      <c r="Q96" s="3">
        <f t="shared" si="15"/>
        <v>7.1830561648744018E-2</v>
      </c>
      <c r="R96" s="3">
        <f t="shared" si="16"/>
        <v>-1.0780495607999898</v>
      </c>
      <c r="S96" s="3">
        <f t="shared" si="17"/>
        <v>1.298471448858577E-2</v>
      </c>
      <c r="T96" s="3">
        <f t="shared" si="18"/>
        <v>-0.44811747724470341</v>
      </c>
      <c r="U96" s="3">
        <f t="shared" si="19"/>
        <v>-0.67737024926712597</v>
      </c>
      <c r="V96" s="3">
        <f t="shared" si="20"/>
        <v>-0.73300534880924872</v>
      </c>
      <c r="W96" s="3">
        <f t="shared" si="21"/>
        <v>-1.0170410879905691</v>
      </c>
      <c r="X96" s="3">
        <f t="shared" si="22"/>
        <v>-1.0856042463605542</v>
      </c>
      <c r="Y96" s="3">
        <f t="shared" si="23"/>
        <v>-1.0541022175511852</v>
      </c>
      <c r="Z96" s="3">
        <f t="shared" si="24"/>
        <v>-0.99369175376696839</v>
      </c>
      <c r="AA96" s="3">
        <f t="shared" si="25"/>
        <v>-0.92543607479167778</v>
      </c>
      <c r="AB96" s="3">
        <f t="shared" si="26"/>
        <v>-0.66886765528628112</v>
      </c>
    </row>
    <row r="97" spans="1:28" x14ac:dyDescent="0.25">
      <c r="A97" s="3">
        <v>1.2376625032187699E+18</v>
      </c>
      <c r="B97" s="3">
        <v>236.0421</v>
      </c>
      <c r="C97" s="3">
        <v>36.258574000000003</v>
      </c>
      <c r="D97" s="16">
        <v>6.8584859999999997E-2</v>
      </c>
      <c r="E97" s="3">
        <v>1.6225700000000032</v>
      </c>
      <c r="F97" s="3">
        <v>2.4696700000000007</v>
      </c>
      <c r="G97" s="3">
        <v>2.8996500000000012</v>
      </c>
      <c r="H97" s="3">
        <v>3.2720800000000025</v>
      </c>
      <c r="I97" s="3">
        <v>0.84709999999999752</v>
      </c>
      <c r="J97" s="3">
        <v>1.277079999999998</v>
      </c>
      <c r="K97" s="3">
        <v>1.6495099999999994</v>
      </c>
      <c r="L97" s="3">
        <v>0.42998000000000047</v>
      </c>
      <c r="M97" s="3">
        <v>0.80241000000000184</v>
      </c>
      <c r="N97" s="3">
        <v>0.37243000000000137</v>
      </c>
      <c r="P97" s="3">
        <f t="shared" si="14"/>
        <v>-0.69001160646745352</v>
      </c>
      <c r="Q97" s="3">
        <f t="shared" si="15"/>
        <v>0.60573153775938626</v>
      </c>
      <c r="R97" s="3">
        <f t="shared" si="16"/>
        <v>-1.0777877124503576</v>
      </c>
      <c r="S97" s="3">
        <f t="shared" si="17"/>
        <v>-0.18012655044728471</v>
      </c>
      <c r="T97" s="3">
        <f t="shared" si="18"/>
        <v>-0.59598234627076185</v>
      </c>
      <c r="U97" s="3">
        <f t="shared" si="19"/>
        <v>-0.76965164305045775</v>
      </c>
      <c r="V97" s="3">
        <f t="shared" si="20"/>
        <v>-0.75902891382256787</v>
      </c>
      <c r="W97" s="3">
        <f t="shared" si="21"/>
        <v>-0.95811961205485741</v>
      </c>
      <c r="X97" s="3">
        <f t="shared" si="22"/>
        <v>-0.98062137735719002</v>
      </c>
      <c r="Y97" s="3">
        <f t="shared" si="23"/>
        <v>-0.87801833641165139</v>
      </c>
      <c r="Z97" s="3">
        <f t="shared" si="24"/>
        <v>-0.83777763695653351</v>
      </c>
      <c r="AA97" s="3">
        <f t="shared" si="25"/>
        <v>-0.65584003087700271</v>
      </c>
      <c r="AB97" s="3">
        <f t="shared" si="26"/>
        <v>-0.22655093545669278</v>
      </c>
    </row>
    <row r="98" spans="1:28" x14ac:dyDescent="0.25">
      <c r="A98" s="3">
        <v>1.2376625032188301E+18</v>
      </c>
      <c r="B98" s="3">
        <v>236.21589</v>
      </c>
      <c r="C98" s="3">
        <v>36.166634999999999</v>
      </c>
      <c r="D98" s="16">
        <v>6.8595450000000002E-2</v>
      </c>
      <c r="E98" s="3">
        <v>1.8478600000000007</v>
      </c>
      <c r="F98" s="3">
        <v>2.7456099999999992</v>
      </c>
      <c r="G98" s="3">
        <v>3.1833299999999998</v>
      </c>
      <c r="H98" s="3">
        <v>3.5115099999999995</v>
      </c>
      <c r="I98" s="3">
        <v>0.89774999999999849</v>
      </c>
      <c r="J98" s="3">
        <v>1.335469999999999</v>
      </c>
      <c r="K98" s="3">
        <v>1.6636499999999987</v>
      </c>
      <c r="L98" s="3">
        <v>0.43772000000000055</v>
      </c>
      <c r="M98" s="3">
        <v>0.76590000000000025</v>
      </c>
      <c r="N98" s="3">
        <v>0.32817999999999969</v>
      </c>
      <c r="P98" s="3">
        <f t="shared" si="14"/>
        <v>-0.15530026888872026</v>
      </c>
      <c r="Q98" s="3">
        <f t="shared" si="15"/>
        <v>0.28026211559453029</v>
      </c>
      <c r="R98" s="3">
        <f t="shared" si="16"/>
        <v>-1.0777462319115001</v>
      </c>
      <c r="S98" s="3">
        <f t="shared" si="17"/>
        <v>4.1639362884360598E-2</v>
      </c>
      <c r="T98" s="3">
        <f t="shared" si="18"/>
        <v>-0.35052826482306493</v>
      </c>
      <c r="U98" s="3">
        <f t="shared" si="19"/>
        <v>-0.53999653480889653</v>
      </c>
      <c r="V98" s="3">
        <f t="shared" si="20"/>
        <v>-0.57576943820082005</v>
      </c>
      <c r="W98" s="3">
        <f t="shared" si="21"/>
        <v>-0.85847444490481029</v>
      </c>
      <c r="X98" s="3">
        <f t="shared" si="22"/>
        <v>-0.90603870645918994</v>
      </c>
      <c r="Y98" s="3">
        <f t="shared" si="23"/>
        <v>-0.86266609766881708</v>
      </c>
      <c r="Z98" s="3">
        <f t="shared" si="24"/>
        <v>-0.814677038485768</v>
      </c>
      <c r="AA98" s="3">
        <f t="shared" si="25"/>
        <v>-0.73027814297958982</v>
      </c>
      <c r="AB98" s="3">
        <f t="shared" si="26"/>
        <v>-0.47123795699012794</v>
      </c>
    </row>
    <row r="99" spans="1:28" x14ac:dyDescent="0.25">
      <c r="A99" s="3">
        <v>1.23766247369074E+18</v>
      </c>
      <c r="B99" s="3">
        <v>236.01264</v>
      </c>
      <c r="C99" s="3">
        <v>36.597296999999998</v>
      </c>
      <c r="D99" s="16">
        <v>6.8684869999999995E-2</v>
      </c>
      <c r="E99" s="3">
        <v>1.8165699999999987</v>
      </c>
      <c r="F99" s="3">
        <v>2.6432899999999986</v>
      </c>
      <c r="G99" s="3">
        <v>3.0209599999999988</v>
      </c>
      <c r="H99" s="3">
        <v>3.3230299999999975</v>
      </c>
      <c r="I99" s="3">
        <v>0.8267199999999999</v>
      </c>
      <c r="J99" s="3">
        <v>1.2043900000000001</v>
      </c>
      <c r="K99" s="3">
        <v>1.5064599999999988</v>
      </c>
      <c r="L99" s="3">
        <v>0.37767000000000017</v>
      </c>
      <c r="M99" s="3">
        <v>0.6797399999999989</v>
      </c>
      <c r="N99" s="3">
        <v>0.30206999999999873</v>
      </c>
      <c r="P99" s="3">
        <f t="shared" si="14"/>
        <v>-0.78065316239742599</v>
      </c>
      <c r="Q99" s="3">
        <f t="shared" si="15"/>
        <v>1.8048307131250145</v>
      </c>
      <c r="R99" s="3">
        <f t="shared" si="16"/>
        <v>-1.0773959779186186</v>
      </c>
      <c r="S99" s="3">
        <f t="shared" si="17"/>
        <v>1.0838815020950285E-2</v>
      </c>
      <c r="T99" s="3">
        <f t="shared" si="18"/>
        <v>-0.4415439262484786</v>
      </c>
      <c r="U99" s="3">
        <f t="shared" si="19"/>
        <v>-0.67144429258238325</v>
      </c>
      <c r="V99" s="3">
        <f t="shared" si="20"/>
        <v>-0.72003183625113887</v>
      </c>
      <c r="W99" s="3">
        <f t="shared" si="21"/>
        <v>-0.9982137582842292</v>
      </c>
      <c r="X99" s="3">
        <f t="shared" si="22"/>
        <v>-1.0734697135033688</v>
      </c>
      <c r="Y99" s="3">
        <f t="shared" si="23"/>
        <v>-1.0333321802703901</v>
      </c>
      <c r="Z99" s="3">
        <f t="shared" si="24"/>
        <v>-0.9939006739081796</v>
      </c>
      <c r="AA99" s="3">
        <f t="shared" si="25"/>
        <v>-0.90594474771140932</v>
      </c>
      <c r="AB99" s="3">
        <f t="shared" si="26"/>
        <v>-0.61561712382036493</v>
      </c>
    </row>
    <row r="100" spans="1:28" x14ac:dyDescent="0.25">
      <c r="A100" s="3">
        <v>1.23766247315426E+18</v>
      </c>
      <c r="B100" s="3">
        <v>236.56117</v>
      </c>
      <c r="C100" s="3">
        <v>35.739919</v>
      </c>
      <c r="D100" s="16">
        <v>6.869741E-2</v>
      </c>
      <c r="E100" s="3">
        <v>1.275500000000001</v>
      </c>
      <c r="F100" s="3">
        <v>1.9152900000000024</v>
      </c>
      <c r="G100" s="3">
        <v>2.2789800000000007</v>
      </c>
      <c r="H100" s="3">
        <v>2.5149800000000013</v>
      </c>
      <c r="I100" s="3">
        <v>0.63979000000000141</v>
      </c>
      <c r="J100" s="3">
        <v>1.0034799999999997</v>
      </c>
      <c r="K100" s="3">
        <v>1.2394800000000004</v>
      </c>
      <c r="L100" s="3">
        <v>0.36368999999999829</v>
      </c>
      <c r="M100" s="3">
        <v>0.59968999999999895</v>
      </c>
      <c r="N100" s="3">
        <v>0.23600000000000065</v>
      </c>
      <c r="P100" s="3">
        <f t="shared" si="14"/>
        <v>0.90704584216018802</v>
      </c>
      <c r="Q100" s="3">
        <f t="shared" si="15"/>
        <v>-1.2303374117931181</v>
      </c>
      <c r="R100" s="3">
        <f t="shared" si="16"/>
        <v>-1.0773468593201985</v>
      </c>
      <c r="S100" s="3">
        <f t="shared" si="17"/>
        <v>-0.521767526700183</v>
      </c>
      <c r="T100" s="3">
        <f t="shared" si="18"/>
        <v>-1.0891143085559492</v>
      </c>
      <c r="U100" s="3">
        <f t="shared" si="19"/>
        <v>-1.2721193391597729</v>
      </c>
      <c r="V100" s="3">
        <f t="shared" si="20"/>
        <v>-1.3385124747515544</v>
      </c>
      <c r="W100" s="3">
        <f t="shared" si="21"/>
        <v>-1.3659663959023496</v>
      </c>
      <c r="X100" s="3">
        <f t="shared" si="22"/>
        <v>-1.3300959236440943</v>
      </c>
      <c r="Y100" s="3">
        <f t="shared" si="23"/>
        <v>-1.323200688018769</v>
      </c>
      <c r="Z100" s="3">
        <f t="shared" si="24"/>
        <v>-1.0356250106809628</v>
      </c>
      <c r="AA100" s="3">
        <f t="shared" si="25"/>
        <v>-1.0691540293825086</v>
      </c>
      <c r="AB100" s="3">
        <f t="shared" si="26"/>
        <v>-0.98096111280822895</v>
      </c>
    </row>
    <row r="101" spans="1:28" x14ac:dyDescent="0.25">
      <c r="A101" s="3">
        <v>1.2376614659863301E+18</v>
      </c>
      <c r="B101" s="3">
        <v>236.32719</v>
      </c>
      <c r="C101" s="3">
        <v>35.705584000000002</v>
      </c>
      <c r="D101" s="16">
        <v>6.8698999999999996E-2</v>
      </c>
      <c r="E101" s="3">
        <v>1.5968499999999999</v>
      </c>
      <c r="F101" s="3">
        <v>2.3666499999999999</v>
      </c>
      <c r="G101" s="3">
        <v>2.7378499999999981</v>
      </c>
      <c r="H101" s="3">
        <v>3.0450099999999978</v>
      </c>
      <c r="I101" s="3">
        <v>0.76980000000000004</v>
      </c>
      <c r="J101" s="3">
        <v>1.1409999999999982</v>
      </c>
      <c r="K101" s="3">
        <v>1.4481599999999979</v>
      </c>
      <c r="L101" s="3">
        <v>0.3711999999999982</v>
      </c>
      <c r="M101" s="3">
        <v>0.67835999999999785</v>
      </c>
      <c r="N101" s="3">
        <v>0.30715999999999966</v>
      </c>
      <c r="P101" s="3">
        <f t="shared" si="14"/>
        <v>0.18714389862675299</v>
      </c>
      <c r="Q101" s="3">
        <f t="shared" si="15"/>
        <v>-1.351885314315763</v>
      </c>
      <c r="R101" s="3">
        <f t="shared" si="16"/>
        <v>-1.0773406313639393</v>
      </c>
      <c r="S101" s="3">
        <f t="shared" si="17"/>
        <v>-0.20544422673513907</v>
      </c>
      <c r="T101" s="3">
        <f t="shared" si="18"/>
        <v>-0.68762067152531747</v>
      </c>
      <c r="U101" s="3">
        <f t="shared" si="19"/>
        <v>-0.90063795337718311</v>
      </c>
      <c r="V101" s="3">
        <f t="shared" si="20"/>
        <v>-0.9328280581630084</v>
      </c>
      <c r="W101" s="3">
        <f t="shared" si="21"/>
        <v>-1.1101940724832531</v>
      </c>
      <c r="X101" s="3">
        <f t="shared" si="22"/>
        <v>-1.1544389806419932</v>
      </c>
      <c r="Y101" s="3">
        <f t="shared" si="23"/>
        <v>-1.0966303074774124</v>
      </c>
      <c r="Z101" s="3">
        <f t="shared" si="24"/>
        <v>-1.01321086410274</v>
      </c>
      <c r="AA101" s="3">
        <f t="shared" si="25"/>
        <v>-0.90875834931923294</v>
      </c>
      <c r="AB101" s="3">
        <f t="shared" si="26"/>
        <v>-0.58747120428126065</v>
      </c>
    </row>
    <row r="102" spans="1:28" x14ac:dyDescent="0.25">
      <c r="A102" s="3">
        <v>1.2376625032189E+18</v>
      </c>
      <c r="B102" s="3">
        <v>236.34595999999999</v>
      </c>
      <c r="C102" s="3">
        <v>36.106417999999998</v>
      </c>
      <c r="D102" s="16">
        <v>6.8745210000000001E-2</v>
      </c>
      <c r="E102" s="3">
        <v>1.9429799999999986</v>
      </c>
      <c r="F102" s="3">
        <v>2.8477899999999998</v>
      </c>
      <c r="G102" s="3">
        <v>3.2625100000000007</v>
      </c>
      <c r="H102" s="3">
        <v>3.5661400000000008</v>
      </c>
      <c r="I102" s="3">
        <v>0.90481000000000122</v>
      </c>
      <c r="J102" s="3">
        <v>1.3195300000000021</v>
      </c>
      <c r="K102" s="3">
        <v>1.6231600000000022</v>
      </c>
      <c r="L102" s="3">
        <v>0.41472000000000087</v>
      </c>
      <c r="M102" s="3">
        <v>0.71835000000000093</v>
      </c>
      <c r="N102" s="3">
        <v>0.30363000000000007</v>
      </c>
      <c r="P102" s="3">
        <f t="shared" si="14"/>
        <v>0.24489481528678683</v>
      </c>
      <c r="Q102" s="3">
        <f t="shared" si="15"/>
        <v>6.7090423554146253E-2</v>
      </c>
      <c r="R102" s="3">
        <f t="shared" si="16"/>
        <v>-1.0771596289370657</v>
      </c>
      <c r="S102" s="3">
        <f t="shared" si="17"/>
        <v>0.13527145341703342</v>
      </c>
      <c r="T102" s="3">
        <f t="shared" si="18"/>
        <v>-0.25963713616347972</v>
      </c>
      <c r="U102" s="3">
        <f t="shared" si="19"/>
        <v>-0.47589581755506438</v>
      </c>
      <c r="V102" s="3">
        <f t="shared" si="20"/>
        <v>-0.53395569241617968</v>
      </c>
      <c r="W102" s="3">
        <f t="shared" si="21"/>
        <v>-0.84458510867421621</v>
      </c>
      <c r="X102" s="3">
        <f t="shared" si="22"/>
        <v>-0.92639917527429305</v>
      </c>
      <c r="Y102" s="3">
        <f t="shared" si="23"/>
        <v>-0.90662735273935025</v>
      </c>
      <c r="Z102" s="3">
        <f t="shared" si="24"/>
        <v>-0.88332222773997926</v>
      </c>
      <c r="AA102" s="3">
        <f t="shared" si="25"/>
        <v>-0.82722506794474493</v>
      </c>
      <c r="AB102" s="3">
        <f t="shared" si="26"/>
        <v>-0.60699086950189107</v>
      </c>
    </row>
    <row r="103" spans="1:28" x14ac:dyDescent="0.25">
      <c r="A103" s="3">
        <v>1.2376624736910001E+18</v>
      </c>
      <c r="B103" s="3">
        <v>236.36196000000001</v>
      </c>
      <c r="C103" s="3">
        <v>36.155037</v>
      </c>
      <c r="D103" s="16">
        <v>6.8889779999999998E-2</v>
      </c>
      <c r="E103" s="3">
        <v>1.8213399999999993</v>
      </c>
      <c r="F103" s="3">
        <v>2.6524799999999971</v>
      </c>
      <c r="G103" s="3">
        <v>3.040619999999997</v>
      </c>
      <c r="H103" s="3">
        <v>3.3378999999999976</v>
      </c>
      <c r="I103" s="3">
        <v>0.83113999999999777</v>
      </c>
      <c r="J103" s="3">
        <v>1.2192799999999977</v>
      </c>
      <c r="K103" s="3">
        <v>1.5165599999999984</v>
      </c>
      <c r="L103" s="3">
        <v>0.38813999999999993</v>
      </c>
      <c r="M103" s="3">
        <v>0.68542000000000058</v>
      </c>
      <c r="N103" s="3">
        <v>0.29728000000000065</v>
      </c>
      <c r="P103" s="3">
        <f t="shared" si="14"/>
        <v>0.29412308734657366</v>
      </c>
      <c r="Q103" s="3">
        <f t="shared" si="15"/>
        <v>0.23920451916355287</v>
      </c>
      <c r="R103" s="3">
        <f t="shared" si="16"/>
        <v>-1.0765933549519293</v>
      </c>
      <c r="S103" s="3">
        <f t="shared" si="17"/>
        <v>1.5534200553340068E-2</v>
      </c>
      <c r="T103" s="3">
        <f t="shared" si="18"/>
        <v>-0.43336923969160401</v>
      </c>
      <c r="U103" s="3">
        <f t="shared" si="19"/>
        <v>-0.65552840345368646</v>
      </c>
      <c r="V103" s="3">
        <f t="shared" si="20"/>
        <v>-0.70865035355266559</v>
      </c>
      <c r="W103" s="3">
        <f t="shared" si="21"/>
        <v>-0.98951816817953053</v>
      </c>
      <c r="X103" s="3">
        <f t="shared" si="22"/>
        <v>-1.0544504298987956</v>
      </c>
      <c r="Y103" s="3">
        <f t="shared" si="23"/>
        <v>-1.0223662954540798</v>
      </c>
      <c r="Z103" s="3">
        <f t="shared" si="24"/>
        <v>-0.96265218993028456</v>
      </c>
      <c r="AA103" s="3">
        <f t="shared" si="25"/>
        <v>-0.89436412660095177</v>
      </c>
      <c r="AB103" s="3">
        <f t="shared" si="26"/>
        <v>-0.64210414829820994</v>
      </c>
    </row>
    <row r="104" spans="1:28" x14ac:dyDescent="0.25">
      <c r="A104" s="3">
        <v>1.23766247315406E+18</v>
      </c>
      <c r="B104" s="3">
        <v>236.03241</v>
      </c>
      <c r="C104" s="3">
        <v>36.017156</v>
      </c>
      <c r="D104" s="16">
        <v>6.8977289999999997E-2</v>
      </c>
      <c r="E104" s="3">
        <v>1.7911199999999994</v>
      </c>
      <c r="F104" s="3">
        <v>2.6652400000000007</v>
      </c>
      <c r="G104" s="3">
        <v>3.1387599999999978</v>
      </c>
      <c r="H104" s="3">
        <v>3.4508799999999979</v>
      </c>
      <c r="I104" s="3">
        <v>0.87412000000000134</v>
      </c>
      <c r="J104" s="3">
        <v>1.3476399999999984</v>
      </c>
      <c r="K104" s="3">
        <v>1.6597599999999986</v>
      </c>
      <c r="L104" s="3">
        <v>0.47351999999999705</v>
      </c>
      <c r="M104" s="3">
        <v>0.78563999999999723</v>
      </c>
      <c r="N104" s="3">
        <v>0.31212000000000018</v>
      </c>
      <c r="P104" s="3">
        <f t="shared" si="14"/>
        <v>-0.71982547873364455</v>
      </c>
      <c r="Q104" s="3">
        <f t="shared" si="15"/>
        <v>-0.24890226247982833</v>
      </c>
      <c r="R104" s="3">
        <f t="shared" si="16"/>
        <v>-1.076250582340466</v>
      </c>
      <c r="S104" s="3">
        <f t="shared" si="17"/>
        <v>-1.4213084727330955E-2</v>
      </c>
      <c r="T104" s="3">
        <f t="shared" si="18"/>
        <v>-0.42201896760610164</v>
      </c>
      <c r="U104" s="3">
        <f t="shared" si="19"/>
        <v>-0.57607848691805796</v>
      </c>
      <c r="V104" s="3">
        <f t="shared" si="20"/>
        <v>-0.62217557781134081</v>
      </c>
      <c r="W104" s="3">
        <f t="shared" si="21"/>
        <v>-0.90496240738763922</v>
      </c>
      <c r="X104" s="3">
        <f t="shared" si="22"/>
        <v>-0.89049373120951369</v>
      </c>
      <c r="Y104" s="3">
        <f t="shared" si="23"/>
        <v>-0.86688959191985182</v>
      </c>
      <c r="Z104" s="3">
        <f t="shared" si="24"/>
        <v>-0.7078293091248743</v>
      </c>
      <c r="AA104" s="3">
        <f t="shared" si="25"/>
        <v>-0.6900314069372786</v>
      </c>
      <c r="AB104" s="3">
        <f t="shared" si="26"/>
        <v>-0.56004413926869756</v>
      </c>
    </row>
    <row r="105" spans="1:28" x14ac:dyDescent="0.25">
      <c r="A105" s="3">
        <v>1.2376614659861299E+18</v>
      </c>
      <c r="B105" s="3">
        <v>235.89382000000001</v>
      </c>
      <c r="C105" s="3">
        <v>35.877684000000002</v>
      </c>
      <c r="D105" s="16">
        <v>6.9098850000000003E-2</v>
      </c>
      <c r="E105" s="3">
        <v>1.4157999999999973</v>
      </c>
      <c r="F105" s="3">
        <v>2.083319999999997</v>
      </c>
      <c r="G105" s="3">
        <v>2.4720899999999979</v>
      </c>
      <c r="H105" s="3">
        <v>2.7341799999999985</v>
      </c>
      <c r="I105" s="3">
        <v>0.66751999999999967</v>
      </c>
      <c r="J105" s="3">
        <v>1.0562900000000006</v>
      </c>
      <c r="K105" s="3">
        <v>1.3183800000000012</v>
      </c>
      <c r="L105" s="3">
        <v>0.38877000000000095</v>
      </c>
      <c r="M105" s="3">
        <v>0.65086000000000155</v>
      </c>
      <c r="N105" s="3">
        <v>0.2620900000000006</v>
      </c>
      <c r="P105" s="3">
        <f t="shared" si="14"/>
        <v>-1.1462346177809692</v>
      </c>
      <c r="Q105" s="3">
        <f t="shared" si="15"/>
        <v>-0.74264127691520754</v>
      </c>
      <c r="R105" s="3">
        <f t="shared" si="16"/>
        <v>-1.0757744374581726</v>
      </c>
      <c r="S105" s="3">
        <f t="shared" si="17"/>
        <v>-0.38366216187959906</v>
      </c>
      <c r="T105" s="3">
        <f t="shared" si="18"/>
        <v>-0.93964830396924393</v>
      </c>
      <c r="U105" s="3">
        <f t="shared" si="19"/>
        <v>-1.1157858015380604</v>
      </c>
      <c r="V105" s="3">
        <f t="shared" si="20"/>
        <v>-1.1707370203127325</v>
      </c>
      <c r="W105" s="3">
        <f t="shared" si="21"/>
        <v>-1.3114123882997715</v>
      </c>
      <c r="X105" s="3">
        <f t="shared" si="22"/>
        <v>-1.2626406941506298</v>
      </c>
      <c r="Y105" s="3">
        <f t="shared" si="23"/>
        <v>-1.2375364987111523</v>
      </c>
      <c r="Z105" s="3">
        <f t="shared" si="24"/>
        <v>-0.96077190865940532</v>
      </c>
      <c r="AA105" s="3">
        <f t="shared" si="25"/>
        <v>-0.9648264973011772</v>
      </c>
      <c r="AB105" s="3">
        <f t="shared" si="26"/>
        <v>-0.8366925389820804</v>
      </c>
    </row>
    <row r="106" spans="1:28" x14ac:dyDescent="0.25">
      <c r="A106" s="3">
        <v>1.2376625032189E+18</v>
      </c>
      <c r="B106" s="3">
        <v>236.28028</v>
      </c>
      <c r="C106" s="3">
        <v>36.090775999999998</v>
      </c>
      <c r="D106" s="16">
        <v>6.9101659999999995E-2</v>
      </c>
      <c r="E106" s="3">
        <v>1.8897899999999979</v>
      </c>
      <c r="F106" s="3">
        <v>2.8221600000000002</v>
      </c>
      <c r="G106" s="3">
        <v>3.2669999999999995</v>
      </c>
      <c r="H106" s="3">
        <v>3.6051099999999998</v>
      </c>
      <c r="I106" s="3">
        <v>0.93237000000000236</v>
      </c>
      <c r="J106" s="3">
        <v>1.3772100000000016</v>
      </c>
      <c r="K106" s="3">
        <v>1.715320000000002</v>
      </c>
      <c r="L106" s="3">
        <v>0.44483999999999924</v>
      </c>
      <c r="M106" s="3">
        <v>0.78294999999999959</v>
      </c>
      <c r="N106" s="3">
        <v>0.33811000000000035</v>
      </c>
      <c r="P106" s="3">
        <f t="shared" si="14"/>
        <v>4.2812758481651503E-2</v>
      </c>
      <c r="Q106" s="3">
        <f t="shared" si="15"/>
        <v>1.1716831264667493E-2</v>
      </c>
      <c r="R106" s="3">
        <f t="shared" si="16"/>
        <v>-1.0757634308184945</v>
      </c>
      <c r="S106" s="3">
        <f t="shared" si="17"/>
        <v>8.2913475121900448E-2</v>
      </c>
      <c r="T106" s="3">
        <f t="shared" si="18"/>
        <v>-0.28243552750762846</v>
      </c>
      <c r="U106" s="3">
        <f t="shared" si="19"/>
        <v>-0.47226090696565265</v>
      </c>
      <c r="V106" s="3">
        <f t="shared" si="20"/>
        <v>-0.5041280945170884</v>
      </c>
      <c r="W106" s="3">
        <f t="shared" si="21"/>
        <v>-0.79036554684489024</v>
      </c>
      <c r="X106" s="3">
        <f t="shared" si="22"/>
        <v>-0.85272340104246347</v>
      </c>
      <c r="Y106" s="3">
        <f t="shared" si="23"/>
        <v>-0.80656636811843962</v>
      </c>
      <c r="Z106" s="3">
        <f t="shared" si="24"/>
        <v>-0.79342687555142455</v>
      </c>
      <c r="AA106" s="3">
        <f t="shared" si="25"/>
        <v>-0.69551589123078106</v>
      </c>
      <c r="AB106" s="3">
        <f t="shared" si="26"/>
        <v>-0.41632853046296231</v>
      </c>
    </row>
    <row r="107" spans="1:28" x14ac:dyDescent="0.25">
      <c r="A107" s="3">
        <v>1.2376623378635799E+18</v>
      </c>
      <c r="B107" s="3">
        <v>235.88793999999999</v>
      </c>
      <c r="C107" s="3">
        <v>35.759864999999998</v>
      </c>
      <c r="D107" s="16">
        <v>6.9166039999999998E-2</v>
      </c>
      <c r="E107" s="3">
        <v>1.9090199999999982</v>
      </c>
      <c r="F107" s="3">
        <v>2.7794199999999982</v>
      </c>
      <c r="G107" s="3">
        <v>3.1769099999999995</v>
      </c>
      <c r="H107" s="3">
        <v>3.4670599999999983</v>
      </c>
      <c r="I107" s="3">
        <v>0.87040000000000006</v>
      </c>
      <c r="J107" s="3">
        <v>1.2678900000000013</v>
      </c>
      <c r="K107" s="3">
        <v>1.5580400000000001</v>
      </c>
      <c r="L107" s="3">
        <v>0.39749000000000123</v>
      </c>
      <c r="M107" s="3">
        <v>0.68764000000000003</v>
      </c>
      <c r="N107" s="3">
        <v>0.2901499999999988</v>
      </c>
      <c r="P107" s="3">
        <f t="shared" si="14"/>
        <v>-1.1643260077629773</v>
      </c>
      <c r="Q107" s="3">
        <f t="shared" si="15"/>
        <v>-1.1597274084811491</v>
      </c>
      <c r="R107" s="3">
        <f t="shared" si="16"/>
        <v>-1.0755112573443086</v>
      </c>
      <c r="S107" s="3">
        <f t="shared" si="17"/>
        <v>0.1018426708845515</v>
      </c>
      <c r="T107" s="3">
        <f t="shared" si="18"/>
        <v>-0.3204536018755168</v>
      </c>
      <c r="U107" s="3">
        <f t="shared" si="19"/>
        <v>-0.54519389026191023</v>
      </c>
      <c r="V107" s="3">
        <f t="shared" si="20"/>
        <v>-0.60979142246088358</v>
      </c>
      <c r="W107" s="3">
        <f t="shared" si="21"/>
        <v>-0.91228086783775364</v>
      </c>
      <c r="X107" s="3">
        <f t="shared" si="22"/>
        <v>-0.99235994124745142</v>
      </c>
      <c r="Y107" s="3">
        <f t="shared" si="23"/>
        <v>-0.97733016652530857</v>
      </c>
      <c r="Z107" s="3">
        <f t="shared" si="24"/>
        <v>-0.93474642821172049</v>
      </c>
      <c r="AA107" s="3">
        <f t="shared" si="25"/>
        <v>-0.88983789792750079</v>
      </c>
      <c r="AB107" s="3">
        <f t="shared" si="26"/>
        <v>-0.68153055425377562</v>
      </c>
    </row>
    <row r="108" spans="1:28" x14ac:dyDescent="0.25">
      <c r="A108" s="3">
        <v>1.2376614659863301E+18</v>
      </c>
      <c r="B108" s="3">
        <v>236.30957000000001</v>
      </c>
      <c r="C108" s="3">
        <v>35.697831999999998</v>
      </c>
      <c r="D108" s="16">
        <v>6.9270659999999998E-2</v>
      </c>
      <c r="E108" s="3">
        <v>1.9167699999999996</v>
      </c>
      <c r="F108" s="3">
        <v>2.8183199999999999</v>
      </c>
      <c r="G108" s="3">
        <v>3.2471199999999989</v>
      </c>
      <c r="H108" s="3">
        <v>3.5528300000000002</v>
      </c>
      <c r="I108" s="3">
        <v>0.9015500000000003</v>
      </c>
      <c r="J108" s="3">
        <v>1.3303499999999993</v>
      </c>
      <c r="K108" s="3">
        <v>1.6360600000000005</v>
      </c>
      <c r="L108" s="3">
        <v>0.42879999999999896</v>
      </c>
      <c r="M108" s="3">
        <v>0.73451000000000022</v>
      </c>
      <c r="N108" s="3">
        <v>0.30571000000000126</v>
      </c>
      <c r="P108" s="3">
        <f t="shared" si="14"/>
        <v>0.13293126402099825</v>
      </c>
      <c r="Q108" s="3">
        <f t="shared" si="15"/>
        <v>-1.3793278464362235</v>
      </c>
      <c r="R108" s="3">
        <f t="shared" si="16"/>
        <v>-1.0751014656563722</v>
      </c>
      <c r="S108" s="3">
        <f t="shared" si="17"/>
        <v>0.10947144192774293</v>
      </c>
      <c r="T108" s="3">
        <f t="shared" si="18"/>
        <v>-0.28585128337034943</v>
      </c>
      <c r="U108" s="3">
        <f t="shared" si="19"/>
        <v>-0.48835489861766329</v>
      </c>
      <c r="V108" s="3">
        <f t="shared" si="20"/>
        <v>-0.54414315271992442</v>
      </c>
      <c r="W108" s="3">
        <f t="shared" si="21"/>
        <v>-0.85099859820845591</v>
      </c>
      <c r="X108" s="3">
        <f t="shared" si="22"/>
        <v>-0.91257858100958789</v>
      </c>
      <c r="Y108" s="3">
        <f t="shared" si="23"/>
        <v>-0.89262142064723238</v>
      </c>
      <c r="Z108" s="3">
        <f t="shared" si="24"/>
        <v>-0.84129943362262372</v>
      </c>
      <c r="AA108" s="3">
        <f t="shared" si="25"/>
        <v>-0.79427738534880676</v>
      </c>
      <c r="AB108" s="3">
        <f t="shared" si="26"/>
        <v>-0.59548919707726233</v>
      </c>
    </row>
    <row r="109" spans="1:28" x14ac:dyDescent="0.25">
      <c r="A109" s="3">
        <v>1.2376624736909299E+18</v>
      </c>
      <c r="B109" s="3">
        <v>236.19955999999999</v>
      </c>
      <c r="C109" s="3">
        <v>36.264617999999999</v>
      </c>
      <c r="D109" s="16">
        <v>6.9475839999999997E-2</v>
      </c>
      <c r="E109" s="3">
        <v>1.72682</v>
      </c>
      <c r="F109" s="3">
        <v>2.5693999999999981</v>
      </c>
      <c r="G109" s="3">
        <v>2.9609699999999997</v>
      </c>
      <c r="H109" s="3">
        <v>3.2605900000000005</v>
      </c>
      <c r="I109" s="3">
        <v>0.84257999999999811</v>
      </c>
      <c r="J109" s="3">
        <v>1.2341499999999996</v>
      </c>
      <c r="K109" s="3">
        <v>1.5337700000000005</v>
      </c>
      <c r="L109" s="3">
        <v>0.39157000000000153</v>
      </c>
      <c r="M109" s="3">
        <v>0.69119000000000241</v>
      </c>
      <c r="N109" s="3">
        <v>0.29962000000000089</v>
      </c>
      <c r="P109" s="3">
        <f t="shared" si="14"/>
        <v>-0.20554387405971139</v>
      </c>
      <c r="Q109" s="3">
        <f t="shared" si="15"/>
        <v>0.62712765026401351</v>
      </c>
      <c r="R109" s="3">
        <f t="shared" si="16"/>
        <v>-1.0742977851122049</v>
      </c>
      <c r="S109" s="3">
        <f t="shared" si="17"/>
        <v>-7.7507275446958124E-2</v>
      </c>
      <c r="T109" s="3">
        <f t="shared" si="18"/>
        <v>-0.50727054101317581</v>
      </c>
      <c r="U109" s="3">
        <f t="shared" si="19"/>
        <v>-0.72000961246186401</v>
      </c>
      <c r="V109" s="3">
        <f t="shared" si="20"/>
        <v>-0.76782334799912999</v>
      </c>
      <c r="W109" s="3">
        <f t="shared" si="21"/>
        <v>-0.96701193496735782</v>
      </c>
      <c r="X109" s="3">
        <f t="shared" si="22"/>
        <v>-1.0354566926791795</v>
      </c>
      <c r="Y109" s="3">
        <f t="shared" si="23"/>
        <v>-1.0036808620195519</v>
      </c>
      <c r="Z109" s="3">
        <f t="shared" si="24"/>
        <v>-0.95241510301106469</v>
      </c>
      <c r="AA109" s="3">
        <f t="shared" si="25"/>
        <v>-0.8826000097334622</v>
      </c>
      <c r="AB109" s="3">
        <f t="shared" si="26"/>
        <v>-0.62916476682050881</v>
      </c>
    </row>
    <row r="110" spans="1:28" x14ac:dyDescent="0.25">
      <c r="A110" s="3">
        <v>1.2376625032188301E+18</v>
      </c>
      <c r="B110" s="3">
        <v>236.20070000000001</v>
      </c>
      <c r="C110" s="3">
        <v>36.100549000000001</v>
      </c>
      <c r="D110" s="16">
        <v>6.9494669999999995E-2</v>
      </c>
      <c r="E110" s="3">
        <v>1.9367800000000024</v>
      </c>
      <c r="F110" s="3">
        <v>2.839739999999999</v>
      </c>
      <c r="G110" s="3">
        <v>3.282980000000002</v>
      </c>
      <c r="H110" s="3">
        <v>3.5942500000000024</v>
      </c>
      <c r="I110" s="3">
        <v>0.90295999999999665</v>
      </c>
      <c r="J110" s="3">
        <v>1.3461999999999996</v>
      </c>
      <c r="K110" s="3">
        <v>1.65747</v>
      </c>
      <c r="L110" s="3">
        <v>0.44324000000000296</v>
      </c>
      <c r="M110" s="3">
        <v>0.75451000000000334</v>
      </c>
      <c r="N110" s="3">
        <v>0.31127000000000038</v>
      </c>
      <c r="P110" s="3">
        <f t="shared" si="14"/>
        <v>-0.20203635967539191</v>
      </c>
      <c r="Q110" s="3">
        <f t="shared" si="15"/>
        <v>4.6313821256051914E-2</v>
      </c>
      <c r="R110" s="3">
        <f t="shared" si="16"/>
        <v>-1.0742240288755023</v>
      </c>
      <c r="S110" s="3">
        <f t="shared" si="17"/>
        <v>0.12916843658248517</v>
      </c>
      <c r="T110" s="3">
        <f t="shared" si="18"/>
        <v>-0.26679777019861112</v>
      </c>
      <c r="U110" s="3">
        <f t="shared" si="19"/>
        <v>-0.45932418731780733</v>
      </c>
      <c r="V110" s="3">
        <f t="shared" si="20"/>
        <v>-0.51244032734192957</v>
      </c>
      <c r="W110" s="3">
        <f t="shared" si="21"/>
        <v>-0.84822466561850129</v>
      </c>
      <c r="X110" s="3">
        <f t="shared" si="22"/>
        <v>-0.89233307092681158</v>
      </c>
      <c r="Y110" s="3">
        <f t="shared" si="23"/>
        <v>-0.86937591629899391</v>
      </c>
      <c r="Z110" s="3">
        <f t="shared" si="24"/>
        <v>-0.79820219306474993</v>
      </c>
      <c r="AA110" s="3">
        <f t="shared" si="25"/>
        <v>-0.75350055045283548</v>
      </c>
      <c r="AB110" s="3">
        <f t="shared" si="26"/>
        <v>-0.56474434194221979</v>
      </c>
    </row>
    <row r="111" spans="1:28" x14ac:dyDescent="0.25">
      <c r="A111" s="3">
        <v>1.23766247315406E+18</v>
      </c>
      <c r="B111" s="3">
        <v>236.11779000000001</v>
      </c>
      <c r="C111" s="3">
        <v>35.985916000000003</v>
      </c>
      <c r="D111" s="16">
        <v>6.9518380000000005E-2</v>
      </c>
      <c r="E111" s="3">
        <v>1.5199800000000003</v>
      </c>
      <c r="F111" s="3">
        <v>2.155190000000001</v>
      </c>
      <c r="G111" s="3">
        <v>2.4218000000000011</v>
      </c>
      <c r="H111" s="3">
        <v>2.6474200000000003</v>
      </c>
      <c r="I111" s="3">
        <v>0.63521000000000072</v>
      </c>
      <c r="J111" s="3">
        <v>0.90182000000000073</v>
      </c>
      <c r="K111" s="3">
        <v>1.12744</v>
      </c>
      <c r="L111" s="3">
        <v>0.26661000000000001</v>
      </c>
      <c r="M111" s="3">
        <v>0.49222999999999928</v>
      </c>
      <c r="N111" s="3">
        <v>0.22561999999999927</v>
      </c>
      <c r="P111" s="3">
        <f t="shared" si="14"/>
        <v>-0.45713111195488249</v>
      </c>
      <c r="Q111" s="3">
        <f t="shared" si="15"/>
        <v>-0.35949368449256153</v>
      </c>
      <c r="R111" s="3">
        <f t="shared" si="16"/>
        <v>-1.074131157905124</v>
      </c>
      <c r="S111" s="3">
        <f t="shared" si="17"/>
        <v>-0.28111179190804358</v>
      </c>
      <c r="T111" s="3">
        <f t="shared" si="18"/>
        <v>-0.87571851911149556</v>
      </c>
      <c r="U111" s="3">
        <f t="shared" si="19"/>
        <v>-1.1564984192533292</v>
      </c>
      <c r="V111" s="3">
        <f t="shared" si="20"/>
        <v>-1.2371430350349593</v>
      </c>
      <c r="W111" s="3">
        <f t="shared" si="21"/>
        <v>-1.3749767584995316</v>
      </c>
      <c r="X111" s="3">
        <f t="shared" si="22"/>
        <v>-1.4599481984084457</v>
      </c>
      <c r="Y111" s="3">
        <f t="shared" si="23"/>
        <v>-1.4448460082979235</v>
      </c>
      <c r="Z111" s="3">
        <f t="shared" si="24"/>
        <v>-1.3253674008026497</v>
      </c>
      <c r="AA111" s="3">
        <f t="shared" si="25"/>
        <v>-1.2882479632785273</v>
      </c>
      <c r="AB111" s="3">
        <f t="shared" si="26"/>
        <v>-1.038358881927264</v>
      </c>
    </row>
    <row r="112" spans="1:28" x14ac:dyDescent="0.25">
      <c r="A112" s="3">
        <v>1.2376624736910001E+18</v>
      </c>
      <c r="B112" s="3">
        <v>236.44767999999999</v>
      </c>
      <c r="C112" s="3">
        <v>36.254269000000001</v>
      </c>
      <c r="D112" s="16">
        <v>6.9524959999999997E-2</v>
      </c>
      <c r="E112" s="3">
        <v>1.7307799999999993</v>
      </c>
      <c r="F112" s="3">
        <v>2.5426099999999998</v>
      </c>
      <c r="G112" s="3">
        <v>2.907709999999998</v>
      </c>
      <c r="H112" s="3">
        <v>3.2039099999999987</v>
      </c>
      <c r="I112" s="3">
        <v>0.8118300000000005</v>
      </c>
      <c r="J112" s="3">
        <v>1.1769299999999987</v>
      </c>
      <c r="K112" s="3">
        <v>1.4731299999999994</v>
      </c>
      <c r="L112" s="3">
        <v>0.3650999999999982</v>
      </c>
      <c r="M112" s="3">
        <v>0.66129999999999889</v>
      </c>
      <c r="N112" s="3">
        <v>0.29620000000000068</v>
      </c>
      <c r="P112" s="3">
        <f t="shared" si="14"/>
        <v>0.55786355490649964</v>
      </c>
      <c r="Q112" s="3">
        <f t="shared" si="15"/>
        <v>0.59049158667855695</v>
      </c>
      <c r="R112" s="3">
        <f t="shared" si="16"/>
        <v>-1.0741053843502912</v>
      </c>
      <c r="S112" s="3">
        <f t="shared" si="17"/>
        <v>-7.3609219533277231E-2</v>
      </c>
      <c r="T112" s="3">
        <f t="shared" si="18"/>
        <v>-0.53110077527418698</v>
      </c>
      <c r="U112" s="3">
        <f t="shared" si="19"/>
        <v>-0.76312661424184847</v>
      </c>
      <c r="V112" s="3">
        <f t="shared" si="20"/>
        <v>-0.81120616167427984</v>
      </c>
      <c r="W112" s="3">
        <f t="shared" si="21"/>
        <v>-1.0275072733654556</v>
      </c>
      <c r="X112" s="3">
        <f t="shared" si="22"/>
        <v>-1.1085449000568737</v>
      </c>
      <c r="Y112" s="3">
        <f t="shared" si="23"/>
        <v>-1.0695196001642149</v>
      </c>
      <c r="Z112" s="3">
        <f t="shared" si="24"/>
        <v>-1.0314167621223354</v>
      </c>
      <c r="AA112" s="3">
        <f t="shared" si="25"/>
        <v>-0.94354098948548892</v>
      </c>
      <c r="AB112" s="3">
        <f t="shared" si="26"/>
        <v>-0.6480761705186866</v>
      </c>
    </row>
    <row r="113" spans="1:28" x14ac:dyDescent="0.25">
      <c r="A113" s="3">
        <v>1.2376625032188301E+18</v>
      </c>
      <c r="B113" s="3">
        <v>236.18898999999999</v>
      </c>
      <c r="C113" s="3">
        <v>36.075564999999997</v>
      </c>
      <c r="D113" s="16">
        <v>6.9587010000000005E-2</v>
      </c>
      <c r="E113" s="3">
        <v>2.0155799999999999</v>
      </c>
      <c r="F113" s="3">
        <v>2.9882999999999988</v>
      </c>
      <c r="G113" s="3">
        <v>3.4763599999999979</v>
      </c>
      <c r="H113" s="3">
        <v>3.8529199999999992</v>
      </c>
      <c r="I113" s="3">
        <v>0.97271999999999892</v>
      </c>
      <c r="J113" s="3">
        <v>1.460779999999998</v>
      </c>
      <c r="K113" s="3">
        <v>1.8373399999999993</v>
      </c>
      <c r="L113" s="3">
        <v>0.48805999999999905</v>
      </c>
      <c r="M113" s="3">
        <v>0.86462000000000039</v>
      </c>
      <c r="N113" s="3">
        <v>0.37656000000000134</v>
      </c>
      <c r="P113" s="3">
        <f t="shared" si="14"/>
        <v>-0.2380653012891723</v>
      </c>
      <c r="Q113" s="3">
        <f t="shared" si="15"/>
        <v>-4.213099588757125E-2</v>
      </c>
      <c r="R113" s="3">
        <f t="shared" si="16"/>
        <v>-1.0738623373780445</v>
      </c>
      <c r="S113" s="3">
        <f t="shared" si="17"/>
        <v>0.20673581183453049</v>
      </c>
      <c r="T113" s="3">
        <f t="shared" si="18"/>
        <v>-0.13465071525960262</v>
      </c>
      <c r="U113" s="3">
        <f t="shared" si="19"/>
        <v>-0.30277206932657647</v>
      </c>
      <c r="V113" s="3">
        <f t="shared" si="20"/>
        <v>-0.31445457551852596</v>
      </c>
      <c r="W113" s="3">
        <f t="shared" si="21"/>
        <v>-0.71098385889811877</v>
      </c>
      <c r="X113" s="3">
        <f t="shared" si="22"/>
        <v>-0.74597783147669039</v>
      </c>
      <c r="Y113" s="3">
        <f t="shared" si="23"/>
        <v>-0.67408545076336945</v>
      </c>
      <c r="Z113" s="3">
        <f t="shared" si="24"/>
        <v>-0.66443361122242295</v>
      </c>
      <c r="AA113" s="3">
        <f t="shared" si="25"/>
        <v>-0.52900368593310687</v>
      </c>
      <c r="AB113" s="3">
        <f t="shared" si="26"/>
        <v>-0.20371348011357318</v>
      </c>
    </row>
    <row r="114" spans="1:28" x14ac:dyDescent="0.25">
      <c r="A114" s="3">
        <v>1.2376625032189701E+18</v>
      </c>
      <c r="B114" s="3">
        <v>236.47274999999999</v>
      </c>
      <c r="C114" s="3">
        <v>35.867583000000003</v>
      </c>
      <c r="D114" s="16">
        <v>6.9827539999999994E-2</v>
      </c>
      <c r="E114" s="3">
        <v>1.9350500000000004</v>
      </c>
      <c r="F114" s="3">
        <v>2.8243800000000014</v>
      </c>
      <c r="G114" s="3">
        <v>3.2430900000000022</v>
      </c>
      <c r="H114" s="3">
        <v>3.5643600000000024</v>
      </c>
      <c r="I114" s="3">
        <v>0.88933000000000106</v>
      </c>
      <c r="J114" s="3">
        <v>1.3080400000000019</v>
      </c>
      <c r="K114" s="3">
        <v>1.629310000000002</v>
      </c>
      <c r="L114" s="3">
        <v>0.4187100000000008</v>
      </c>
      <c r="M114" s="3">
        <v>0.73998000000000097</v>
      </c>
      <c r="N114" s="3">
        <v>0.32127000000000017</v>
      </c>
      <c r="P114" s="3">
        <f t="shared" si="14"/>
        <v>0.63499810369008225</v>
      </c>
      <c r="Q114" s="3">
        <f t="shared" si="15"/>
        <v>-0.77839940603654556</v>
      </c>
      <c r="R114" s="3">
        <f t="shared" si="16"/>
        <v>-1.0729201925233385</v>
      </c>
      <c r="S114" s="3">
        <f t="shared" si="17"/>
        <v>0.1274654980141324</v>
      </c>
      <c r="T114" s="3">
        <f t="shared" si="18"/>
        <v>-0.28046079364949195</v>
      </c>
      <c r="U114" s="3">
        <f t="shared" si="19"/>
        <v>-0.49161741302196649</v>
      </c>
      <c r="V114" s="3">
        <f t="shared" si="20"/>
        <v>-0.53531810258452284</v>
      </c>
      <c r="W114" s="3">
        <f t="shared" si="21"/>
        <v>-0.87503934732145638</v>
      </c>
      <c r="X114" s="3">
        <f t="shared" si="22"/>
        <v>-0.94107557343524573</v>
      </c>
      <c r="Y114" s="3">
        <f t="shared" si="23"/>
        <v>-0.89995010604427006</v>
      </c>
      <c r="Z114" s="3">
        <f t="shared" si="24"/>
        <v>-0.87141377969109657</v>
      </c>
      <c r="AA114" s="3">
        <f t="shared" si="25"/>
        <v>-0.78312492100475883</v>
      </c>
      <c r="AB114" s="3">
        <f t="shared" si="26"/>
        <v>-0.50944783990076881</v>
      </c>
    </row>
    <row r="115" spans="1:28" x14ac:dyDescent="0.25">
      <c r="A115" s="3">
        <v>1.2376625032188301E+18</v>
      </c>
      <c r="B115" s="3">
        <v>236.28272999999999</v>
      </c>
      <c r="C115" s="3">
        <v>36.146397999999998</v>
      </c>
      <c r="D115" s="16">
        <v>6.9879839999999999E-2</v>
      </c>
      <c r="E115" s="3">
        <v>2.05105</v>
      </c>
      <c r="F115" s="3">
        <v>2.9937299999999993</v>
      </c>
      <c r="G115" s="3">
        <v>3.4453800000000001</v>
      </c>
      <c r="H115" s="3">
        <v>3.794789999999999</v>
      </c>
      <c r="I115" s="3">
        <v>0.9426799999999993</v>
      </c>
      <c r="J115" s="3">
        <v>1.3943300000000001</v>
      </c>
      <c r="K115" s="3">
        <v>1.743739999999999</v>
      </c>
      <c r="L115" s="3">
        <v>0.45165000000000077</v>
      </c>
      <c r="M115" s="3">
        <v>0.80105999999999966</v>
      </c>
      <c r="N115" s="3">
        <v>0.34940999999999889</v>
      </c>
      <c r="P115" s="3">
        <f t="shared" si="14"/>
        <v>5.0350837640741324E-2</v>
      </c>
      <c r="Q115" s="3">
        <f t="shared" si="15"/>
        <v>0.20862195531053265</v>
      </c>
      <c r="R115" s="3">
        <f t="shared" si="16"/>
        <v>-1.0727153358489065</v>
      </c>
      <c r="S115" s="3">
        <f t="shared" si="17"/>
        <v>0.24165097427349172</v>
      </c>
      <c r="T115" s="3">
        <f t="shared" si="18"/>
        <v>-0.12982062298497363</v>
      </c>
      <c r="U115" s="3">
        <f t="shared" si="19"/>
        <v>-0.32785214283659869</v>
      </c>
      <c r="V115" s="3">
        <f t="shared" si="20"/>
        <v>-0.35894721770159566</v>
      </c>
      <c r="W115" s="3">
        <f t="shared" si="21"/>
        <v>-0.77008239436084958</v>
      </c>
      <c r="X115" s="3">
        <f t="shared" si="22"/>
        <v>-0.83085569551457128</v>
      </c>
      <c r="Y115" s="3">
        <f t="shared" si="23"/>
        <v>-0.77570988826898235</v>
      </c>
      <c r="Z115" s="3">
        <f t="shared" si="24"/>
        <v>-0.77310193038528152</v>
      </c>
      <c r="AA115" s="3">
        <f t="shared" si="25"/>
        <v>-0.65859246723248477</v>
      </c>
      <c r="AB115" s="3">
        <f t="shared" si="26"/>
        <v>-0.3538434831561294</v>
      </c>
    </row>
    <row r="116" spans="1:28" x14ac:dyDescent="0.25">
      <c r="A116" s="3">
        <v>1.2376625032188301E+18</v>
      </c>
      <c r="B116" s="3">
        <v>236.16618</v>
      </c>
      <c r="C116" s="3">
        <v>36.115782000000003</v>
      </c>
      <c r="D116" s="16">
        <v>6.9903430000000003E-2</v>
      </c>
      <c r="E116" s="3">
        <v>1.87941</v>
      </c>
      <c r="F116" s="3">
        <v>2.788219999999999</v>
      </c>
      <c r="G116" s="3">
        <v>3.2105400000000017</v>
      </c>
      <c r="H116" s="3">
        <v>3.5251200000000011</v>
      </c>
      <c r="I116" s="3">
        <v>0.90880999999999901</v>
      </c>
      <c r="J116" s="3">
        <v>1.3311300000000017</v>
      </c>
      <c r="K116" s="3">
        <v>1.6457100000000011</v>
      </c>
      <c r="L116" s="3">
        <v>0.42232000000000269</v>
      </c>
      <c r="M116" s="3">
        <v>0.73690000000000211</v>
      </c>
      <c r="N116" s="3">
        <v>0.31457999999999942</v>
      </c>
      <c r="P116" s="3">
        <f t="shared" si="14"/>
        <v>-0.3082463566442975</v>
      </c>
      <c r="Q116" s="3">
        <f t="shared" si="15"/>
        <v>0.10023952969140283</v>
      </c>
      <c r="R116" s="3">
        <f t="shared" si="16"/>
        <v>-1.072622934912963</v>
      </c>
      <c r="S116" s="3">
        <f t="shared" si="17"/>
        <v>7.2695843711797811E-2</v>
      </c>
      <c r="T116" s="3">
        <f t="shared" si="18"/>
        <v>-0.31262582802344774</v>
      </c>
      <c r="U116" s="3">
        <f t="shared" si="19"/>
        <v>-0.51796849090289909</v>
      </c>
      <c r="V116" s="3">
        <f t="shared" si="20"/>
        <v>-0.56535235820578045</v>
      </c>
      <c r="W116" s="3">
        <f t="shared" si="21"/>
        <v>-0.83671579636227233</v>
      </c>
      <c r="X116" s="3">
        <f t="shared" si="22"/>
        <v>-0.91158227199604758</v>
      </c>
      <c r="Y116" s="3">
        <f t="shared" si="23"/>
        <v>-0.88214411485739019</v>
      </c>
      <c r="Z116" s="3">
        <f t="shared" si="24"/>
        <v>-0.8606394695516254</v>
      </c>
      <c r="AA116" s="3">
        <f t="shared" si="25"/>
        <v>-0.78940455357873507</v>
      </c>
      <c r="AB116" s="3">
        <f t="shared" si="26"/>
        <v>-0.54644119976650452</v>
      </c>
    </row>
    <row r="117" spans="1:28" x14ac:dyDescent="0.25">
      <c r="A117" s="3">
        <v>1.2376625032188301E+18</v>
      </c>
      <c r="B117" s="3">
        <v>236.21960000000001</v>
      </c>
      <c r="C117" s="3">
        <v>36.069102999999998</v>
      </c>
      <c r="D117" s="16">
        <v>7.0070649999999998E-2</v>
      </c>
      <c r="E117" s="3">
        <v>1.9077300000000008</v>
      </c>
      <c r="F117" s="3">
        <v>2.7561300000000024</v>
      </c>
      <c r="G117" s="3">
        <v>3.1597200000000001</v>
      </c>
      <c r="H117" s="3">
        <v>3.4456799999999994</v>
      </c>
      <c r="I117" s="3">
        <v>0.8484000000000016</v>
      </c>
      <c r="J117" s="3">
        <v>1.2519899999999993</v>
      </c>
      <c r="K117" s="3">
        <v>1.5379499999999986</v>
      </c>
      <c r="L117" s="3">
        <v>0.40358999999999767</v>
      </c>
      <c r="M117" s="3">
        <v>0.689549999999997</v>
      </c>
      <c r="N117" s="3">
        <v>0.28595999999999933</v>
      </c>
      <c r="P117" s="3">
        <f t="shared" si="14"/>
        <v>-0.14388546330483326</v>
      </c>
      <c r="Q117" s="3">
        <f t="shared" si="15"/>
        <v>-6.500685277125412E-2</v>
      </c>
      <c r="R117" s="3">
        <f t="shared" si="16"/>
        <v>-1.0719679419282879</v>
      </c>
      <c r="S117" s="3">
        <f t="shared" si="17"/>
        <v>0.1005728496399457</v>
      </c>
      <c r="T117" s="3">
        <f t="shared" si="18"/>
        <v>-0.34117051699081674</v>
      </c>
      <c r="U117" s="3">
        <f t="shared" si="19"/>
        <v>-0.55911017378796879</v>
      </c>
      <c r="V117" s="3">
        <f t="shared" si="20"/>
        <v>-0.62615565246043592</v>
      </c>
      <c r="W117" s="3">
        <f t="shared" si="21"/>
        <v>-0.95556208555346622</v>
      </c>
      <c r="X117" s="3">
        <f t="shared" si="22"/>
        <v>-1.012669317292636</v>
      </c>
      <c r="Y117" s="3">
        <f t="shared" si="23"/>
        <v>-0.99914250572923913</v>
      </c>
      <c r="Z117" s="3">
        <f t="shared" si="24"/>
        <v>-0.91654053019213577</v>
      </c>
      <c r="AA117" s="3">
        <f t="shared" si="25"/>
        <v>-0.88594371019494234</v>
      </c>
      <c r="AB117" s="3">
        <f t="shared" si="26"/>
        <v>-0.70469978860914118</v>
      </c>
    </row>
    <row r="118" spans="1:28" x14ac:dyDescent="0.25">
      <c r="A118" s="3">
        <v>1.2376625037557701E+18</v>
      </c>
      <c r="B118" s="3">
        <v>236.68040999999999</v>
      </c>
      <c r="C118" s="3">
        <v>36.370685999999999</v>
      </c>
      <c r="D118" s="16">
        <v>7.0162059999999998E-2</v>
      </c>
      <c r="E118" s="3">
        <v>2.013539999999999</v>
      </c>
      <c r="F118" s="3">
        <v>2.9621999999999993</v>
      </c>
      <c r="G118" s="3">
        <v>3.5021599999999999</v>
      </c>
      <c r="H118" s="3">
        <v>3.9202100000000009</v>
      </c>
      <c r="I118" s="3">
        <v>0.94866000000000028</v>
      </c>
      <c r="J118" s="3">
        <v>1.4886200000000009</v>
      </c>
      <c r="K118" s="3">
        <v>1.9066700000000019</v>
      </c>
      <c r="L118" s="3">
        <v>0.53996000000000066</v>
      </c>
      <c r="M118" s="3">
        <v>0.95801000000000158</v>
      </c>
      <c r="N118" s="3">
        <v>0.41805000000000092</v>
      </c>
      <c r="P118" s="3">
        <f t="shared" si="14"/>
        <v>1.2739195396852721</v>
      </c>
      <c r="Q118" s="3">
        <f t="shared" si="15"/>
        <v>1.0026145564755318</v>
      </c>
      <c r="R118" s="3">
        <f t="shared" si="16"/>
        <v>-1.0716098931976985</v>
      </c>
      <c r="S118" s="3">
        <f t="shared" si="17"/>
        <v>0.2047277224244512</v>
      </c>
      <c r="T118" s="3">
        <f t="shared" si="18"/>
        <v>-0.15786718088903226</v>
      </c>
      <c r="U118" s="3">
        <f t="shared" si="19"/>
        <v>-0.28188550068362395</v>
      </c>
      <c r="V118" s="3">
        <f t="shared" si="20"/>
        <v>-0.26295087876127804</v>
      </c>
      <c r="W118" s="3">
        <f t="shared" si="21"/>
        <v>-0.75831777245448495</v>
      </c>
      <c r="X118" s="3">
        <f t="shared" si="22"/>
        <v>-0.71041726360889612</v>
      </c>
      <c r="Y118" s="3">
        <f t="shared" si="23"/>
        <v>-0.59881170875199796</v>
      </c>
      <c r="Z118" s="3">
        <f t="shared" si="24"/>
        <v>-0.50953424938356551</v>
      </c>
      <c r="AA118" s="3">
        <f t="shared" si="25"/>
        <v>-0.33859625538639643</v>
      </c>
      <c r="AB118" s="3">
        <f t="shared" si="26"/>
        <v>2.5711706856409625E-2</v>
      </c>
    </row>
    <row r="119" spans="1:28" x14ac:dyDescent="0.25">
      <c r="A119" s="3">
        <v>1.2376625032189701E+18</v>
      </c>
      <c r="B119" s="3">
        <v>236.46317999999999</v>
      </c>
      <c r="C119" s="3">
        <v>35.880783000000001</v>
      </c>
      <c r="D119" s="16">
        <v>7.0235480000000003E-2</v>
      </c>
      <c r="E119" s="3">
        <v>1.2341000000000015</v>
      </c>
      <c r="F119" s="3">
        <v>1.7068900000000014</v>
      </c>
      <c r="G119" s="3">
        <v>1.9939</v>
      </c>
      <c r="H119" s="3">
        <v>2.1535399999999996</v>
      </c>
      <c r="I119" s="3">
        <v>0.47278999999999982</v>
      </c>
      <c r="J119" s="3">
        <v>0.75979999999999848</v>
      </c>
      <c r="K119" s="3">
        <v>0.91943999999999804</v>
      </c>
      <c r="L119" s="3">
        <v>0.28700999999999866</v>
      </c>
      <c r="M119" s="3">
        <v>0.44664999999999822</v>
      </c>
      <c r="N119" s="3">
        <v>0.15963999999999956</v>
      </c>
      <c r="P119" s="3">
        <f t="shared" si="14"/>
        <v>0.6055534434643689</v>
      </c>
      <c r="Q119" s="3">
        <f t="shared" si="15"/>
        <v>-0.731670636172014</v>
      </c>
      <c r="R119" s="3">
        <f t="shared" si="16"/>
        <v>-1.0713223104627694</v>
      </c>
      <c r="S119" s="3">
        <f t="shared" si="17"/>
        <v>-0.56251992943412632</v>
      </c>
      <c r="T119" s="3">
        <f t="shared" si="18"/>
        <v>-1.2744902256890236</v>
      </c>
      <c r="U119" s="3">
        <f t="shared" si="19"/>
        <v>-1.5029078270951393</v>
      </c>
      <c r="V119" s="3">
        <f t="shared" si="20"/>
        <v>-1.6151582788225802</v>
      </c>
      <c r="W119" s="3">
        <f t="shared" si="21"/>
        <v>-1.6945101849261937</v>
      </c>
      <c r="X119" s="3">
        <f t="shared" si="22"/>
        <v>-1.6413530780271126</v>
      </c>
      <c r="Y119" s="3">
        <f t="shared" si="23"/>
        <v>-1.6706780916437312</v>
      </c>
      <c r="Z119" s="3">
        <f t="shared" si="24"/>
        <v>-1.2644821025076134</v>
      </c>
      <c r="AA119" s="3">
        <f t="shared" si="25"/>
        <v>-1.3811783700064333</v>
      </c>
      <c r="AB119" s="3">
        <f t="shared" si="26"/>
        <v>-1.4032052023967638</v>
      </c>
    </row>
    <row r="120" spans="1:28" x14ac:dyDescent="0.25">
      <c r="A120" s="3">
        <v>1.2376625032189E+18</v>
      </c>
      <c r="B120" s="3">
        <v>236.30726000000001</v>
      </c>
      <c r="C120" s="3">
        <v>35.975124000000001</v>
      </c>
      <c r="D120" s="16">
        <v>7.2928850000000003E-2</v>
      </c>
      <c r="E120" s="3">
        <v>1.6879799999999996</v>
      </c>
      <c r="F120" s="3">
        <v>2.5587699999999991</v>
      </c>
      <c r="G120" s="3">
        <v>2.9646799999999978</v>
      </c>
      <c r="H120" s="3">
        <v>3.2880499999999984</v>
      </c>
      <c r="I120" s="3">
        <v>0.87078999999999951</v>
      </c>
      <c r="J120" s="3">
        <v>1.2766999999999982</v>
      </c>
      <c r="K120" s="3">
        <v>1.6000699999999988</v>
      </c>
      <c r="L120" s="3">
        <v>0.40590999999999866</v>
      </c>
      <c r="M120" s="3">
        <v>0.72927999999999926</v>
      </c>
      <c r="N120" s="3">
        <v>0.3233700000000006</v>
      </c>
      <c r="P120" s="3">
        <f t="shared" si="14"/>
        <v>0.12582393224239288</v>
      </c>
      <c r="Q120" s="3">
        <f t="shared" si="15"/>
        <v>-0.39769799391515348</v>
      </c>
      <c r="R120" s="3">
        <f t="shared" si="16"/>
        <v>-1.0607725050858141</v>
      </c>
      <c r="S120" s="3">
        <f t="shared" si="17"/>
        <v>-0.11573972284276483</v>
      </c>
      <c r="T120" s="3">
        <f t="shared" si="18"/>
        <v>-0.51672613601857109</v>
      </c>
      <c r="U120" s="3">
        <f t="shared" si="19"/>
        <v>-0.71700615627328623</v>
      </c>
      <c r="V120" s="3">
        <f t="shared" si="20"/>
        <v>-0.74680549225601989</v>
      </c>
      <c r="W120" s="3">
        <f t="shared" si="21"/>
        <v>-0.91151360988733976</v>
      </c>
      <c r="X120" s="3">
        <f t="shared" si="22"/>
        <v>-0.98110675867147723</v>
      </c>
      <c r="Y120" s="3">
        <f t="shared" si="23"/>
        <v>-0.93169688545307816</v>
      </c>
      <c r="Z120" s="3">
        <f t="shared" si="24"/>
        <v>-0.90961631979779489</v>
      </c>
      <c r="AA120" s="3">
        <f t="shared" si="25"/>
        <v>-0.80494052767410351</v>
      </c>
      <c r="AB120" s="3">
        <f t="shared" si="26"/>
        <v>-0.49783557447206145</v>
      </c>
    </row>
    <row r="121" spans="1:28" x14ac:dyDescent="0.25">
      <c r="A121" s="3">
        <v>1.2376625032189E+18</v>
      </c>
      <c r="B121" s="3">
        <v>236.25632999999999</v>
      </c>
      <c r="C121" s="3">
        <v>35.971592999999999</v>
      </c>
      <c r="D121" s="16">
        <v>7.3039900000000005E-2</v>
      </c>
      <c r="E121" s="3">
        <v>1.8752199999999988</v>
      </c>
      <c r="F121" s="3">
        <v>2.7383799999999994</v>
      </c>
      <c r="G121" s="3">
        <v>3.1311399999999985</v>
      </c>
      <c r="H121" s="3">
        <v>3.4303999999999988</v>
      </c>
      <c r="I121" s="3">
        <v>0.86316000000000059</v>
      </c>
      <c r="J121" s="3">
        <v>1.2559199999999997</v>
      </c>
      <c r="K121" s="3">
        <v>1.55518</v>
      </c>
      <c r="L121" s="3">
        <v>0.39275999999999911</v>
      </c>
      <c r="M121" s="3">
        <v>0.69201999999999941</v>
      </c>
      <c r="N121" s="3">
        <v>0.2992600000000003</v>
      </c>
      <c r="P121" s="3">
        <f t="shared" si="14"/>
        <v>-3.0875811257793206E-2</v>
      </c>
      <c r="Q121" s="3">
        <f t="shared" si="15"/>
        <v>-0.41019793985392639</v>
      </c>
      <c r="R121" s="3">
        <f t="shared" si="16"/>
        <v>-1.0603375273860882</v>
      </c>
      <c r="S121" s="3">
        <f t="shared" si="17"/>
        <v>6.8571385560704204E-2</v>
      </c>
      <c r="T121" s="3">
        <f t="shared" si="18"/>
        <v>-0.3569594926583437</v>
      </c>
      <c r="U121" s="3">
        <f t="shared" si="19"/>
        <v>-0.5822473106800452</v>
      </c>
      <c r="V121" s="3">
        <f t="shared" si="20"/>
        <v>-0.63785094873701131</v>
      </c>
      <c r="W121" s="3">
        <f t="shared" si="21"/>
        <v>-0.92652432312237898</v>
      </c>
      <c r="X121" s="3">
        <f t="shared" si="22"/>
        <v>-1.0076494526475057</v>
      </c>
      <c r="Y121" s="3">
        <f t="shared" si="23"/>
        <v>-0.9804353576713134</v>
      </c>
      <c r="Z121" s="3">
        <f t="shared" si="24"/>
        <v>-0.94886346061052784</v>
      </c>
      <c r="AA121" s="3">
        <f t="shared" si="25"/>
        <v>-0.88090777108528573</v>
      </c>
      <c r="AB121" s="3">
        <f t="shared" si="26"/>
        <v>-0.63115544089400433</v>
      </c>
    </row>
    <row r="122" spans="1:28" x14ac:dyDescent="0.25">
      <c r="A122" s="3">
        <v>1.2376624736908001E+18</v>
      </c>
      <c r="B122" s="3">
        <v>236.01910000000001</v>
      </c>
      <c r="C122" s="3">
        <v>36.502639000000002</v>
      </c>
      <c r="D122" s="16">
        <v>7.6159580000000004E-2</v>
      </c>
      <c r="E122" s="3">
        <v>2.2064500000000002</v>
      </c>
      <c r="F122" s="3">
        <v>3.2058199999999992</v>
      </c>
      <c r="G122" s="3">
        <v>3.6615900000000003</v>
      </c>
      <c r="H122" s="3">
        <v>4.014050000000001</v>
      </c>
      <c r="I122" s="3">
        <v>0.99936999999999898</v>
      </c>
      <c r="J122" s="3">
        <v>1.4551400000000001</v>
      </c>
      <c r="K122" s="3">
        <v>1.8076000000000008</v>
      </c>
      <c r="L122" s="3">
        <v>0.45577000000000112</v>
      </c>
      <c r="M122" s="3">
        <v>0.80823000000000178</v>
      </c>
      <c r="N122" s="3">
        <v>0.35246000000000066</v>
      </c>
      <c r="P122" s="3">
        <f t="shared" si="14"/>
        <v>-0.76077724755329867</v>
      </c>
      <c r="Q122" s="3">
        <f t="shared" si="15"/>
        <v>1.4697358723797564</v>
      </c>
      <c r="R122" s="3">
        <f t="shared" si="16"/>
        <v>-1.0481178855105271</v>
      </c>
      <c r="S122" s="3">
        <f t="shared" si="17"/>
        <v>0.39462013815887542</v>
      </c>
      <c r="T122" s="3">
        <f t="shared" si="18"/>
        <v>5.8837622047433043E-2</v>
      </c>
      <c r="U122" s="3">
        <f t="shared" si="19"/>
        <v>-0.15281784026712519</v>
      </c>
      <c r="V122" s="3">
        <f t="shared" si="20"/>
        <v>-0.1911258393245113</v>
      </c>
      <c r="W122" s="3">
        <f t="shared" si="21"/>
        <v>-0.65855456561976311</v>
      </c>
      <c r="X122" s="3">
        <f t="shared" si="22"/>
        <v>-0.75318191203611073</v>
      </c>
      <c r="Y122" s="3">
        <f t="shared" si="23"/>
        <v>-0.70637509575713842</v>
      </c>
      <c r="Z122" s="3">
        <f t="shared" si="24"/>
        <v>-0.76080548778843893</v>
      </c>
      <c r="AA122" s="3">
        <f t="shared" si="25"/>
        <v>-0.64397397192227701</v>
      </c>
      <c r="AB122" s="3">
        <f t="shared" si="26"/>
        <v>-0.33697805003347669</v>
      </c>
    </row>
    <row r="123" spans="1:28" x14ac:dyDescent="0.25">
      <c r="A123" s="3">
        <v>1.2376624736910001E+18</v>
      </c>
      <c r="B123" s="3">
        <v>236.33983000000001</v>
      </c>
      <c r="C123" s="3">
        <v>36.146178999999997</v>
      </c>
      <c r="D123" s="16">
        <v>7.6160549999999994E-2</v>
      </c>
      <c r="E123" s="3">
        <v>1.16066</v>
      </c>
      <c r="F123" s="3">
        <v>1.5989599999999982</v>
      </c>
      <c r="G123" s="3">
        <v>1.89011</v>
      </c>
      <c r="H123" s="3">
        <v>1.9593099999999986</v>
      </c>
      <c r="I123" s="3">
        <v>0.43829999999999814</v>
      </c>
      <c r="J123" s="3">
        <v>0.72944999999999993</v>
      </c>
      <c r="K123" s="3">
        <v>0.79864999999999853</v>
      </c>
      <c r="L123" s="3">
        <v>0.2911500000000018</v>
      </c>
      <c r="M123" s="3">
        <v>0.36035000000000039</v>
      </c>
      <c r="N123" s="3">
        <v>6.9199999999998596E-2</v>
      </c>
      <c r="P123" s="3">
        <f t="shared" si="14"/>
        <v>0.2260342335539513</v>
      </c>
      <c r="Q123" s="3">
        <f t="shared" si="15"/>
        <v>0.20784668253777544</v>
      </c>
      <c r="R123" s="3">
        <f t="shared" si="16"/>
        <v>-1.0481140860655136</v>
      </c>
      <c r="S123" s="3">
        <f t="shared" si="17"/>
        <v>-0.63481114819695006</v>
      </c>
      <c r="T123" s="3">
        <f t="shared" si="18"/>
        <v>-1.3704960929451331</v>
      </c>
      <c r="U123" s="3">
        <f t="shared" si="19"/>
        <v>-1.5869317402521887</v>
      </c>
      <c r="V123" s="3">
        <f t="shared" si="20"/>
        <v>-1.7638217209560334</v>
      </c>
      <c r="W123" s="3">
        <f t="shared" si="21"/>
        <v>-1.7623633303359709</v>
      </c>
      <c r="X123" s="3">
        <f t="shared" si="22"/>
        <v>-1.680119717207694</v>
      </c>
      <c r="Y123" s="3">
        <f t="shared" si="23"/>
        <v>-1.8018235596597876</v>
      </c>
      <c r="Z123" s="3">
        <f t="shared" si="24"/>
        <v>-1.2521259684418458</v>
      </c>
      <c r="AA123" s="3">
        <f t="shared" si="25"/>
        <v>-1.5571304125825174</v>
      </c>
      <c r="AB123" s="3">
        <f t="shared" si="26"/>
        <v>-1.9033067668596628</v>
      </c>
    </row>
    <row r="124" spans="1:28" x14ac:dyDescent="0.25">
      <c r="A124" s="3">
        <v>1.23766247315439E+18</v>
      </c>
      <c r="B124" s="3">
        <v>236.78066000000001</v>
      </c>
      <c r="C124" s="3">
        <v>35.613542000000002</v>
      </c>
      <c r="D124" s="16">
        <v>7.661917E-2</v>
      </c>
      <c r="E124" s="3">
        <v>1.5633200000000009</v>
      </c>
      <c r="F124" s="3">
        <v>2.3697400000000002</v>
      </c>
      <c r="G124" s="3">
        <v>2.7716799999999999</v>
      </c>
      <c r="H124" s="3">
        <v>3.0207000000000015</v>
      </c>
      <c r="I124" s="3">
        <v>0.80641999999999925</v>
      </c>
      <c r="J124" s="3">
        <v>1.208359999999999</v>
      </c>
      <c r="K124" s="3">
        <v>1.4573800000000006</v>
      </c>
      <c r="L124" s="3">
        <v>0.40193999999999974</v>
      </c>
      <c r="M124" s="3">
        <v>0.65096000000000132</v>
      </c>
      <c r="N124" s="3">
        <v>0.24902000000000157</v>
      </c>
      <c r="P124" s="3">
        <f t="shared" si="14"/>
        <v>1.5823654318095486</v>
      </c>
      <c r="Q124" s="3">
        <f t="shared" si="15"/>
        <v>-1.6777193624878803</v>
      </c>
      <c r="R124" s="3">
        <f t="shared" si="16"/>
        <v>-1.0463176927953801</v>
      </c>
      <c r="S124" s="3">
        <f t="shared" si="17"/>
        <v>-0.23844973551941673</v>
      </c>
      <c r="T124" s="3">
        <f t="shared" si="18"/>
        <v>-0.68487205547953411</v>
      </c>
      <c r="U124" s="3">
        <f t="shared" si="19"/>
        <v>-0.8732506426333434</v>
      </c>
      <c r="V124" s="3">
        <f t="shared" si="20"/>
        <v>-0.95143490714753021</v>
      </c>
      <c r="W124" s="3">
        <f t="shared" si="21"/>
        <v>-1.038150518267368</v>
      </c>
      <c r="X124" s="3">
        <f t="shared" si="22"/>
        <v>-1.0683987560883152</v>
      </c>
      <c r="Y124" s="3">
        <f t="shared" si="23"/>
        <v>-1.0866198660906388</v>
      </c>
      <c r="Z124" s="3">
        <f t="shared" si="24"/>
        <v>-0.92146507637775787</v>
      </c>
      <c r="AA124" s="3">
        <f t="shared" si="25"/>
        <v>-0.96462261312669784</v>
      </c>
      <c r="AB124" s="3">
        <f t="shared" si="26"/>
        <v>-0.90896506715025305</v>
      </c>
    </row>
    <row r="125" spans="1:28" x14ac:dyDescent="0.25">
      <c r="A125" s="3">
        <v>1.2376624736908001E+18</v>
      </c>
      <c r="B125" s="3">
        <v>235.99455</v>
      </c>
      <c r="C125" s="3">
        <v>36.352677</v>
      </c>
      <c r="D125" s="16">
        <v>7.6676350000000004E-2</v>
      </c>
      <c r="E125" s="3">
        <v>1.4058199999999985</v>
      </c>
      <c r="F125" s="3">
        <v>1.995350000000002</v>
      </c>
      <c r="G125" s="3">
        <v>2.3792299999999997</v>
      </c>
      <c r="H125" s="3">
        <v>2.6124100000000006</v>
      </c>
      <c r="I125" s="3">
        <v>0.58953000000000344</v>
      </c>
      <c r="J125" s="3">
        <v>0.97341000000000122</v>
      </c>
      <c r="K125" s="3">
        <v>1.206590000000002</v>
      </c>
      <c r="L125" s="3">
        <v>0.38387999999999778</v>
      </c>
      <c r="M125" s="3">
        <v>0.61705999999999861</v>
      </c>
      <c r="N125" s="3">
        <v>0.23318000000000083</v>
      </c>
      <c r="P125" s="3">
        <f t="shared" si="14"/>
        <v>-0.83631187749495695</v>
      </c>
      <c r="Q125" s="3">
        <f t="shared" si="15"/>
        <v>0.93886164613534495</v>
      </c>
      <c r="R125" s="3">
        <f t="shared" si="16"/>
        <v>-1.0460937213872727</v>
      </c>
      <c r="S125" s="3">
        <f t="shared" si="17"/>
        <v>-0.39348605026811861</v>
      </c>
      <c r="T125" s="3">
        <f t="shared" si="18"/>
        <v>-1.0178993568972456</v>
      </c>
      <c r="U125" s="3">
        <f t="shared" si="19"/>
        <v>-1.1909612575141992</v>
      </c>
      <c r="V125" s="3">
        <f t="shared" si="20"/>
        <v>-1.2639396530089702</v>
      </c>
      <c r="W125" s="3">
        <f t="shared" si="21"/>
        <v>-1.4648443051019757</v>
      </c>
      <c r="X125" s="3">
        <f t="shared" si="22"/>
        <v>-1.3685049134352008</v>
      </c>
      <c r="Y125" s="3">
        <f t="shared" si="23"/>
        <v>-1.3589103861978227</v>
      </c>
      <c r="Z125" s="3">
        <f t="shared" si="24"/>
        <v>-0.97536647280954936</v>
      </c>
      <c r="AA125" s="3">
        <f t="shared" si="25"/>
        <v>-1.0337393482753638</v>
      </c>
      <c r="AB125" s="3">
        <f t="shared" si="26"/>
        <v>-0.9965547263839174</v>
      </c>
    </row>
    <row r="126" spans="1:28" x14ac:dyDescent="0.25">
      <c r="A126" s="3">
        <v>1.23766250375571E+18</v>
      </c>
      <c r="B126" s="3">
        <v>236.5035</v>
      </c>
      <c r="C126" s="3">
        <v>36.567419999999998</v>
      </c>
      <c r="D126" s="16">
        <v>7.6745499999999994E-2</v>
      </c>
      <c r="E126" s="3">
        <v>1.9929099999999984</v>
      </c>
      <c r="F126" s="3">
        <v>2.9065099999999973</v>
      </c>
      <c r="G126" s="3">
        <v>3.3240099999999977</v>
      </c>
      <c r="H126" s="3">
        <v>3.6084499999999977</v>
      </c>
      <c r="I126" s="3">
        <v>0.91359999999999886</v>
      </c>
      <c r="J126" s="3">
        <v>1.3310999999999993</v>
      </c>
      <c r="K126" s="3">
        <v>1.6155399999999993</v>
      </c>
      <c r="L126" s="3">
        <v>0.41750000000000043</v>
      </c>
      <c r="M126" s="3">
        <v>0.70194000000000045</v>
      </c>
      <c r="N126" s="3">
        <v>0.28444000000000003</v>
      </c>
      <c r="P126" s="3">
        <f t="shared" si="14"/>
        <v>0.72960868905490572</v>
      </c>
      <c r="Q126" s="3">
        <f t="shared" si="15"/>
        <v>1.6990643906066194</v>
      </c>
      <c r="R126" s="3">
        <f t="shared" si="16"/>
        <v>-1.0458228640443097</v>
      </c>
      <c r="S126" s="3">
        <f t="shared" si="17"/>
        <v>0.18442042608625586</v>
      </c>
      <c r="T126" s="3">
        <f t="shared" si="18"/>
        <v>-0.20740453609604398</v>
      </c>
      <c r="U126" s="3">
        <f t="shared" si="19"/>
        <v>-0.42610806672012574</v>
      </c>
      <c r="V126" s="3">
        <f t="shared" si="20"/>
        <v>-0.50157166195401659</v>
      </c>
      <c r="W126" s="3">
        <f t="shared" si="21"/>
        <v>-0.82729229486871447</v>
      </c>
      <c r="X126" s="3">
        <f t="shared" si="22"/>
        <v>-0.9116205915734944</v>
      </c>
      <c r="Y126" s="3">
        <f t="shared" si="23"/>
        <v>-0.91490062425423335</v>
      </c>
      <c r="Z126" s="3">
        <f t="shared" si="24"/>
        <v>-0.87502511356055834</v>
      </c>
      <c r="AA126" s="3">
        <f t="shared" si="25"/>
        <v>-0.86068246097688506</v>
      </c>
      <c r="AB126" s="3">
        <f t="shared" si="26"/>
        <v>-0.71310485691943803</v>
      </c>
    </row>
    <row r="127" spans="1:28" x14ac:dyDescent="0.25">
      <c r="A127" s="3">
        <v>1.23766247369074E+18</v>
      </c>
      <c r="B127" s="3">
        <v>235.81650999999999</v>
      </c>
      <c r="C127" s="3">
        <v>36.460304999999998</v>
      </c>
      <c r="D127" s="16">
        <v>7.6923850000000002E-2</v>
      </c>
      <c r="E127" s="3">
        <v>1.7542000000000009</v>
      </c>
      <c r="F127" s="3">
        <v>2.6090600000000013</v>
      </c>
      <c r="G127" s="3">
        <v>3.0526800000000005</v>
      </c>
      <c r="H127" s="3">
        <v>3.3891700000000018</v>
      </c>
      <c r="I127" s="3">
        <v>0.8548600000000004</v>
      </c>
      <c r="J127" s="3">
        <v>1.2984799999999996</v>
      </c>
      <c r="K127" s="3">
        <v>1.6349700000000009</v>
      </c>
      <c r="L127" s="3">
        <v>0.44361999999999924</v>
      </c>
      <c r="M127" s="3">
        <v>0.78011000000000053</v>
      </c>
      <c r="N127" s="3">
        <v>0.33649000000000129</v>
      </c>
      <c r="P127" s="3">
        <f t="shared" si="14"/>
        <v>-1.3840994748395956</v>
      </c>
      <c r="Q127" s="3">
        <f t="shared" si="15"/>
        <v>1.3198710433308465</v>
      </c>
      <c r="R127" s="3">
        <f t="shared" si="16"/>
        <v>-1.0451242753658214</v>
      </c>
      <c r="S127" s="3">
        <f t="shared" si="17"/>
        <v>-5.0555565619532575E-2</v>
      </c>
      <c r="T127" s="3">
        <f t="shared" si="18"/>
        <v>-0.4719921874935103</v>
      </c>
      <c r="U127" s="3">
        <f t="shared" si="19"/>
        <v>-0.6457651469484903</v>
      </c>
      <c r="V127" s="3">
        <f t="shared" si="20"/>
        <v>-0.66940834831051588</v>
      </c>
      <c r="W127" s="3">
        <f t="shared" si="21"/>
        <v>-0.94285314616967209</v>
      </c>
      <c r="X127" s="3">
        <f t="shared" si="22"/>
        <v>-0.95328674544732028</v>
      </c>
      <c r="Y127" s="3">
        <f t="shared" si="23"/>
        <v>-0.89380486762245748</v>
      </c>
      <c r="Z127" s="3">
        <f t="shared" si="24"/>
        <v>-0.79706805515534362</v>
      </c>
      <c r="AA127" s="3">
        <f t="shared" si="25"/>
        <v>-0.70130620178600622</v>
      </c>
      <c r="AB127" s="3">
        <f t="shared" si="26"/>
        <v>-0.42528656379367236</v>
      </c>
    </row>
    <row r="128" spans="1:28" x14ac:dyDescent="0.25">
      <c r="A128" s="3">
        <v>1.2376625037556401E+18</v>
      </c>
      <c r="B128" s="3">
        <v>236.34941000000001</v>
      </c>
      <c r="C128" s="3">
        <v>36.446942999999997</v>
      </c>
      <c r="D128" s="16">
        <v>7.7082109999999995E-2</v>
      </c>
      <c r="E128" s="3">
        <v>1.9877000000000002</v>
      </c>
      <c r="F128" s="3">
        <v>2.8009000000000022</v>
      </c>
      <c r="G128" s="3">
        <v>3.1931700000000021</v>
      </c>
      <c r="H128" s="3">
        <v>3.4911800000000017</v>
      </c>
      <c r="I128" s="3">
        <v>0.81320000000000192</v>
      </c>
      <c r="J128" s="3">
        <v>1.2054700000000018</v>
      </c>
      <c r="K128" s="3">
        <v>1.5034800000000015</v>
      </c>
      <c r="L128" s="3">
        <v>0.3922699999999999</v>
      </c>
      <c r="M128" s="3">
        <v>0.69027999999999956</v>
      </c>
      <c r="N128" s="3">
        <v>0.29800999999999966</v>
      </c>
      <c r="P128" s="3">
        <f t="shared" si="14"/>
        <v>0.25550966144971171</v>
      </c>
      <c r="Q128" s="3">
        <f t="shared" si="15"/>
        <v>1.2725687840179662</v>
      </c>
      <c r="R128" s="3">
        <f t="shared" si="16"/>
        <v>-1.0445043782855998</v>
      </c>
      <c r="S128" s="3">
        <f t="shared" si="17"/>
        <v>0.1792919232301261</v>
      </c>
      <c r="T128" s="3">
        <f t="shared" si="18"/>
        <v>-0.30134671751841918</v>
      </c>
      <c r="U128" s="3">
        <f t="shared" si="19"/>
        <v>-0.53203049467530417</v>
      </c>
      <c r="V128" s="3">
        <f t="shared" si="20"/>
        <v>-0.5913299992808424</v>
      </c>
      <c r="W128" s="3">
        <f t="shared" si="21"/>
        <v>-1.0248120338986104</v>
      </c>
      <c r="X128" s="3">
        <f t="shared" si="22"/>
        <v>-1.0720902087153918</v>
      </c>
      <c r="Y128" s="3">
        <f t="shared" si="23"/>
        <v>-1.0365676591567836</v>
      </c>
      <c r="Z128" s="3">
        <f t="shared" si="24"/>
        <v>-0.95032590159898478</v>
      </c>
      <c r="AA128" s="3">
        <f t="shared" si="25"/>
        <v>-0.88445535572123446</v>
      </c>
      <c r="AB128" s="3">
        <f t="shared" si="26"/>
        <v>-0.6380675036491894</v>
      </c>
    </row>
    <row r="129" spans="1:28" x14ac:dyDescent="0.25">
      <c r="A129" s="3">
        <v>1.2376625032186399E+18</v>
      </c>
      <c r="B129" s="3">
        <v>235.71032</v>
      </c>
      <c r="C129" s="3">
        <v>36.468029999999999</v>
      </c>
      <c r="D129" s="16">
        <v>7.7096479999999995E-2</v>
      </c>
      <c r="E129" s="3">
        <v>1.5555199999999978</v>
      </c>
      <c r="F129" s="3">
        <v>2.3722899999999996</v>
      </c>
      <c r="G129" s="3">
        <v>2.7745899999999999</v>
      </c>
      <c r="H129" s="3">
        <v>3.0311199999999978</v>
      </c>
      <c r="I129" s="3">
        <v>0.81677000000000177</v>
      </c>
      <c r="J129" s="3">
        <v>1.2190700000000021</v>
      </c>
      <c r="K129" s="3">
        <v>1.4756</v>
      </c>
      <c r="L129" s="3">
        <v>0.40230000000000032</v>
      </c>
      <c r="M129" s="3">
        <v>0.65882999999999825</v>
      </c>
      <c r="N129" s="3">
        <v>0.25652999999999793</v>
      </c>
      <c r="P129" s="3">
        <f t="shared" si="14"/>
        <v>-1.7108213629659879</v>
      </c>
      <c r="Q129" s="3">
        <f t="shared" si="15"/>
        <v>1.3472179938765738</v>
      </c>
      <c r="R129" s="3">
        <f t="shared" si="16"/>
        <v>-1.0444480916620511</v>
      </c>
      <c r="S129" s="3">
        <f t="shared" si="17"/>
        <v>-0.24612772444030781</v>
      </c>
      <c r="T129" s="3">
        <f t="shared" si="18"/>
        <v>-0.68260378010194667</v>
      </c>
      <c r="U129" s="3">
        <f t="shared" si="19"/>
        <v>-0.87089483198408035</v>
      </c>
      <c r="V129" s="3">
        <f t="shared" si="20"/>
        <v>-0.94345944986992103</v>
      </c>
      <c r="W129" s="3">
        <f t="shared" si="21"/>
        <v>-1.017788672660197</v>
      </c>
      <c r="X129" s="3">
        <f t="shared" si="22"/>
        <v>-1.0547186669408963</v>
      </c>
      <c r="Y129" s="3">
        <f t="shared" si="23"/>
        <v>-1.0668378441744828</v>
      </c>
      <c r="Z129" s="3">
        <f t="shared" si="24"/>
        <v>-0.9203906299372554</v>
      </c>
      <c r="AA129" s="3">
        <f t="shared" si="25"/>
        <v>-0.94857692859514187</v>
      </c>
      <c r="AB129" s="3">
        <f t="shared" si="26"/>
        <v>-0.86743739411714271</v>
      </c>
    </row>
    <row r="130" spans="1:28" x14ac:dyDescent="0.25">
      <c r="A130" s="3">
        <v>1.2376625032191601E+18</v>
      </c>
      <c r="B130" s="3">
        <v>236.86004</v>
      </c>
      <c r="C130" s="3">
        <v>35.613812000000003</v>
      </c>
      <c r="D130" s="16">
        <v>7.7129989999999995E-2</v>
      </c>
      <c r="E130" s="3">
        <v>2.6345400000000012</v>
      </c>
      <c r="F130" s="3">
        <v>3.7821700000000007</v>
      </c>
      <c r="G130" s="3">
        <v>4.3340999999999994</v>
      </c>
      <c r="H130" s="3">
        <v>4.7490799999999993</v>
      </c>
      <c r="I130" s="3">
        <v>1.1476299999999995</v>
      </c>
      <c r="J130" s="3">
        <v>1.6995599999999982</v>
      </c>
      <c r="K130" s="3">
        <v>2.1145399999999981</v>
      </c>
      <c r="L130" s="3">
        <v>0.5519299999999987</v>
      </c>
      <c r="M130" s="3">
        <v>0.9669099999999986</v>
      </c>
      <c r="N130" s="3">
        <v>0.4149799999999999</v>
      </c>
      <c r="P130" s="3">
        <f t="shared" si="14"/>
        <v>1.826599196565825</v>
      </c>
      <c r="Q130" s="3">
        <f t="shared" si="15"/>
        <v>-1.6767635467406496</v>
      </c>
      <c r="R130" s="3">
        <f t="shared" si="16"/>
        <v>-1.0443168345461771</v>
      </c>
      <c r="S130" s="3">
        <f t="shared" si="17"/>
        <v>0.81601376343361154</v>
      </c>
      <c r="T130" s="3">
        <f t="shared" si="18"/>
        <v>0.57151233337011642</v>
      </c>
      <c r="U130" s="3">
        <f t="shared" si="19"/>
        <v>0.39161728678988561</v>
      </c>
      <c r="V130" s="3">
        <f t="shared" si="20"/>
        <v>0.37146536631494365</v>
      </c>
      <c r="W130" s="3">
        <f t="shared" si="21"/>
        <v>-0.36687850477739892</v>
      </c>
      <c r="X130" s="3">
        <f t="shared" si="22"/>
        <v>-0.44097954140948425</v>
      </c>
      <c r="Y130" s="3">
        <f t="shared" si="23"/>
        <v>-0.37312077045828757</v>
      </c>
      <c r="Z130" s="3">
        <f t="shared" si="24"/>
        <v>-0.47380890523692271</v>
      </c>
      <c r="AA130" s="3">
        <f t="shared" si="25"/>
        <v>-0.3204505638576981</v>
      </c>
      <c r="AB130" s="3">
        <f t="shared" si="26"/>
        <v>8.7356807296781833E-3</v>
      </c>
    </row>
    <row r="131" spans="1:28" x14ac:dyDescent="0.25">
      <c r="A131" s="3">
        <v>1.2376624731543301E+18</v>
      </c>
      <c r="B131" s="3">
        <v>236.69871000000001</v>
      </c>
      <c r="C131" s="3">
        <v>35.664239000000002</v>
      </c>
      <c r="D131" s="16">
        <v>7.7354980000000004E-2</v>
      </c>
      <c r="E131" s="3">
        <v>1.3555300000000017</v>
      </c>
      <c r="F131" s="3">
        <v>2.0026200000000003</v>
      </c>
      <c r="G131" s="3">
        <v>2.3590800000000023</v>
      </c>
      <c r="H131" s="3">
        <v>2.5781000000000027</v>
      </c>
      <c r="I131" s="3">
        <v>0.64708999999999861</v>
      </c>
      <c r="J131" s="3">
        <v>1.0035500000000006</v>
      </c>
      <c r="K131" s="3">
        <v>1.222570000000001</v>
      </c>
      <c r="L131" s="3">
        <v>0.356460000000002</v>
      </c>
      <c r="M131" s="3">
        <v>0.57548000000000243</v>
      </c>
      <c r="N131" s="3">
        <v>0.21902000000000044</v>
      </c>
      <c r="P131" s="3">
        <f t="shared" ref="P131:P194" si="27">(B131-B$476)/B$477</f>
        <v>1.3302243758536172</v>
      </c>
      <c r="Q131" s="3">
        <f t="shared" ref="Q131:Q194" si="28">(C131-C$476)/C$477</f>
        <v>-1.4982490256831411</v>
      </c>
      <c r="R131" s="3">
        <f t="shared" ref="R131:R194" si="29">(D131-D$476)/D$477</f>
        <v>-1.0434355591507574</v>
      </c>
      <c r="S131" s="3">
        <f t="shared" ref="S131:S194" si="30">(E131-E$476)/E$477</f>
        <v>-0.44298939165676376</v>
      </c>
      <c r="T131" s="3">
        <f t="shared" ref="T131:T194" si="31">(F131-F$476)/F$477</f>
        <v>-1.0114325482717315</v>
      </c>
      <c r="U131" s="3">
        <f t="shared" ref="U131:U194" si="32">(G131-G$476)/G$477</f>
        <v>-1.2072738295357266</v>
      </c>
      <c r="V131" s="3">
        <f t="shared" ref="V131:V194" si="33">(H131-H$476)/H$477</f>
        <v>-1.2902004917032934</v>
      </c>
      <c r="W131" s="3">
        <f t="shared" ref="W131:W194" si="34">(I131-I$476)/I$477</f>
        <v>-1.3516049009330495</v>
      </c>
      <c r="X131" s="3">
        <f t="shared" ref="X131:X194" si="35">(J131-J$476)/J$477</f>
        <v>-1.3300065112967245</v>
      </c>
      <c r="Y131" s="3">
        <f t="shared" ref="Y131:Y194" si="36">(K131-K$476)/K$477</f>
        <v>-1.3415604021023142</v>
      </c>
      <c r="Z131" s="3">
        <f t="shared" ref="Z131:Z194" si="37">(L131-L$476)/L$477</f>
        <v>-1.057203476694341</v>
      </c>
      <c r="AA131" s="3">
        <f t="shared" ref="AA131:AA194" si="38">(M131-M$476)/M$477</f>
        <v>-1.1185143880240669</v>
      </c>
      <c r="AB131" s="3">
        <f t="shared" ref="AB131:AB194" si="39">(N131-N$476)/N$477</f>
        <v>-1.074854573274616</v>
      </c>
    </row>
    <row r="132" spans="1:28" x14ac:dyDescent="0.25">
      <c r="A132" s="3">
        <v>1.23766233786351E+18</v>
      </c>
      <c r="B132" s="3">
        <v>235.68944999999999</v>
      </c>
      <c r="C132" s="3">
        <v>35.818849999999998</v>
      </c>
      <c r="D132" s="16">
        <v>7.7530189999999999E-2</v>
      </c>
      <c r="E132" s="3">
        <v>1.2448399999999999</v>
      </c>
      <c r="F132" s="3">
        <v>1.8238699999999994</v>
      </c>
      <c r="G132" s="3">
        <v>2.2119700000000009</v>
      </c>
      <c r="H132" s="3">
        <v>2.404679999999999</v>
      </c>
      <c r="I132" s="3">
        <v>0.57902999999999949</v>
      </c>
      <c r="J132" s="3">
        <v>0.96713000000000093</v>
      </c>
      <c r="K132" s="3">
        <v>1.1598399999999991</v>
      </c>
      <c r="L132" s="3">
        <v>0.38810000000000144</v>
      </c>
      <c r="M132" s="3">
        <v>0.5808099999999996</v>
      </c>
      <c r="N132" s="3">
        <v>0.19270999999999816</v>
      </c>
      <c r="P132" s="3">
        <f t="shared" si="27"/>
        <v>-1.7750334903339005</v>
      </c>
      <c r="Q132" s="3">
        <f t="shared" si="28"/>
        <v>-0.95091706829479472</v>
      </c>
      <c r="R132" s="3">
        <f t="shared" si="29"/>
        <v>-1.0427492697066423</v>
      </c>
      <c r="S132" s="3">
        <f t="shared" si="30"/>
        <v>-0.55194792930459757</v>
      </c>
      <c r="T132" s="3">
        <f t="shared" si="31"/>
        <v>-1.170434204641871</v>
      </c>
      <c r="U132" s="3">
        <f t="shared" si="32"/>
        <v>-1.3263677486467549</v>
      </c>
      <c r="V132" s="3">
        <f t="shared" si="33"/>
        <v>-1.4229359812506541</v>
      </c>
      <c r="W132" s="3">
        <f t="shared" si="34"/>
        <v>-1.4855012499208478</v>
      </c>
      <c r="X132" s="3">
        <f t="shared" si="35"/>
        <v>-1.3765264783134241</v>
      </c>
      <c r="Y132" s="3">
        <f t="shared" si="36"/>
        <v>-1.4096683183921355</v>
      </c>
      <c r="Z132" s="3">
        <f t="shared" si="37"/>
        <v>-0.96277157286811343</v>
      </c>
      <c r="AA132" s="3">
        <f t="shared" si="38"/>
        <v>-1.1076473615242981</v>
      </c>
      <c r="AB132" s="3">
        <f t="shared" si="39"/>
        <v>-1.2203396701456892</v>
      </c>
    </row>
    <row r="133" spans="1:28" x14ac:dyDescent="0.25">
      <c r="A133" s="3">
        <v>1.2376625032188301E+18</v>
      </c>
      <c r="B133" s="3">
        <v>236.07399000000001</v>
      </c>
      <c r="C133" s="3">
        <v>36.047853000000003</v>
      </c>
      <c r="D133" s="16">
        <v>7.7739509999999998E-2</v>
      </c>
      <c r="E133" s="3">
        <v>1.0270200000000003</v>
      </c>
      <c r="F133" s="3">
        <v>1.4312400000000025</v>
      </c>
      <c r="G133" s="3">
        <v>1.7621099999999998</v>
      </c>
      <c r="H133" s="3">
        <v>1.8667500000000032</v>
      </c>
      <c r="I133" s="3">
        <v>0.40422000000000224</v>
      </c>
      <c r="J133" s="3">
        <v>0.73508999999999958</v>
      </c>
      <c r="K133" s="3">
        <v>0.83973000000000297</v>
      </c>
      <c r="L133" s="3">
        <v>0.33086999999999733</v>
      </c>
      <c r="M133" s="3">
        <v>0.43551000000000073</v>
      </c>
      <c r="N133" s="3">
        <v>0.1046400000000034</v>
      </c>
      <c r="P133" s="3">
        <f t="shared" si="27"/>
        <v>-0.59189350671839802</v>
      </c>
      <c r="Q133" s="3">
        <f t="shared" si="28"/>
        <v>-0.14023309213649909</v>
      </c>
      <c r="R133" s="3">
        <f t="shared" si="29"/>
        <v>-1.0419293729744799</v>
      </c>
      <c r="S133" s="3">
        <f t="shared" si="30"/>
        <v>-0.76636069170816379</v>
      </c>
      <c r="T133" s="3">
        <f t="shared" si="31"/>
        <v>-1.5196863464075048</v>
      </c>
      <c r="U133" s="3">
        <f t="shared" si="32"/>
        <v>-1.6905550265427978</v>
      </c>
      <c r="V133" s="3">
        <f t="shared" si="33"/>
        <v>-1.834667049709942</v>
      </c>
      <c r="W133" s="3">
        <f t="shared" si="34"/>
        <v>-1.8294098712337623</v>
      </c>
      <c r="X133" s="3">
        <f t="shared" si="35"/>
        <v>-1.6729156366482714</v>
      </c>
      <c r="Y133" s="3">
        <f t="shared" si="36"/>
        <v>-1.7572217231989862</v>
      </c>
      <c r="Z133" s="3">
        <f t="shared" si="37"/>
        <v>-1.1335787111732805</v>
      </c>
      <c r="AA133" s="3">
        <f t="shared" si="38"/>
        <v>-1.4038910670434808</v>
      </c>
      <c r="AB133" s="3">
        <f t="shared" si="39"/>
        <v>-1.7073359636247296</v>
      </c>
    </row>
    <row r="134" spans="1:28" x14ac:dyDescent="0.25">
      <c r="A134" s="3">
        <v>1.2376614659862001E+18</v>
      </c>
      <c r="B134" s="3">
        <v>236.04667000000001</v>
      </c>
      <c r="C134" s="3">
        <v>35.737752999999998</v>
      </c>
      <c r="D134" s="16">
        <v>7.8103790000000006E-2</v>
      </c>
      <c r="E134" s="3">
        <v>1.7243200000000023</v>
      </c>
      <c r="F134" s="3">
        <v>2.6331700000000033</v>
      </c>
      <c r="G134" s="3">
        <v>3.0092300000000023</v>
      </c>
      <c r="H134" s="3">
        <v>3.3559300000000007</v>
      </c>
      <c r="I134" s="3">
        <v>0.90885000000000105</v>
      </c>
      <c r="J134" s="3">
        <v>1.28491</v>
      </c>
      <c r="K134" s="3">
        <v>1.6316099999999985</v>
      </c>
      <c r="L134" s="3">
        <v>0.37605999999999895</v>
      </c>
      <c r="M134" s="3">
        <v>0.7227599999999974</v>
      </c>
      <c r="N134" s="3">
        <v>0.34669999999999845</v>
      </c>
      <c r="P134" s="3">
        <f t="shared" si="27"/>
        <v>-0.67595078126039077</v>
      </c>
      <c r="Q134" s="3">
        <f t="shared" si="28"/>
        <v>-1.2380051781208992</v>
      </c>
      <c r="R134" s="3">
        <f t="shared" si="29"/>
        <v>-1.0405025051090484</v>
      </c>
      <c r="S134" s="3">
        <f t="shared" si="30"/>
        <v>-7.9968169331855882E-2</v>
      </c>
      <c r="T134" s="3">
        <f t="shared" si="31"/>
        <v>-0.45054586617835296</v>
      </c>
      <c r="U134" s="3">
        <f t="shared" si="32"/>
        <v>-0.68094039530260575</v>
      </c>
      <c r="V134" s="3">
        <f t="shared" si="33"/>
        <v>-0.6948502101058931</v>
      </c>
      <c r="W134" s="3">
        <f t="shared" si="34"/>
        <v>-0.83663710323914875</v>
      </c>
      <c r="X134" s="3">
        <f t="shared" si="35"/>
        <v>-0.97061996764437142</v>
      </c>
      <c r="Y134" s="3">
        <f t="shared" si="36"/>
        <v>-0.89745292435343094</v>
      </c>
      <c r="Z134" s="3">
        <f t="shared" si="37"/>
        <v>-0.99870583715597805</v>
      </c>
      <c r="AA134" s="3">
        <f t="shared" si="38"/>
        <v>-0.81823377585019186</v>
      </c>
      <c r="AB134" s="3">
        <f t="shared" si="39"/>
        <v>-0.36882883520936538</v>
      </c>
    </row>
    <row r="135" spans="1:28" x14ac:dyDescent="0.25">
      <c r="A135" s="3">
        <v>1.2376624736910001E+18</v>
      </c>
      <c r="B135" s="3">
        <v>236.43274</v>
      </c>
      <c r="C135" s="3">
        <v>36.196925999999998</v>
      </c>
      <c r="D135" s="16">
        <v>7.8127470000000004E-2</v>
      </c>
      <c r="E135" s="3">
        <v>1.9456500000000005</v>
      </c>
      <c r="F135" s="3">
        <v>2.8880900000000018</v>
      </c>
      <c r="G135" s="3">
        <v>3.3123300000000011</v>
      </c>
      <c r="H135" s="3">
        <v>3.6543400000000013</v>
      </c>
      <c r="I135" s="3">
        <v>0.94244000000000128</v>
      </c>
      <c r="J135" s="3">
        <v>1.3666800000000006</v>
      </c>
      <c r="K135" s="3">
        <v>1.7086900000000007</v>
      </c>
      <c r="L135" s="3">
        <v>0.42423999999999928</v>
      </c>
      <c r="M135" s="3">
        <v>0.76624999999999943</v>
      </c>
      <c r="N135" s="3">
        <v>0.34201000000000015</v>
      </c>
      <c r="P135" s="3">
        <f t="shared" si="27"/>
        <v>0.51189665587074307</v>
      </c>
      <c r="Q135" s="3">
        <f t="shared" si="28"/>
        <v>0.38749402225867413</v>
      </c>
      <c r="R135" s="3">
        <f t="shared" si="29"/>
        <v>-1.040409751647279</v>
      </c>
      <c r="S135" s="3">
        <f t="shared" si="30"/>
        <v>0.13789968808610853</v>
      </c>
      <c r="T135" s="3">
        <f t="shared" si="31"/>
        <v>-0.22378949000002846</v>
      </c>
      <c r="U135" s="3">
        <f t="shared" si="32"/>
        <v>-0.4355636915941411</v>
      </c>
      <c r="V135" s="3">
        <f t="shared" si="33"/>
        <v>-0.46644750317574007</v>
      </c>
      <c r="W135" s="3">
        <f t="shared" si="34"/>
        <v>-0.77055455309956256</v>
      </c>
      <c r="X135" s="3">
        <f t="shared" si="35"/>
        <v>-0.86617357272521744</v>
      </c>
      <c r="Y135" s="3">
        <f t="shared" si="36"/>
        <v>-0.81376476577508861</v>
      </c>
      <c r="Z135" s="3">
        <f t="shared" si="37"/>
        <v>-0.85490908853563174</v>
      </c>
      <c r="AA135" s="3">
        <f t="shared" si="38"/>
        <v>-0.72956454836891205</v>
      </c>
      <c r="AB135" s="3">
        <f t="shared" si="39"/>
        <v>-0.39476289466679709</v>
      </c>
    </row>
    <row r="136" spans="1:28" x14ac:dyDescent="0.25">
      <c r="A136" s="3">
        <v>1.2376625032189701E+18</v>
      </c>
      <c r="B136" s="3">
        <v>236.59008</v>
      </c>
      <c r="C136" s="3">
        <v>35.966523000000002</v>
      </c>
      <c r="D136" s="16">
        <v>7.8327850000000004E-2</v>
      </c>
      <c r="E136" s="3">
        <v>1.3028999999999975</v>
      </c>
      <c r="F136" s="3">
        <v>1.9116999999999997</v>
      </c>
      <c r="G136" s="3">
        <v>2.306989999999999</v>
      </c>
      <c r="H136" s="3">
        <v>2.4812799999999982</v>
      </c>
      <c r="I136" s="3">
        <v>0.60880000000000223</v>
      </c>
      <c r="J136" s="3">
        <v>1.0040900000000015</v>
      </c>
      <c r="K136" s="3">
        <v>1.1783800000000006</v>
      </c>
      <c r="L136" s="3">
        <v>0.39528999999999925</v>
      </c>
      <c r="M136" s="3">
        <v>0.56957999999999842</v>
      </c>
      <c r="N136" s="3">
        <v>0.17428999999999917</v>
      </c>
      <c r="P136" s="3">
        <f t="shared" si="27"/>
        <v>0.99599517623809497</v>
      </c>
      <c r="Q136" s="3">
        <f t="shared" si="28"/>
        <v>-0.42814603555188446</v>
      </c>
      <c r="R136" s="3">
        <f t="shared" si="29"/>
        <v>-1.0396248724804975</v>
      </c>
      <c r="S136" s="3">
        <f t="shared" si="30"/>
        <v>-0.49479612972168252</v>
      </c>
      <c r="T136" s="3">
        <f t="shared" si="31"/>
        <v>-1.0923076844796928</v>
      </c>
      <c r="U136" s="3">
        <f t="shared" si="32"/>
        <v>-1.2494436497144623</v>
      </c>
      <c r="V136" s="3">
        <f t="shared" si="33"/>
        <v>-1.3643064200735842</v>
      </c>
      <c r="W136" s="3">
        <f t="shared" si="34"/>
        <v>-1.4269338930391673</v>
      </c>
      <c r="X136" s="3">
        <f t="shared" si="35"/>
        <v>-1.3293167589027359</v>
      </c>
      <c r="Y136" s="3">
        <f t="shared" si="36"/>
        <v>-1.389538862501599</v>
      </c>
      <c r="Z136" s="3">
        <f t="shared" si="37"/>
        <v>-0.9413124897925641</v>
      </c>
      <c r="AA136" s="3">
        <f t="shared" si="38"/>
        <v>-1.1305435543183848</v>
      </c>
      <c r="AB136" s="3">
        <f t="shared" si="39"/>
        <v>-1.3221958269060385</v>
      </c>
    </row>
    <row r="137" spans="1:28" x14ac:dyDescent="0.25">
      <c r="A137" s="3">
        <v>1.2376625032189701E+18</v>
      </c>
      <c r="B137" s="3">
        <v>236.40135000000001</v>
      </c>
      <c r="C137" s="3">
        <v>35.955989000000002</v>
      </c>
      <c r="D137" s="16">
        <v>7.8679209999999999E-2</v>
      </c>
      <c r="E137" s="3">
        <v>1.91648</v>
      </c>
      <c r="F137" s="3">
        <v>2.85595</v>
      </c>
      <c r="G137" s="3">
        <v>3.2884199999999986</v>
      </c>
      <c r="H137" s="3">
        <v>3.6365399999999983</v>
      </c>
      <c r="I137" s="3">
        <v>0.93947000000000003</v>
      </c>
      <c r="J137" s="3">
        <v>1.3719399999999986</v>
      </c>
      <c r="K137" s="3">
        <v>1.7200599999999984</v>
      </c>
      <c r="L137" s="3">
        <v>0.43246999999999858</v>
      </c>
      <c r="M137" s="3">
        <v>0.78058999999999834</v>
      </c>
      <c r="N137" s="3">
        <v>0.34811999999999976</v>
      </c>
      <c r="P137" s="3">
        <f t="shared" si="27"/>
        <v>0.41531693962360505</v>
      </c>
      <c r="Q137" s="3">
        <f t="shared" si="28"/>
        <v>-0.4654370099271159</v>
      </c>
      <c r="R137" s="3">
        <f t="shared" si="29"/>
        <v>-1.0382486116558625</v>
      </c>
      <c r="S137" s="3">
        <f t="shared" si="30"/>
        <v>0.10918597823709483</v>
      </c>
      <c r="T137" s="3">
        <f t="shared" si="31"/>
        <v>-0.25237865495519796</v>
      </c>
      <c r="U137" s="3">
        <f t="shared" si="32"/>
        <v>-0.45492019765045927</v>
      </c>
      <c r="V137" s="3">
        <f t="shared" si="33"/>
        <v>-0.48007160485918693</v>
      </c>
      <c r="W137" s="3">
        <f t="shared" si="34"/>
        <v>-0.77639751749118668</v>
      </c>
      <c r="X137" s="3">
        <f t="shared" si="35"/>
        <v>-0.8594548734800842</v>
      </c>
      <c r="Y137" s="3">
        <f t="shared" si="36"/>
        <v>-0.80142000237296707</v>
      </c>
      <c r="Z137" s="3">
        <f t="shared" si="37"/>
        <v>-0.8303460490764093</v>
      </c>
      <c r="AA137" s="3">
        <f t="shared" si="38"/>
        <v>-0.70032755774850752</v>
      </c>
      <c r="AB137" s="3">
        <f t="shared" si="39"/>
        <v>-0.36097673191947194</v>
      </c>
    </row>
    <row r="138" spans="1:28" x14ac:dyDescent="0.25">
      <c r="A138" s="3">
        <v>1.2376624731541299E+18</v>
      </c>
      <c r="B138" s="3">
        <v>236.17926</v>
      </c>
      <c r="C138" s="3">
        <v>35.961862000000004</v>
      </c>
      <c r="D138" s="16">
        <v>7.8951750000000001E-2</v>
      </c>
      <c r="E138" s="3">
        <v>1.323640000000001</v>
      </c>
      <c r="F138" s="3">
        <v>1.8381100000000004</v>
      </c>
      <c r="G138" s="3">
        <v>2.1798999999999999</v>
      </c>
      <c r="H138" s="3">
        <v>2.3146099999999983</v>
      </c>
      <c r="I138" s="3">
        <v>0.51446999999999932</v>
      </c>
      <c r="J138" s="3">
        <v>0.85625999999999891</v>
      </c>
      <c r="K138" s="3">
        <v>0.99096999999999724</v>
      </c>
      <c r="L138" s="3">
        <v>0.34178999999999959</v>
      </c>
      <c r="M138" s="3">
        <v>0.47649999999999793</v>
      </c>
      <c r="N138" s="3">
        <v>0.13470999999999833</v>
      </c>
      <c r="P138" s="3">
        <f t="shared" si="27"/>
        <v>-0.26800224423546426</v>
      </c>
      <c r="Q138" s="3">
        <f t="shared" si="28"/>
        <v>-0.44464624739571473</v>
      </c>
      <c r="R138" s="3">
        <f t="shared" si="29"/>
        <v>-1.0371810851157155</v>
      </c>
      <c r="S138" s="3">
        <f t="shared" si="30"/>
        <v>-0.4743805540525487</v>
      </c>
      <c r="T138" s="3">
        <f t="shared" si="31"/>
        <v>-1.1577674433176142</v>
      </c>
      <c r="U138" s="3">
        <f t="shared" si="32"/>
        <v>-1.3523302392040981</v>
      </c>
      <c r="V138" s="3">
        <f t="shared" si="33"/>
        <v>-1.4918754665668266</v>
      </c>
      <c r="W138" s="3">
        <f t="shared" si="34"/>
        <v>-1.6125119506356935</v>
      </c>
      <c r="X138" s="3">
        <f t="shared" si="35"/>
        <v>-1.5181428633530074</v>
      </c>
      <c r="Y138" s="3">
        <f t="shared" si="36"/>
        <v>-1.5930157410585135</v>
      </c>
      <c r="Z138" s="3">
        <f t="shared" si="37"/>
        <v>-1.1009871691447521</v>
      </c>
      <c r="AA138" s="3">
        <f t="shared" si="38"/>
        <v>-1.3203189439242065</v>
      </c>
      <c r="AB138" s="3">
        <f t="shared" si="39"/>
        <v>-1.5410593819861109</v>
      </c>
    </row>
    <row r="139" spans="1:28" x14ac:dyDescent="0.25">
      <c r="A139" s="3">
        <v>1.2376625037558999E+18</v>
      </c>
      <c r="B139" s="3">
        <v>236.86503999999999</v>
      </c>
      <c r="C139" s="3">
        <v>36.109698000000002</v>
      </c>
      <c r="D139" s="16">
        <v>7.9126660000000001E-2</v>
      </c>
      <c r="E139" s="3">
        <v>1.7972000000000001</v>
      </c>
      <c r="F139" s="3">
        <v>2.6917100000000005</v>
      </c>
      <c r="G139" s="3">
        <v>3.0828699999999998</v>
      </c>
      <c r="H139" s="3">
        <v>3.3936999999999991</v>
      </c>
      <c r="I139" s="3">
        <v>0.89451000000000036</v>
      </c>
      <c r="J139" s="3">
        <v>1.2856699999999996</v>
      </c>
      <c r="K139" s="3">
        <v>1.5964999999999989</v>
      </c>
      <c r="L139" s="3">
        <v>0.39115999999999929</v>
      </c>
      <c r="M139" s="3">
        <v>0.70198999999999856</v>
      </c>
      <c r="N139" s="3">
        <v>0.31082999999999927</v>
      </c>
      <c r="P139" s="3">
        <f t="shared" si="27"/>
        <v>1.8419830315844754</v>
      </c>
      <c r="Q139" s="3">
        <f t="shared" si="28"/>
        <v>7.8701814853832985E-2</v>
      </c>
      <c r="R139" s="3">
        <f t="shared" si="29"/>
        <v>-1.0364959707576871</v>
      </c>
      <c r="S139" s="3">
        <f t="shared" si="30"/>
        <v>-8.2281907992534341E-3</v>
      </c>
      <c r="T139" s="3">
        <f t="shared" si="31"/>
        <v>-0.39847337966698254</v>
      </c>
      <c r="U139" s="3">
        <f t="shared" si="32"/>
        <v>-0.62132462340854178</v>
      </c>
      <c r="V139" s="3">
        <f t="shared" si="33"/>
        <v>-0.66594109097197851</v>
      </c>
      <c r="W139" s="3">
        <f t="shared" si="34"/>
        <v>-0.86484858787748475</v>
      </c>
      <c r="X139" s="3">
        <f t="shared" si="35"/>
        <v>-0.9696492050157971</v>
      </c>
      <c r="Y139" s="3">
        <f t="shared" si="36"/>
        <v>-0.93557294572973437</v>
      </c>
      <c r="Z139" s="3">
        <f t="shared" si="37"/>
        <v>-0.95363877812386388</v>
      </c>
      <c r="AA139" s="3">
        <f t="shared" si="38"/>
        <v>-0.86058051888964904</v>
      </c>
      <c r="AB139" s="3">
        <f t="shared" si="39"/>
        <v>-0.56717738803204987</v>
      </c>
    </row>
    <row r="140" spans="1:28" x14ac:dyDescent="0.25">
      <c r="A140" s="3">
        <v>1.23766250321903E+18</v>
      </c>
      <c r="B140" s="3">
        <v>236.65884</v>
      </c>
      <c r="C140" s="3">
        <v>35.783759000000003</v>
      </c>
      <c r="D140" s="16">
        <v>7.9188430000000004E-2</v>
      </c>
      <c r="E140" s="3">
        <v>1.89283</v>
      </c>
      <c r="F140" s="3">
        <v>2.7773800000000008</v>
      </c>
      <c r="G140" s="3">
        <v>3.18919</v>
      </c>
      <c r="H140" s="3">
        <v>3.5195000000000007</v>
      </c>
      <c r="I140" s="3">
        <v>0.88455000000000084</v>
      </c>
      <c r="J140" s="3">
        <v>1.29636</v>
      </c>
      <c r="K140" s="3">
        <v>1.6266700000000007</v>
      </c>
      <c r="L140" s="3">
        <v>0.41180999999999912</v>
      </c>
      <c r="M140" s="3">
        <v>0.74211999999999989</v>
      </c>
      <c r="N140" s="3">
        <v>0.33031000000000077</v>
      </c>
      <c r="P140" s="3">
        <f t="shared" si="27"/>
        <v>1.2075536754147624</v>
      </c>
      <c r="Q140" s="3">
        <f t="shared" si="28"/>
        <v>-1.0751412549096657</v>
      </c>
      <c r="R140" s="3">
        <f t="shared" si="29"/>
        <v>-1.0362540205324546</v>
      </c>
      <c r="S140" s="3">
        <f t="shared" si="30"/>
        <v>8.5905922085940958E-2</v>
      </c>
      <c r="T140" s="3">
        <f t="shared" si="31"/>
        <v>-0.32226822217758488</v>
      </c>
      <c r="U140" s="3">
        <f t="shared" si="32"/>
        <v>-0.53525253123340444</v>
      </c>
      <c r="V140" s="3">
        <f t="shared" si="33"/>
        <v>-0.5696539004226886</v>
      </c>
      <c r="W140" s="3">
        <f t="shared" si="34"/>
        <v>-0.88444317553423502</v>
      </c>
      <c r="X140" s="3">
        <f t="shared" si="35"/>
        <v>-0.95599466225334417</v>
      </c>
      <c r="Y140" s="3">
        <f t="shared" si="36"/>
        <v>-0.90281643633289133</v>
      </c>
      <c r="Z140" s="3">
        <f t="shared" si="37"/>
        <v>-0.89200733646736519</v>
      </c>
      <c r="AA140" s="3">
        <f t="shared" si="38"/>
        <v>-0.77876179967089276</v>
      </c>
      <c r="AB140" s="3">
        <f t="shared" si="39"/>
        <v>-0.45945980205529269</v>
      </c>
    </row>
    <row r="141" spans="1:28" x14ac:dyDescent="0.25">
      <c r="A141" s="3">
        <v>1.23766146598626E+18</v>
      </c>
      <c r="B141" s="3">
        <v>236.32692</v>
      </c>
      <c r="C141" s="3">
        <v>35.785758000000001</v>
      </c>
      <c r="D141" s="16">
        <v>7.9190570000000002E-2</v>
      </c>
      <c r="E141" s="3">
        <v>1.5953900000000019</v>
      </c>
      <c r="F141" s="3">
        <v>2.3593900000000012</v>
      </c>
      <c r="G141" s="3">
        <v>2.7613599999999998</v>
      </c>
      <c r="H141" s="3">
        <v>3.0565200000000026</v>
      </c>
      <c r="I141" s="3">
        <v>0.76399999999999935</v>
      </c>
      <c r="J141" s="3">
        <v>1.165969999999998</v>
      </c>
      <c r="K141" s="3">
        <v>1.4611300000000007</v>
      </c>
      <c r="L141" s="3">
        <v>0.40196999999999861</v>
      </c>
      <c r="M141" s="3">
        <v>0.69713000000000136</v>
      </c>
      <c r="N141" s="3">
        <v>0.29516000000000275</v>
      </c>
      <c r="P141" s="3">
        <f t="shared" si="27"/>
        <v>0.18631317153574375</v>
      </c>
      <c r="Q141" s="3">
        <f t="shared" si="28"/>
        <v>-1.0680646783218541</v>
      </c>
      <c r="R141" s="3">
        <f t="shared" si="29"/>
        <v>-1.0362456382517033</v>
      </c>
      <c r="S141" s="3">
        <f t="shared" si="30"/>
        <v>-0.20688138876391871</v>
      </c>
      <c r="T141" s="3">
        <f t="shared" si="31"/>
        <v>-0.69407858495327268</v>
      </c>
      <c r="U141" s="3">
        <f t="shared" si="32"/>
        <v>-0.88160527009052381</v>
      </c>
      <c r="V141" s="3">
        <f t="shared" si="33"/>
        <v>-0.92401831600702444</v>
      </c>
      <c r="W141" s="3">
        <f t="shared" si="34"/>
        <v>-1.1216045753355794</v>
      </c>
      <c r="X141" s="3">
        <f t="shared" si="35"/>
        <v>-1.1225443190163209</v>
      </c>
      <c r="Y141" s="3">
        <f t="shared" si="36"/>
        <v>-1.0825483742033946</v>
      </c>
      <c r="Z141" s="3">
        <f t="shared" si="37"/>
        <v>-0.92137553917438619</v>
      </c>
      <c r="AA141" s="3">
        <f t="shared" si="38"/>
        <v>-0.8704892897693628</v>
      </c>
      <c r="AB141" s="3">
        <f t="shared" si="39"/>
        <v>-0.65382700673098615</v>
      </c>
    </row>
    <row r="142" spans="1:28" x14ac:dyDescent="0.25">
      <c r="A142" s="3">
        <v>1.23766250321903E+18</v>
      </c>
      <c r="B142" s="3">
        <v>236.62267</v>
      </c>
      <c r="C142" s="3">
        <v>35.791443000000001</v>
      </c>
      <c r="D142" s="16">
        <v>7.9249940000000005E-2</v>
      </c>
      <c r="E142" s="3">
        <v>1.9754900000000006</v>
      </c>
      <c r="F142" s="3">
        <v>2.9167500000000004</v>
      </c>
      <c r="G142" s="3">
        <v>3.3417000000000012</v>
      </c>
      <c r="H142" s="3">
        <v>3.6707400000000021</v>
      </c>
      <c r="I142" s="3">
        <v>0.94125999999999976</v>
      </c>
      <c r="J142" s="3">
        <v>1.3662100000000006</v>
      </c>
      <c r="K142" s="3">
        <v>1.6952500000000015</v>
      </c>
      <c r="L142" s="3">
        <v>0.42495000000000083</v>
      </c>
      <c r="M142" s="3">
        <v>0.75399000000000171</v>
      </c>
      <c r="N142" s="3">
        <v>0.32904000000000089</v>
      </c>
      <c r="P142" s="3">
        <f t="shared" si="27"/>
        <v>1.0962670128897476</v>
      </c>
      <c r="Q142" s="3">
        <f t="shared" si="28"/>
        <v>-1.0479394467551952</v>
      </c>
      <c r="R142" s="3">
        <f t="shared" si="29"/>
        <v>-1.0360130887151637</v>
      </c>
      <c r="S142" s="3">
        <f t="shared" si="30"/>
        <v>0.16727291749627493</v>
      </c>
      <c r="T142" s="3">
        <f t="shared" si="31"/>
        <v>-0.19829585379545253</v>
      </c>
      <c r="U142" s="3">
        <f t="shared" si="32"/>
        <v>-0.41178700473199109</v>
      </c>
      <c r="V142" s="3">
        <f t="shared" si="33"/>
        <v>-0.4538949600516668</v>
      </c>
      <c r="W142" s="3">
        <f t="shared" si="34"/>
        <v>-0.77287600023159031</v>
      </c>
      <c r="X142" s="3">
        <f t="shared" si="35"/>
        <v>-0.86677391277183591</v>
      </c>
      <c r="Y142" s="3">
        <f t="shared" si="36"/>
        <v>-0.82835699269897056</v>
      </c>
      <c r="Z142" s="3">
        <f t="shared" si="37"/>
        <v>-0.8527900413890841</v>
      </c>
      <c r="AA142" s="3">
        <f t="shared" si="38"/>
        <v>-0.75456074816013385</v>
      </c>
      <c r="AB142" s="3">
        <f t="shared" si="39"/>
        <v>-0.46648245781455649</v>
      </c>
    </row>
    <row r="143" spans="1:28" x14ac:dyDescent="0.25">
      <c r="A143" s="3">
        <v>1.2376625032191601E+18</v>
      </c>
      <c r="B143" s="3">
        <v>236.7884</v>
      </c>
      <c r="C143" s="3">
        <v>35.646155</v>
      </c>
      <c r="D143" s="16">
        <v>7.9413300000000006E-2</v>
      </c>
      <c r="E143" s="3">
        <v>2.1463899999999985</v>
      </c>
      <c r="F143" s="3">
        <v>3.1296899999999983</v>
      </c>
      <c r="G143" s="3">
        <v>3.5780999999999992</v>
      </c>
      <c r="H143" s="3">
        <v>3.9019199999999987</v>
      </c>
      <c r="I143" s="3">
        <v>0.98329999999999984</v>
      </c>
      <c r="J143" s="3">
        <v>1.4317100000000007</v>
      </c>
      <c r="K143" s="3">
        <v>1.7555300000000003</v>
      </c>
      <c r="L143" s="3">
        <v>0.44841000000000086</v>
      </c>
      <c r="M143" s="3">
        <v>0.77223000000000042</v>
      </c>
      <c r="N143" s="3">
        <v>0.32381999999999955</v>
      </c>
      <c r="P143" s="3">
        <f t="shared" si="27"/>
        <v>1.6061796084183924</v>
      </c>
      <c r="Q143" s="3">
        <f t="shared" si="28"/>
        <v>-1.5622674403975669</v>
      </c>
      <c r="R143" s="3">
        <f t="shared" si="29"/>
        <v>-1.0353732151714694</v>
      </c>
      <c r="S143" s="3">
        <f t="shared" si="30"/>
        <v>0.33549962346803625</v>
      </c>
      <c r="T143" s="3">
        <f t="shared" si="31"/>
        <v>-8.8815169705182984E-3</v>
      </c>
      <c r="U143" s="3">
        <f t="shared" si="32"/>
        <v>-0.22040774786402417</v>
      </c>
      <c r="V143" s="3">
        <f t="shared" si="33"/>
        <v>-0.27695002594050455</v>
      </c>
      <c r="W143" s="3">
        <f t="shared" si="34"/>
        <v>-0.69016952783301366</v>
      </c>
      <c r="X143" s="3">
        <f t="shared" si="35"/>
        <v>-0.78310950201967067</v>
      </c>
      <c r="Y143" s="3">
        <f t="shared" si="36"/>
        <v>-0.76290911777548553</v>
      </c>
      <c r="Z143" s="3">
        <f t="shared" si="37"/>
        <v>-0.78277194834978758</v>
      </c>
      <c r="AA143" s="3">
        <f t="shared" si="38"/>
        <v>-0.71737227473501664</v>
      </c>
      <c r="AB143" s="3">
        <f t="shared" si="39"/>
        <v>-0.49534723188020191</v>
      </c>
    </row>
    <row r="144" spans="1:28" x14ac:dyDescent="0.25">
      <c r="A144" s="3">
        <v>1.23766146598626E+18</v>
      </c>
      <c r="B144" s="3">
        <v>236.30838</v>
      </c>
      <c r="C144" s="3">
        <v>35.770892000000003</v>
      </c>
      <c r="D144" s="16">
        <v>7.9482280000000002E-2</v>
      </c>
      <c r="E144" s="3">
        <v>1.9666899999999998</v>
      </c>
      <c r="F144" s="3">
        <v>2.9360900000000001</v>
      </c>
      <c r="G144" s="3">
        <v>3.4224100000000011</v>
      </c>
      <c r="H144" s="3">
        <v>3.7992000000000008</v>
      </c>
      <c r="I144" s="3">
        <v>0.96940000000000026</v>
      </c>
      <c r="J144" s="3">
        <v>1.4557200000000012</v>
      </c>
      <c r="K144" s="3">
        <v>1.832510000000001</v>
      </c>
      <c r="L144" s="3">
        <v>0.48632000000000097</v>
      </c>
      <c r="M144" s="3">
        <v>0.86311000000000071</v>
      </c>
      <c r="N144" s="3">
        <v>0.37678999999999974</v>
      </c>
      <c r="P144" s="3">
        <f t="shared" si="27"/>
        <v>0.12926991128653073</v>
      </c>
      <c r="Q144" s="3">
        <f t="shared" si="28"/>
        <v>-1.1206911853526229</v>
      </c>
      <c r="R144" s="3">
        <f t="shared" si="29"/>
        <v>-1.0351030237106222</v>
      </c>
      <c r="S144" s="3">
        <f t="shared" si="30"/>
        <v>0.15861057102142614</v>
      </c>
      <c r="T144" s="3">
        <f t="shared" si="31"/>
        <v>-0.18109254171602074</v>
      </c>
      <c r="U144" s="3">
        <f t="shared" si="32"/>
        <v>-0.34644766538421734</v>
      </c>
      <c r="V144" s="3">
        <f t="shared" si="33"/>
        <v>-0.3555718082395723</v>
      </c>
      <c r="W144" s="3">
        <f t="shared" si="34"/>
        <v>-0.71751538811703319</v>
      </c>
      <c r="X144" s="3">
        <f t="shared" si="35"/>
        <v>-0.75244106687219703</v>
      </c>
      <c r="Y144" s="3">
        <f t="shared" si="36"/>
        <v>-0.67932953231413806</v>
      </c>
      <c r="Z144" s="3">
        <f t="shared" si="37"/>
        <v>-0.66962676901817064</v>
      </c>
      <c r="AA144" s="3">
        <f t="shared" si="38"/>
        <v>-0.53208233696775153</v>
      </c>
      <c r="AB144" s="3">
        <f t="shared" si="39"/>
        <v>-0.20244166056662866</v>
      </c>
    </row>
    <row r="145" spans="1:28" x14ac:dyDescent="0.25">
      <c r="A145" s="3">
        <v>1.2376625032190999E+18</v>
      </c>
      <c r="B145" s="3">
        <v>236.73812000000001</v>
      </c>
      <c r="C145" s="3">
        <v>35.655124999999998</v>
      </c>
      <c r="D145" s="16">
        <v>7.9570520000000006E-2</v>
      </c>
      <c r="E145" s="3">
        <v>1.9329000000000001</v>
      </c>
      <c r="F145" s="3">
        <v>2.8248299999999986</v>
      </c>
      <c r="G145" s="3">
        <v>3.2573800000000013</v>
      </c>
      <c r="H145" s="3">
        <v>3.6179400000000008</v>
      </c>
      <c r="I145" s="3">
        <v>0.89192999999999856</v>
      </c>
      <c r="J145" s="3">
        <v>1.3244800000000012</v>
      </c>
      <c r="K145" s="3">
        <v>1.6850400000000008</v>
      </c>
      <c r="L145" s="3">
        <v>0.43255000000000265</v>
      </c>
      <c r="M145" s="3">
        <v>0.7931100000000022</v>
      </c>
      <c r="N145" s="3">
        <v>0.36055999999999955</v>
      </c>
      <c r="P145" s="3">
        <f t="shared" si="27"/>
        <v>1.4514797634707428</v>
      </c>
      <c r="Q145" s="3">
        <f t="shared" si="28"/>
        <v>-1.5305131172396256</v>
      </c>
      <c r="R145" s="3">
        <f t="shared" si="29"/>
        <v>-1.0347573917230148</v>
      </c>
      <c r="S145" s="3">
        <f t="shared" si="30"/>
        <v>0.12534912927311809</v>
      </c>
      <c r="T145" s="3">
        <f t="shared" si="31"/>
        <v>-0.28006050975933183</v>
      </c>
      <c r="U145" s="3">
        <f t="shared" si="32"/>
        <v>-0.48004884457592972</v>
      </c>
      <c r="V145" s="3">
        <f t="shared" si="33"/>
        <v>-0.49430802571941374</v>
      </c>
      <c r="W145" s="3">
        <f t="shared" si="34"/>
        <v>-0.86992429431869489</v>
      </c>
      <c r="X145" s="3">
        <f t="shared" si="35"/>
        <v>-0.9200764449960771</v>
      </c>
      <c r="Y145" s="3">
        <f t="shared" si="36"/>
        <v>-0.83944230794397456</v>
      </c>
      <c r="Z145" s="3">
        <f t="shared" si="37"/>
        <v>-0.83010728320073035</v>
      </c>
      <c r="AA145" s="3">
        <f t="shared" si="38"/>
        <v>-0.67480125910362565</v>
      </c>
      <c r="AB145" s="3">
        <f t="shared" si="39"/>
        <v>-0.29218788337990659</v>
      </c>
    </row>
    <row r="146" spans="1:28" x14ac:dyDescent="0.25">
      <c r="A146" s="3">
        <v>1.2376625032191601E+18</v>
      </c>
      <c r="B146" s="3">
        <v>236.79683</v>
      </c>
      <c r="C146" s="3">
        <v>35.660555000000002</v>
      </c>
      <c r="D146" s="16">
        <v>8.0674369999999995E-2</v>
      </c>
      <c r="E146" s="3">
        <v>1.90137</v>
      </c>
      <c r="F146" s="3">
        <v>2.8122700000000016</v>
      </c>
      <c r="G146" s="3">
        <v>3.22926</v>
      </c>
      <c r="H146" s="3">
        <v>3.5687700000000007</v>
      </c>
      <c r="I146" s="3">
        <v>0.9109000000000016</v>
      </c>
      <c r="J146" s="3">
        <v>1.32789</v>
      </c>
      <c r="K146" s="3">
        <v>1.6674000000000007</v>
      </c>
      <c r="L146" s="3">
        <v>0.41698999999999842</v>
      </c>
      <c r="M146" s="3">
        <v>0.75649999999999906</v>
      </c>
      <c r="N146" s="3">
        <v>0.33951000000000064</v>
      </c>
      <c r="P146" s="3">
        <f t="shared" si="27"/>
        <v>1.6321167542598736</v>
      </c>
      <c r="Q146" s="3">
        <f t="shared" si="28"/>
        <v>-1.5112906005453346</v>
      </c>
      <c r="R146" s="3">
        <f t="shared" si="29"/>
        <v>-1.0304336624673416</v>
      </c>
      <c r="S146" s="3">
        <f t="shared" si="30"/>
        <v>9.4312335596759334E-2</v>
      </c>
      <c r="T146" s="3">
        <f t="shared" si="31"/>
        <v>-0.29123287789364499</v>
      </c>
      <c r="U146" s="3">
        <f t="shared" si="32"/>
        <v>-0.50281358528289888</v>
      </c>
      <c r="V146" s="3">
        <f t="shared" si="33"/>
        <v>-0.5319426931225022</v>
      </c>
      <c r="W146" s="3">
        <f t="shared" si="34"/>
        <v>-0.83260408067927416</v>
      </c>
      <c r="X146" s="3">
        <f t="shared" si="35"/>
        <v>-0.91572078635997356</v>
      </c>
      <c r="Y146" s="3">
        <f t="shared" si="36"/>
        <v>-0.85859460578157087</v>
      </c>
      <c r="Z146" s="3">
        <f t="shared" si="37"/>
        <v>-0.87654724601794032</v>
      </c>
      <c r="AA146" s="3">
        <f t="shared" si="38"/>
        <v>-0.74944325538069567</v>
      </c>
      <c r="AB146" s="3">
        <f t="shared" si="39"/>
        <v>-0.40858702017715737</v>
      </c>
    </row>
    <row r="147" spans="1:28" x14ac:dyDescent="0.25">
      <c r="A147" s="3">
        <v>1.2376625032190999E+18</v>
      </c>
      <c r="B147" s="3">
        <v>236.76319000000001</v>
      </c>
      <c r="C147" s="3">
        <v>35.650075999999999</v>
      </c>
      <c r="D147" s="16">
        <v>8.0797430000000003E-2</v>
      </c>
      <c r="E147" s="3">
        <v>2.0993500000000012</v>
      </c>
      <c r="F147" s="3">
        <v>3.0246400000000015</v>
      </c>
      <c r="G147" s="3">
        <v>3.4539299999999997</v>
      </c>
      <c r="H147" s="3">
        <v>3.7759700000000009</v>
      </c>
      <c r="I147" s="3">
        <v>0.92529000000000039</v>
      </c>
      <c r="J147" s="3">
        <v>1.3545799999999986</v>
      </c>
      <c r="K147" s="3">
        <v>1.6766199999999998</v>
      </c>
      <c r="L147" s="3">
        <v>0.42928999999999817</v>
      </c>
      <c r="M147" s="3">
        <v>0.75132999999999939</v>
      </c>
      <c r="N147" s="3">
        <v>0.32204000000000121</v>
      </c>
      <c r="P147" s="3">
        <f t="shared" si="27"/>
        <v>1.5286143122543254</v>
      </c>
      <c r="Q147" s="3">
        <f t="shared" si="28"/>
        <v>-1.5483868717128109</v>
      </c>
      <c r="R147" s="3">
        <f t="shared" si="29"/>
        <v>-1.0299516421546151</v>
      </c>
      <c r="S147" s="3">
        <f t="shared" si="30"/>
        <v>0.28919544412976067</v>
      </c>
      <c r="T147" s="3">
        <f t="shared" si="31"/>
        <v>-0.10232556732958152</v>
      </c>
      <c r="U147" s="3">
        <f t="shared" si="32"/>
        <v>-0.32093043113515596</v>
      </c>
      <c r="V147" s="3">
        <f t="shared" si="33"/>
        <v>-0.37335202633543846</v>
      </c>
      <c r="W147" s="3">
        <f t="shared" si="34"/>
        <v>-0.80429422963704267</v>
      </c>
      <c r="X147" s="3">
        <f t="shared" si="35"/>
        <v>-0.88162913562752832</v>
      </c>
      <c r="Y147" s="3">
        <f t="shared" si="36"/>
        <v>-0.848584164394801</v>
      </c>
      <c r="Z147" s="3">
        <f t="shared" si="37"/>
        <v>-0.83983699263416678</v>
      </c>
      <c r="AA147" s="3">
        <f t="shared" si="38"/>
        <v>-0.75998406720130196</v>
      </c>
      <c r="AB147" s="3">
        <f t="shared" si="39"/>
        <v>-0.50519000924357116</v>
      </c>
    </row>
    <row r="148" spans="1:28" x14ac:dyDescent="0.25">
      <c r="A148" s="3">
        <v>1.23766247369074E+18</v>
      </c>
      <c r="B148" s="3">
        <v>235.93932000000001</v>
      </c>
      <c r="C148" s="3">
        <v>36.537877999999999</v>
      </c>
      <c r="D148" s="16">
        <v>9.3138219999999994E-2</v>
      </c>
      <c r="E148" s="3">
        <v>1.963009999999997</v>
      </c>
      <c r="F148" s="3">
        <v>2.9200599999999994</v>
      </c>
      <c r="G148" s="3">
        <v>3.4103999999999992</v>
      </c>
      <c r="H148" s="3">
        <v>3.7576699999999974</v>
      </c>
      <c r="I148" s="3">
        <v>0.9570500000000024</v>
      </c>
      <c r="J148" s="3">
        <v>1.4473900000000022</v>
      </c>
      <c r="K148" s="3">
        <v>1.7946600000000004</v>
      </c>
      <c r="L148" s="3">
        <v>0.49033999999999978</v>
      </c>
      <c r="M148" s="3">
        <v>0.83760999999999797</v>
      </c>
      <c r="N148" s="3">
        <v>0.34726999999999819</v>
      </c>
      <c r="P148" s="3">
        <f t="shared" si="27"/>
        <v>-1.006241719111109</v>
      </c>
      <c r="Q148" s="3">
        <f t="shared" si="28"/>
        <v>1.5944839876264525</v>
      </c>
      <c r="R148" s="3">
        <f t="shared" si="29"/>
        <v>-0.98161334006545675</v>
      </c>
      <c r="S148" s="3">
        <f t="shared" si="30"/>
        <v>0.15498813522285063</v>
      </c>
      <c r="T148" s="3">
        <f t="shared" si="31"/>
        <v>-0.19535154340336858</v>
      </c>
      <c r="U148" s="3">
        <f t="shared" si="32"/>
        <v>-0.35617044404320491</v>
      </c>
      <c r="V148" s="3">
        <f t="shared" si="33"/>
        <v>-0.38735882750437584</v>
      </c>
      <c r="W148" s="3">
        <f t="shared" si="34"/>
        <v>-0.74181188988016933</v>
      </c>
      <c r="X148" s="3">
        <f t="shared" si="35"/>
        <v>-0.76308113620907425</v>
      </c>
      <c r="Y148" s="3">
        <f t="shared" si="36"/>
        <v>-0.72042445709605574</v>
      </c>
      <c r="Z148" s="3">
        <f t="shared" si="37"/>
        <v>-0.65762878376591627</v>
      </c>
      <c r="AA148" s="3">
        <f t="shared" si="38"/>
        <v>-0.58407280146011242</v>
      </c>
      <c r="AB148" s="3">
        <f t="shared" si="39"/>
        <v>-0.36567693459300404</v>
      </c>
    </row>
    <row r="149" spans="1:28" x14ac:dyDescent="0.25">
      <c r="A149" s="3">
        <v>1.2376625032187E+18</v>
      </c>
      <c r="B149" s="3">
        <v>235.90908999999999</v>
      </c>
      <c r="C149" s="3">
        <v>36.285921000000002</v>
      </c>
      <c r="D149" s="16">
        <v>9.3240450000000002E-2</v>
      </c>
      <c r="E149" s="3">
        <v>1.2844700000000024</v>
      </c>
      <c r="F149" s="3">
        <v>1.9025800000000004</v>
      </c>
      <c r="G149" s="3">
        <v>2.2638500000000015</v>
      </c>
      <c r="H149" s="3">
        <v>2.4659600000000026</v>
      </c>
      <c r="I149" s="3">
        <v>0.61810999999999794</v>
      </c>
      <c r="J149" s="3">
        <v>0.97937999999999903</v>
      </c>
      <c r="K149" s="3">
        <v>1.1814900000000002</v>
      </c>
      <c r="L149" s="3">
        <v>0.36127000000000109</v>
      </c>
      <c r="M149" s="3">
        <v>0.56338000000000221</v>
      </c>
      <c r="N149" s="3">
        <v>0.20211000000000112</v>
      </c>
      <c r="P149" s="3">
        <f t="shared" si="27"/>
        <v>-1.0992523856340084</v>
      </c>
      <c r="Q149" s="3">
        <f t="shared" si="28"/>
        <v>0.70254151272041065</v>
      </c>
      <c r="R149" s="3">
        <f t="shared" si="29"/>
        <v>-0.98121290989667698</v>
      </c>
      <c r="S149" s="3">
        <f t="shared" si="30"/>
        <v>-0.51293783944116045</v>
      </c>
      <c r="T149" s="3">
        <f t="shared" si="31"/>
        <v>-1.1004201046536541</v>
      </c>
      <c r="U149" s="3">
        <f t="shared" si="32"/>
        <v>-1.284367935422092</v>
      </c>
      <c r="V149" s="3">
        <f t="shared" si="33"/>
        <v>-1.3760323323089949</v>
      </c>
      <c r="W149" s="3">
        <f t="shared" si="34"/>
        <v>-1.408618068633116</v>
      </c>
      <c r="X149" s="3">
        <f t="shared" si="35"/>
        <v>-1.3608793175238993</v>
      </c>
      <c r="Y149" s="3">
        <f t="shared" si="36"/>
        <v>-1.3861622385631118</v>
      </c>
      <c r="Z149" s="3">
        <f t="shared" si="37"/>
        <v>-1.0428476784198759</v>
      </c>
      <c r="AA149" s="3">
        <f t="shared" si="38"/>
        <v>-1.1431843731361262</v>
      </c>
      <c r="AB149" s="3">
        <f t="shared" si="39"/>
        <v>-1.1683609582267078</v>
      </c>
    </row>
    <row r="150" spans="1:28" x14ac:dyDescent="0.25">
      <c r="A150" s="3">
        <v>1.2376625032187E+18</v>
      </c>
      <c r="B150" s="3">
        <v>235.87171000000001</v>
      </c>
      <c r="C150" s="3">
        <v>36.279058999999997</v>
      </c>
      <c r="D150" s="16">
        <v>9.3569559999999996E-2</v>
      </c>
      <c r="E150" s="3">
        <v>1.9155499999999996</v>
      </c>
      <c r="F150" s="3">
        <v>2.8702100000000002</v>
      </c>
      <c r="G150" s="3">
        <v>3.3750800000000005</v>
      </c>
      <c r="H150" s="3">
        <v>3.7692600000000009</v>
      </c>
      <c r="I150" s="3">
        <v>0.95466000000000051</v>
      </c>
      <c r="J150" s="3">
        <v>1.4595300000000009</v>
      </c>
      <c r="K150" s="3">
        <v>1.8537100000000013</v>
      </c>
      <c r="L150" s="3">
        <v>0.50487000000000037</v>
      </c>
      <c r="M150" s="3">
        <v>0.89905000000000079</v>
      </c>
      <c r="N150" s="3">
        <v>0.39418000000000042</v>
      </c>
      <c r="P150" s="3">
        <f t="shared" si="27"/>
        <v>-1.2142619362334974</v>
      </c>
      <c r="Q150" s="3">
        <f t="shared" si="28"/>
        <v>0.67824963250747738</v>
      </c>
      <c r="R150" s="3">
        <f t="shared" si="29"/>
        <v>-0.97992380129013223</v>
      </c>
      <c r="S150" s="3">
        <f t="shared" si="30"/>
        <v>0.10827052571191173</v>
      </c>
      <c r="T150" s="3">
        <f t="shared" si="31"/>
        <v>-0.23969410323582341</v>
      </c>
      <c r="U150" s="3">
        <f t="shared" si="32"/>
        <v>-0.38476399460401878</v>
      </c>
      <c r="V150" s="3">
        <f t="shared" si="33"/>
        <v>-0.3784878534307145</v>
      </c>
      <c r="W150" s="3">
        <f t="shared" si="34"/>
        <v>-0.74651380398656209</v>
      </c>
      <c r="X150" s="3">
        <f t="shared" si="35"/>
        <v>-0.7475744805368425</v>
      </c>
      <c r="Y150" s="3">
        <f t="shared" si="36"/>
        <v>-0.65631203151158446</v>
      </c>
      <c r="Z150" s="3">
        <f t="shared" si="37"/>
        <v>-0.61426293159792744</v>
      </c>
      <c r="AA150" s="3">
        <f t="shared" si="38"/>
        <v>-0.45880636465970248</v>
      </c>
      <c r="AB150" s="3">
        <f t="shared" si="39"/>
        <v>-0.10628104351653953</v>
      </c>
    </row>
    <row r="151" spans="1:28" x14ac:dyDescent="0.25">
      <c r="A151" s="3">
        <v>1.2376625032187E+18</v>
      </c>
      <c r="B151" s="3">
        <v>235.89401000000001</v>
      </c>
      <c r="C151" s="3">
        <v>36.218031000000003</v>
      </c>
      <c r="D151" s="16">
        <v>0.1075565</v>
      </c>
      <c r="E151" s="3">
        <v>1.2833900000000007</v>
      </c>
      <c r="F151" s="3">
        <v>1.836549999999999</v>
      </c>
      <c r="G151" s="3">
        <v>2.1531500000000001</v>
      </c>
      <c r="H151" s="3">
        <v>2.2952200000000005</v>
      </c>
      <c r="I151" s="3">
        <v>0.55315999999999832</v>
      </c>
      <c r="J151" s="3">
        <v>0.86975999999999942</v>
      </c>
      <c r="K151" s="3">
        <v>1.0118299999999998</v>
      </c>
      <c r="L151" s="3">
        <v>0.3166000000000011</v>
      </c>
      <c r="M151" s="3">
        <v>0.45867000000000147</v>
      </c>
      <c r="N151" s="3">
        <v>0.14207000000000036</v>
      </c>
      <c r="P151" s="3">
        <f t="shared" si="27"/>
        <v>-1.1456500320502494</v>
      </c>
      <c r="Q151" s="3">
        <f t="shared" si="28"/>
        <v>0.46220695316711208</v>
      </c>
      <c r="R151" s="3">
        <f t="shared" si="29"/>
        <v>-0.9251376059960762</v>
      </c>
      <c r="S151" s="3">
        <f t="shared" si="30"/>
        <v>-0.51400094559943887</v>
      </c>
      <c r="T151" s="3">
        <f t="shared" si="31"/>
        <v>-1.1591550941368456</v>
      </c>
      <c r="U151" s="3">
        <f t="shared" si="32"/>
        <v>-1.373985886924987</v>
      </c>
      <c r="V151" s="3">
        <f t="shared" si="33"/>
        <v>-1.506716552614128</v>
      </c>
      <c r="W151" s="3">
        <f t="shared" si="34"/>
        <v>-1.5363960272983757</v>
      </c>
      <c r="X151" s="3">
        <f t="shared" si="35"/>
        <v>-1.500899053503324</v>
      </c>
      <c r="Y151" s="3">
        <f t="shared" si="36"/>
        <v>-1.5703673888537342</v>
      </c>
      <c r="Z151" s="3">
        <f t="shared" si="37"/>
        <v>-1.1761685742453392</v>
      </c>
      <c r="AA151" s="3">
        <f t="shared" si="38"/>
        <v>-1.3566714922339518</v>
      </c>
      <c r="AB151" s="3">
        <f t="shared" si="39"/>
        <v>-1.5003611564835908</v>
      </c>
    </row>
    <row r="152" spans="1:28" x14ac:dyDescent="0.25">
      <c r="A152" s="3">
        <v>1.23766233786351E+18</v>
      </c>
      <c r="B152" s="3">
        <v>235.75324000000001</v>
      </c>
      <c r="C152" s="3">
        <v>35.804855000000003</v>
      </c>
      <c r="D152" s="16">
        <v>0.1153564</v>
      </c>
      <c r="E152" s="3">
        <v>1.509129999999999</v>
      </c>
      <c r="F152" s="3">
        <v>2.3636799999999987</v>
      </c>
      <c r="G152" s="3">
        <v>2.8628999999999998</v>
      </c>
      <c r="H152" s="3">
        <v>3.0991299999999988</v>
      </c>
      <c r="I152" s="3">
        <v>0.8545499999999997</v>
      </c>
      <c r="J152" s="3">
        <v>1.3537700000000008</v>
      </c>
      <c r="K152" s="3">
        <v>1.5899999999999999</v>
      </c>
      <c r="L152" s="3">
        <v>0.49922000000000111</v>
      </c>
      <c r="M152" s="3">
        <v>0.73545000000000016</v>
      </c>
      <c r="N152" s="3">
        <v>0.23622999999999905</v>
      </c>
      <c r="P152" s="3">
        <f t="shared" si="27"/>
        <v>-1.5787665231657422</v>
      </c>
      <c r="Q152" s="3">
        <f t="shared" si="28"/>
        <v>-1.0004601845261556</v>
      </c>
      <c r="R152" s="3">
        <f t="shared" si="29"/>
        <v>-0.89458575943963792</v>
      </c>
      <c r="S152" s="3">
        <f t="shared" si="30"/>
        <v>-0.29179207136851093</v>
      </c>
      <c r="T152" s="3">
        <f t="shared" si="31"/>
        <v>-0.69026254520039165</v>
      </c>
      <c r="U152" s="3">
        <f t="shared" si="32"/>
        <v>-0.7994028600128017</v>
      </c>
      <c r="V152" s="3">
        <f t="shared" si="33"/>
        <v>-0.89140466585356803</v>
      </c>
      <c r="W152" s="3">
        <f t="shared" si="34"/>
        <v>-0.94346301787384945</v>
      </c>
      <c r="X152" s="3">
        <f t="shared" si="35"/>
        <v>-0.88266376421850645</v>
      </c>
      <c r="Y152" s="3">
        <f t="shared" si="36"/>
        <v>-0.94263019833428985</v>
      </c>
      <c r="Z152" s="3">
        <f t="shared" si="37"/>
        <v>-0.63112577156689476</v>
      </c>
      <c r="AA152" s="3">
        <f t="shared" si="38"/>
        <v>-0.79236087410869649</v>
      </c>
      <c r="AB152" s="3">
        <f t="shared" si="39"/>
        <v>-0.9796892932612844</v>
      </c>
    </row>
    <row r="153" spans="1:28" x14ac:dyDescent="0.25">
      <c r="A153" s="3">
        <v>1.23766250375584E+18</v>
      </c>
      <c r="B153" s="3">
        <v>236.7253</v>
      </c>
      <c r="C153" s="3">
        <v>36.269435000000001</v>
      </c>
      <c r="D153" s="16">
        <v>0.1156571</v>
      </c>
      <c r="E153" s="3">
        <v>1.6920300000000026</v>
      </c>
      <c r="F153" s="3">
        <v>2.6279900000000005</v>
      </c>
      <c r="G153" s="3">
        <v>3.1277399999999993</v>
      </c>
      <c r="H153" s="3">
        <v>3.4899400000000007</v>
      </c>
      <c r="I153" s="3">
        <v>0.9359599999999979</v>
      </c>
      <c r="J153" s="3">
        <v>1.4357099999999967</v>
      </c>
      <c r="K153" s="3">
        <v>1.7979099999999981</v>
      </c>
      <c r="L153" s="3">
        <v>0.49974999999999881</v>
      </c>
      <c r="M153" s="3">
        <v>0.86195000000000022</v>
      </c>
      <c r="N153" s="3">
        <v>0.36220000000000141</v>
      </c>
      <c r="P153" s="3">
        <f t="shared" si="27"/>
        <v>1.4120356104828715</v>
      </c>
      <c r="Q153" s="3">
        <f t="shared" si="28"/>
        <v>0.64418011120625718</v>
      </c>
      <c r="R153" s="3">
        <f t="shared" si="29"/>
        <v>-0.8934079314854948</v>
      </c>
      <c r="S153" s="3">
        <f t="shared" si="30"/>
        <v>-0.1117530747492239</v>
      </c>
      <c r="T153" s="3">
        <f t="shared" si="31"/>
        <v>-0.45515357851400484</v>
      </c>
      <c r="U153" s="3">
        <f t="shared" si="32"/>
        <v>-0.58499980422213882</v>
      </c>
      <c r="V153" s="3">
        <f t="shared" si="33"/>
        <v>-0.59227909400485845</v>
      </c>
      <c r="W153" s="3">
        <f t="shared" si="34"/>
        <v>-0.78330283904492548</v>
      </c>
      <c r="X153" s="3">
        <f t="shared" si="35"/>
        <v>-0.77800022502717714</v>
      </c>
      <c r="Y153" s="3">
        <f t="shared" si="36"/>
        <v>-0.71689583079377994</v>
      </c>
      <c r="Z153" s="3">
        <f t="shared" si="37"/>
        <v>-0.62954394764060895</v>
      </c>
      <c r="AA153" s="3">
        <f t="shared" si="38"/>
        <v>-0.53444739339171854</v>
      </c>
      <c r="AB153" s="3">
        <f t="shared" si="39"/>
        <v>-0.28311925704509816</v>
      </c>
    </row>
    <row r="154" spans="1:28" x14ac:dyDescent="0.25">
      <c r="A154" s="3">
        <v>1.23766247315426E+18</v>
      </c>
      <c r="B154" s="3">
        <v>236.60979</v>
      </c>
      <c r="C154" s="3">
        <v>35.714427000000001</v>
      </c>
      <c r="D154" s="16">
        <v>0.1158771</v>
      </c>
      <c r="E154" s="3">
        <v>2.012909999999998</v>
      </c>
      <c r="F154" s="3">
        <v>3.0355999999999987</v>
      </c>
      <c r="G154" s="3">
        <v>3.4643699999999988</v>
      </c>
      <c r="H154" s="3">
        <v>3.8486999999999991</v>
      </c>
      <c r="I154" s="3">
        <v>1.0226900000000008</v>
      </c>
      <c r="J154" s="3">
        <v>1.4514600000000009</v>
      </c>
      <c r="K154" s="3">
        <v>1.8357900000000011</v>
      </c>
      <c r="L154" s="3">
        <v>0.4287700000000001</v>
      </c>
      <c r="M154" s="3">
        <v>0.81310000000000038</v>
      </c>
      <c r="N154" s="3">
        <v>0.38433000000000028</v>
      </c>
      <c r="P154" s="3">
        <f t="shared" si="27"/>
        <v>1.0566382538816812</v>
      </c>
      <c r="Q154" s="3">
        <f t="shared" si="28"/>
        <v>-1.3205805785648486</v>
      </c>
      <c r="R154" s="3">
        <f t="shared" si="29"/>
        <v>-0.89254620168864918</v>
      </c>
      <c r="S154" s="3">
        <f t="shared" si="30"/>
        <v>0.20410757716545538</v>
      </c>
      <c r="T154" s="3">
        <f t="shared" si="31"/>
        <v>-9.2576430804735238E-2</v>
      </c>
      <c r="U154" s="3">
        <f t="shared" si="32"/>
        <v>-0.31247865684707887</v>
      </c>
      <c r="V154" s="3">
        <f t="shared" si="33"/>
        <v>-0.31768455917606175</v>
      </c>
      <c r="W154" s="3">
        <f t="shared" si="34"/>
        <v>-0.6126764748411011</v>
      </c>
      <c r="X154" s="3">
        <f t="shared" si="35"/>
        <v>-0.75788244686920847</v>
      </c>
      <c r="Y154" s="3">
        <f t="shared" si="36"/>
        <v>-0.67576833407676173</v>
      </c>
      <c r="Z154" s="3">
        <f t="shared" si="37"/>
        <v>-0.8413889708259954</v>
      </c>
      <c r="AA154" s="3">
        <f t="shared" si="38"/>
        <v>-0.63404481262511247</v>
      </c>
      <c r="AB154" s="3">
        <f t="shared" si="39"/>
        <v>-0.16074809802737067</v>
      </c>
    </row>
    <row r="155" spans="1:28" x14ac:dyDescent="0.25">
      <c r="A155" s="3">
        <v>1.2376625032190999E+18</v>
      </c>
      <c r="B155" s="3">
        <v>236.75801000000001</v>
      </c>
      <c r="C155" s="3">
        <v>35.711208999999997</v>
      </c>
      <c r="D155" s="16">
        <v>0.1160872</v>
      </c>
      <c r="E155" s="3">
        <v>1.9976699999999994</v>
      </c>
      <c r="F155" s="3">
        <v>2.9849099999999993</v>
      </c>
      <c r="G155" s="3">
        <v>3.3895599999999995</v>
      </c>
      <c r="H155" s="3">
        <v>3.7318699999999971</v>
      </c>
      <c r="I155" s="3">
        <v>0.9872399999999999</v>
      </c>
      <c r="J155" s="3">
        <v>1.3918900000000001</v>
      </c>
      <c r="K155" s="3">
        <v>1.7341999999999977</v>
      </c>
      <c r="L155" s="3">
        <v>0.40465000000000018</v>
      </c>
      <c r="M155" s="3">
        <v>0.74695999999999785</v>
      </c>
      <c r="N155" s="3">
        <v>0.34230999999999767</v>
      </c>
      <c r="P155" s="3">
        <f t="shared" si="27"/>
        <v>1.5126766591750018</v>
      </c>
      <c r="Q155" s="3">
        <f t="shared" si="28"/>
        <v>-1.3319724862485056</v>
      </c>
      <c r="R155" s="3">
        <f t="shared" si="29"/>
        <v>-0.89172324973266159</v>
      </c>
      <c r="S155" s="3">
        <f t="shared" si="30"/>
        <v>0.18910596804310642</v>
      </c>
      <c r="T155" s="3">
        <f t="shared" si="31"/>
        <v>-0.13766618723216037</v>
      </c>
      <c r="U155" s="3">
        <f t="shared" si="32"/>
        <v>-0.37304161034239447</v>
      </c>
      <c r="V155" s="3">
        <f t="shared" si="33"/>
        <v>-0.40710612095566096</v>
      </c>
      <c r="W155" s="3">
        <f t="shared" si="34"/>
        <v>-0.68241825520574451</v>
      </c>
      <c r="X155" s="3">
        <f t="shared" si="35"/>
        <v>-0.8339723544799954</v>
      </c>
      <c r="Y155" s="3">
        <f t="shared" si="36"/>
        <v>-0.78606776363013264</v>
      </c>
      <c r="Z155" s="3">
        <f t="shared" si="37"/>
        <v>-0.91337688233954284</v>
      </c>
      <c r="AA155" s="3">
        <f t="shared" si="38"/>
        <v>-0.76889380562607346</v>
      </c>
      <c r="AB155" s="3">
        <f t="shared" si="39"/>
        <v>-0.39310399960556719</v>
      </c>
    </row>
    <row r="156" spans="1:28" x14ac:dyDescent="0.25">
      <c r="A156" s="3">
        <v>1.2376624736911301E+18</v>
      </c>
      <c r="B156" s="3">
        <v>236.73739</v>
      </c>
      <c r="C156" s="3">
        <v>36.068503999999997</v>
      </c>
      <c r="D156" s="16">
        <v>0.1228896</v>
      </c>
      <c r="E156" s="3">
        <v>1.4095999999999975</v>
      </c>
      <c r="F156" s="3">
        <v>2.2206699999999984</v>
      </c>
      <c r="G156" s="3">
        <v>2.6718099999999971</v>
      </c>
      <c r="H156" s="3">
        <v>3.0265099999999983</v>
      </c>
      <c r="I156" s="3">
        <v>0.81107000000000085</v>
      </c>
      <c r="J156" s="3">
        <v>1.2622099999999996</v>
      </c>
      <c r="K156" s="3">
        <v>1.6169100000000007</v>
      </c>
      <c r="L156" s="3">
        <v>0.45113999999999876</v>
      </c>
      <c r="M156" s="3">
        <v>0.80583999999999989</v>
      </c>
      <c r="N156" s="3">
        <v>0.35470000000000113</v>
      </c>
      <c r="P156" s="3">
        <f t="shared" si="27"/>
        <v>1.4492337235580044</v>
      </c>
      <c r="Q156" s="3">
        <f t="shared" si="28"/>
        <v>-6.7127347706777751E-2</v>
      </c>
      <c r="R156" s="3">
        <f t="shared" si="29"/>
        <v>-0.86507856441419406</v>
      </c>
      <c r="S156" s="3">
        <f t="shared" si="30"/>
        <v>-0.38976517871415084</v>
      </c>
      <c r="T156" s="3">
        <f t="shared" si="31"/>
        <v>-0.817472765494062</v>
      </c>
      <c r="U156" s="3">
        <f t="shared" si="32"/>
        <v>-0.95410109264774501</v>
      </c>
      <c r="V156" s="3">
        <f t="shared" si="33"/>
        <v>-0.94698793912613866</v>
      </c>
      <c r="W156" s="3">
        <f t="shared" si="34"/>
        <v>-1.0290024427047251</v>
      </c>
      <c r="X156" s="3">
        <f t="shared" si="35"/>
        <v>-0.99961511457680163</v>
      </c>
      <c r="Y156" s="3">
        <f t="shared" si="36"/>
        <v>-0.91341317255142529</v>
      </c>
      <c r="Z156" s="3">
        <f t="shared" si="37"/>
        <v>-0.7746240628426635</v>
      </c>
      <c r="AA156" s="3">
        <f t="shared" si="38"/>
        <v>-0.64884680369234871</v>
      </c>
      <c r="AB156" s="3">
        <f t="shared" si="39"/>
        <v>-0.32459163357618886</v>
      </c>
    </row>
    <row r="157" spans="1:28" x14ac:dyDescent="0.25">
      <c r="A157" s="3">
        <v>1.23766233786371E+18</v>
      </c>
      <c r="B157" s="3">
        <v>236.09461999999999</v>
      </c>
      <c r="C157" s="3">
        <v>35.624761999999997</v>
      </c>
      <c r="D157" s="16">
        <v>0.1238088</v>
      </c>
      <c r="E157" s="3">
        <v>1.3359500000000004</v>
      </c>
      <c r="F157" s="3">
        <v>2.0618100000000013</v>
      </c>
      <c r="G157" s="3">
        <v>2.4509800000000013</v>
      </c>
      <c r="H157" s="3">
        <v>2.7422000000000004</v>
      </c>
      <c r="I157" s="3">
        <v>0.72586000000000084</v>
      </c>
      <c r="J157" s="3">
        <v>1.1150300000000009</v>
      </c>
      <c r="K157" s="3">
        <v>1.40625</v>
      </c>
      <c r="L157" s="3">
        <v>0.38917000000000002</v>
      </c>
      <c r="M157" s="3">
        <v>0.68038999999999916</v>
      </c>
      <c r="N157" s="3">
        <v>0.29121999999999915</v>
      </c>
      <c r="P157" s="3">
        <f t="shared" si="27"/>
        <v>-0.52841980343144079</v>
      </c>
      <c r="Q157" s="3">
        <f t="shared" si="28"/>
        <v>-1.637999908103041</v>
      </c>
      <c r="R157" s="3">
        <f t="shared" si="29"/>
        <v>-0.86147810064482799</v>
      </c>
      <c r="S157" s="3">
        <f t="shared" si="30"/>
        <v>-0.46226311256330177</v>
      </c>
      <c r="T157" s="3">
        <f t="shared" si="31"/>
        <v>-0.95878187391901182</v>
      </c>
      <c r="U157" s="3">
        <f t="shared" si="32"/>
        <v>-1.1328755482067667</v>
      </c>
      <c r="V157" s="3">
        <f t="shared" si="33"/>
        <v>-1.1645985205654712</v>
      </c>
      <c r="W157" s="3">
        <f t="shared" si="34"/>
        <v>-1.1966384682300035</v>
      </c>
      <c r="X157" s="3">
        <f t="shared" si="35"/>
        <v>-1.1876109615157873</v>
      </c>
      <c r="Y157" s="3">
        <f t="shared" si="36"/>
        <v>-1.14213330080925</v>
      </c>
      <c r="Z157" s="3">
        <f t="shared" si="37"/>
        <v>-0.95957807928107397</v>
      </c>
      <c r="AA157" s="3">
        <f t="shared" si="38"/>
        <v>-0.9046195005772899</v>
      </c>
      <c r="AB157" s="3">
        <f t="shared" si="39"/>
        <v>-0.67561382853533825</v>
      </c>
    </row>
    <row r="158" spans="1:28" x14ac:dyDescent="0.25">
      <c r="A158" s="3">
        <v>1.2376614659861299E+18</v>
      </c>
      <c r="B158" s="3">
        <v>235.84402</v>
      </c>
      <c r="C158" s="3">
        <v>35.851506000000001</v>
      </c>
      <c r="D158" s="16">
        <v>0.1239637</v>
      </c>
      <c r="E158" s="3">
        <v>1.9004800000000017</v>
      </c>
      <c r="F158" s="3">
        <v>2.966540000000002</v>
      </c>
      <c r="G158" s="3">
        <v>3.4148899999999998</v>
      </c>
      <c r="H158" s="3">
        <v>3.7806100000000011</v>
      </c>
      <c r="I158" s="3">
        <v>1.0660600000000002</v>
      </c>
      <c r="J158" s="3">
        <v>1.514409999999998</v>
      </c>
      <c r="K158" s="3">
        <v>1.8801299999999994</v>
      </c>
      <c r="L158" s="3">
        <v>0.44834999999999781</v>
      </c>
      <c r="M158" s="3">
        <v>0.81406999999999918</v>
      </c>
      <c r="N158" s="3">
        <v>0.36572000000000138</v>
      </c>
      <c r="P158" s="3">
        <f t="shared" si="27"/>
        <v>-1.299457614566883</v>
      </c>
      <c r="Q158" s="3">
        <f t="shared" si="28"/>
        <v>-0.83531292369657117</v>
      </c>
      <c r="R158" s="3">
        <f t="shared" si="29"/>
        <v>-0.86087136452877622</v>
      </c>
      <c r="S158" s="3">
        <f t="shared" si="30"/>
        <v>9.343625737373662E-2</v>
      </c>
      <c r="T158" s="3">
        <f t="shared" si="31"/>
        <v>-0.15400666514835071</v>
      </c>
      <c r="U158" s="3">
        <f t="shared" si="32"/>
        <v>-0.35253553345379168</v>
      </c>
      <c r="V158" s="3">
        <f t="shared" si="33"/>
        <v>-0.3698005751100909</v>
      </c>
      <c r="W158" s="3">
        <f t="shared" si="34"/>
        <v>-0.52735345609880291</v>
      </c>
      <c r="X158" s="3">
        <f t="shared" si="35"/>
        <v>-0.67747520019976493</v>
      </c>
      <c r="Y158" s="3">
        <f t="shared" si="36"/>
        <v>-0.6276270140019895</v>
      </c>
      <c r="Z158" s="3">
        <f t="shared" si="37"/>
        <v>-0.78295102275654682</v>
      </c>
      <c r="AA158" s="3">
        <f t="shared" si="38"/>
        <v>-0.63206713613266052</v>
      </c>
      <c r="AB158" s="3">
        <f t="shared" si="39"/>
        <v>-0.26365488832650713</v>
      </c>
    </row>
    <row r="159" spans="1:28" x14ac:dyDescent="0.25">
      <c r="A159" s="3">
        <v>1.2376614659861299E+18</v>
      </c>
      <c r="B159" s="3">
        <v>235.84612000000001</v>
      </c>
      <c r="C159" s="3">
        <v>35.879350000000002</v>
      </c>
      <c r="D159" s="16">
        <v>0.1242968</v>
      </c>
      <c r="E159" s="3">
        <v>1.612919999999999</v>
      </c>
      <c r="F159" s="3">
        <v>2.4735499999999995</v>
      </c>
      <c r="G159" s="3">
        <v>2.9005100000000006</v>
      </c>
      <c r="H159" s="3">
        <v>3.2315900000000006</v>
      </c>
      <c r="I159" s="3">
        <v>0.86063000000000045</v>
      </c>
      <c r="J159" s="3">
        <v>1.2875900000000016</v>
      </c>
      <c r="K159" s="3">
        <v>1.6186700000000016</v>
      </c>
      <c r="L159" s="3">
        <v>0.42696000000000112</v>
      </c>
      <c r="M159" s="3">
        <v>0.75804000000000116</v>
      </c>
      <c r="N159" s="3">
        <v>0.33108000000000004</v>
      </c>
      <c r="P159" s="3">
        <f t="shared" si="27"/>
        <v>-1.2929964038590043</v>
      </c>
      <c r="Q159" s="3">
        <f t="shared" si="28"/>
        <v>-0.73674353974897033</v>
      </c>
      <c r="R159" s="3">
        <f t="shared" si="29"/>
        <v>-0.8595666272772795</v>
      </c>
      <c r="S159" s="3">
        <f t="shared" si="30"/>
        <v>-0.18962560084300276</v>
      </c>
      <c r="T159" s="3">
        <f t="shared" si="31"/>
        <v>-0.59253100961780558</v>
      </c>
      <c r="U159" s="3">
        <f t="shared" si="32"/>
        <v>-0.76895542409569317</v>
      </c>
      <c r="V159" s="3">
        <f t="shared" si="33"/>
        <v>-0.79001991815755102</v>
      </c>
      <c r="W159" s="3">
        <f t="shared" si="34"/>
        <v>-0.93150166315968652</v>
      </c>
      <c r="X159" s="3">
        <f t="shared" si="35"/>
        <v>-0.96719675205939537</v>
      </c>
      <c r="Y159" s="3">
        <f t="shared" si="36"/>
        <v>-0.91150228569234437</v>
      </c>
      <c r="Z159" s="3">
        <f t="shared" si="37"/>
        <v>-0.8467910487629543</v>
      </c>
      <c r="AA159" s="3">
        <f t="shared" si="38"/>
        <v>-0.74630343909370211</v>
      </c>
      <c r="AB159" s="3">
        <f t="shared" si="39"/>
        <v>-0.45520197139810492</v>
      </c>
    </row>
    <row r="160" spans="1:28" x14ac:dyDescent="0.25">
      <c r="A160" s="3">
        <v>1.23766250321903E+18</v>
      </c>
      <c r="B160" s="3">
        <v>236.57581999999999</v>
      </c>
      <c r="C160" s="3">
        <v>35.837733</v>
      </c>
      <c r="D160" s="16">
        <v>0.124418</v>
      </c>
      <c r="E160" s="3">
        <v>1.6665700000000001</v>
      </c>
      <c r="F160" s="3">
        <v>2.6494199999999992</v>
      </c>
      <c r="G160" s="3">
        <v>3.0609900000000003</v>
      </c>
      <c r="H160" s="3">
        <v>3.4161900000000003</v>
      </c>
      <c r="I160" s="3">
        <v>0.98284999999999911</v>
      </c>
      <c r="J160" s="3">
        <v>1.3944200000000002</v>
      </c>
      <c r="K160" s="3">
        <v>1.7496200000000002</v>
      </c>
      <c r="L160" s="3">
        <v>0.4115700000000011</v>
      </c>
      <c r="M160" s="3">
        <v>0.76677000000000106</v>
      </c>
      <c r="N160" s="3">
        <v>0.35519999999999996</v>
      </c>
      <c r="P160" s="3">
        <f t="shared" si="27"/>
        <v>0.95212047876484118</v>
      </c>
      <c r="Q160" s="3">
        <f t="shared" si="28"/>
        <v>-0.88407014698023256</v>
      </c>
      <c r="R160" s="3">
        <f t="shared" si="29"/>
        <v>-0.85909189249828999</v>
      </c>
      <c r="S160" s="3">
        <f t="shared" si="30"/>
        <v>-0.13681481807304785</v>
      </c>
      <c r="T160" s="3">
        <f t="shared" si="31"/>
        <v>-0.43609117014470766</v>
      </c>
      <c r="U160" s="3">
        <f t="shared" si="32"/>
        <v>-0.63903772890884225</v>
      </c>
      <c r="V160" s="3">
        <f t="shared" si="33"/>
        <v>-0.64872726811463655</v>
      </c>
      <c r="W160" s="3">
        <f t="shared" si="34"/>
        <v>-0.69105482546810926</v>
      </c>
      <c r="X160" s="3">
        <f t="shared" si="35"/>
        <v>-0.83074073678223981</v>
      </c>
      <c r="Y160" s="3">
        <f t="shared" si="36"/>
        <v>-0.76932578898978232</v>
      </c>
      <c r="Z160" s="3">
        <f t="shared" si="37"/>
        <v>-0.89272363409435973</v>
      </c>
      <c r="AA160" s="3">
        <f t="shared" si="38"/>
        <v>-0.72850435066161368</v>
      </c>
      <c r="AB160" s="3">
        <f t="shared" si="39"/>
        <v>-0.32182680847412271</v>
      </c>
    </row>
    <row r="161" spans="1:28" x14ac:dyDescent="0.25">
      <c r="A161" s="3">
        <v>1.23766247315393E+18</v>
      </c>
      <c r="B161" s="3">
        <v>235.74289999999999</v>
      </c>
      <c r="C161" s="3">
        <v>36.229205999999998</v>
      </c>
      <c r="D161" s="16">
        <v>0.1254054</v>
      </c>
      <c r="E161" s="3">
        <v>1.5147200000000005</v>
      </c>
      <c r="F161" s="3">
        <v>1.7515800000000006</v>
      </c>
      <c r="G161" s="3">
        <v>1.5411999999999999</v>
      </c>
      <c r="H161" s="3">
        <v>1.0354099999999988</v>
      </c>
      <c r="I161" s="3">
        <v>0.23686000000000007</v>
      </c>
      <c r="J161" s="3">
        <v>2.6479999999999393E-2</v>
      </c>
      <c r="K161" s="3">
        <v>-0.47931000000000168</v>
      </c>
      <c r="L161" s="3">
        <v>-0.21038000000000068</v>
      </c>
      <c r="M161" s="3">
        <v>-0.71617000000000175</v>
      </c>
      <c r="N161" s="3">
        <v>-0.50579000000000107</v>
      </c>
      <c r="P161" s="3">
        <f t="shared" si="27"/>
        <v>-1.6105802939843823</v>
      </c>
      <c r="Q161" s="3">
        <f t="shared" si="28"/>
        <v>0.50176710492741283</v>
      </c>
      <c r="R161" s="3">
        <f t="shared" si="29"/>
        <v>-0.85522429249190179</v>
      </c>
      <c r="S161" s="3">
        <f t="shared" si="30"/>
        <v>-0.28628951264187302</v>
      </c>
      <c r="T161" s="3">
        <f t="shared" si="31"/>
        <v>-1.2347375877970999</v>
      </c>
      <c r="U161" s="3">
        <f t="shared" si="32"/>
        <v>-1.8693942466557543</v>
      </c>
      <c r="V161" s="3">
        <f t="shared" si="33"/>
        <v>-2.470973830244489</v>
      </c>
      <c r="W161" s="3">
        <f t="shared" si="34"/>
        <v>-2.1586618983656831</v>
      </c>
      <c r="X161" s="3">
        <f t="shared" si="35"/>
        <v>-2.5780368290618858</v>
      </c>
      <c r="Y161" s="3">
        <f t="shared" si="36"/>
        <v>-3.1893445655857771</v>
      </c>
      <c r="Z161" s="3">
        <f t="shared" si="37"/>
        <v>-2.7489790887316365</v>
      </c>
      <c r="AA161" s="3">
        <f t="shared" si="38"/>
        <v>-3.7519843276927274</v>
      </c>
      <c r="AB161" s="3">
        <f t="shared" si="39"/>
        <v>-5.0828003377411202</v>
      </c>
    </row>
    <row r="162" spans="1:28" x14ac:dyDescent="0.25">
      <c r="A162" s="3">
        <v>1.2376624736908001E+18</v>
      </c>
      <c r="B162" s="3">
        <v>235.98036999999999</v>
      </c>
      <c r="C162" s="3">
        <v>36.385114999999999</v>
      </c>
      <c r="D162" s="16">
        <v>0.12737989999999999</v>
      </c>
      <c r="E162" s="3">
        <v>1.4035399999999996</v>
      </c>
      <c r="F162" s="3">
        <v>2.2587100000000007</v>
      </c>
      <c r="G162" s="3">
        <v>2.704740000000001</v>
      </c>
      <c r="H162" s="3">
        <v>2.99878</v>
      </c>
      <c r="I162" s="3">
        <v>0.8551700000000011</v>
      </c>
      <c r="J162" s="3">
        <v>1.3012000000000015</v>
      </c>
      <c r="K162" s="3">
        <v>1.5952400000000004</v>
      </c>
      <c r="L162" s="3">
        <v>0.44603000000000037</v>
      </c>
      <c r="M162" s="3">
        <v>0.74006999999999934</v>
      </c>
      <c r="N162" s="3">
        <v>0.29403999999999897</v>
      </c>
      <c r="P162" s="3">
        <f t="shared" si="27"/>
        <v>-0.8799404336079214</v>
      </c>
      <c r="Q162" s="3">
        <f t="shared" si="28"/>
        <v>1.0536940580191254</v>
      </c>
      <c r="R162" s="3">
        <f t="shared" si="29"/>
        <v>-0.84749026756521206</v>
      </c>
      <c r="S162" s="3">
        <f t="shared" si="30"/>
        <v>-0.39573038549114642</v>
      </c>
      <c r="T162" s="3">
        <f t="shared" si="31"/>
        <v>-0.78363543397898261</v>
      </c>
      <c r="U162" s="3">
        <f t="shared" si="32"/>
        <v>-0.92744238313563443</v>
      </c>
      <c r="V162" s="3">
        <f t="shared" si="33"/>
        <v>-0.96821245259141375</v>
      </c>
      <c r="W162" s="3">
        <f t="shared" si="34"/>
        <v>-0.94224327446549472</v>
      </c>
      <c r="X162" s="3">
        <f t="shared" si="35"/>
        <v>-0.94981243709241892</v>
      </c>
      <c r="Y162" s="3">
        <f t="shared" si="36"/>
        <v>-0.93694096700384677</v>
      </c>
      <c r="Z162" s="3">
        <f t="shared" si="37"/>
        <v>-0.78987523315087715</v>
      </c>
      <c r="AA162" s="3">
        <f t="shared" si="38"/>
        <v>-0.78294142524773036</v>
      </c>
      <c r="AB162" s="3">
        <f t="shared" si="39"/>
        <v>-0.66002021495964969</v>
      </c>
    </row>
    <row r="163" spans="1:28" x14ac:dyDescent="0.25">
      <c r="A163" s="3">
        <v>1.2376625032187E+18</v>
      </c>
      <c r="B163" s="3">
        <v>235.88801000000001</v>
      </c>
      <c r="C163" s="3">
        <v>36.383172999999999</v>
      </c>
      <c r="D163" s="16">
        <v>0.127388</v>
      </c>
      <c r="E163" s="3">
        <v>0.6467400000000012</v>
      </c>
      <c r="F163" s="3">
        <v>0.93725999999999843</v>
      </c>
      <c r="G163" s="3">
        <v>1.2791299999999985</v>
      </c>
      <c r="H163" s="3">
        <v>0.94147999999999854</v>
      </c>
      <c r="I163" s="3">
        <v>0.29051999999999722</v>
      </c>
      <c r="J163" s="3">
        <v>0.63238999999999734</v>
      </c>
      <c r="K163" s="3">
        <v>0.29473999999999734</v>
      </c>
      <c r="L163" s="3">
        <v>0.34187000000000012</v>
      </c>
      <c r="M163" s="3">
        <v>4.2200000000001125E-3</v>
      </c>
      <c r="N163" s="3">
        <v>-0.33765000000000001</v>
      </c>
      <c r="P163" s="3">
        <f t="shared" si="27"/>
        <v>-1.1641106340726475</v>
      </c>
      <c r="Q163" s="3">
        <f t="shared" si="28"/>
        <v>1.0468192647557224</v>
      </c>
      <c r="R163" s="3">
        <f t="shared" si="29"/>
        <v>-0.84745854024087364</v>
      </c>
      <c r="S163" s="3">
        <f t="shared" si="30"/>
        <v>-1.1406921823280705</v>
      </c>
      <c r="T163" s="3">
        <f t="shared" si="31"/>
        <v>-1.9590913154353189</v>
      </c>
      <c r="U163" s="3">
        <f t="shared" si="32"/>
        <v>-2.0815548297665361</v>
      </c>
      <c r="V163" s="3">
        <f t="shared" si="33"/>
        <v>-2.5428677555886439</v>
      </c>
      <c r="W163" s="3">
        <f t="shared" si="34"/>
        <v>-2.0530950737009022</v>
      </c>
      <c r="X163" s="3">
        <f t="shared" si="35"/>
        <v>-1.8040963234306766</v>
      </c>
      <c r="Y163" s="3">
        <f t="shared" si="36"/>
        <v>-2.348934353500101</v>
      </c>
      <c r="Z163" s="3">
        <f t="shared" si="37"/>
        <v>-1.1007484032690837</v>
      </c>
      <c r="AA163" s="3">
        <f t="shared" si="38"/>
        <v>-2.2832231231575166</v>
      </c>
      <c r="AB163" s="3">
        <f t="shared" si="39"/>
        <v>-4.1530449524161366</v>
      </c>
    </row>
    <row r="164" spans="1:28" x14ac:dyDescent="0.25">
      <c r="A164" s="3">
        <v>1.23766146598626E+18</v>
      </c>
      <c r="B164" s="3">
        <v>236.24325999999999</v>
      </c>
      <c r="C164" s="3">
        <v>35.63682</v>
      </c>
      <c r="D164" s="16">
        <v>0.1431992</v>
      </c>
      <c r="E164" s="3">
        <v>1.2023699999999984</v>
      </c>
      <c r="F164" s="3">
        <v>1.8755400000000009</v>
      </c>
      <c r="G164" s="3">
        <v>2.351189999999999</v>
      </c>
      <c r="H164" s="3">
        <v>2.53566</v>
      </c>
      <c r="I164" s="3">
        <v>0.67317000000000249</v>
      </c>
      <c r="J164" s="3">
        <v>1.1488200000000006</v>
      </c>
      <c r="K164" s="3">
        <v>1.3332900000000016</v>
      </c>
      <c r="L164" s="3">
        <v>0.47564999999999813</v>
      </c>
      <c r="M164" s="3">
        <v>0.66011999999999915</v>
      </c>
      <c r="N164" s="3">
        <v>0.18447000000000102</v>
      </c>
      <c r="P164" s="3">
        <f t="shared" si="27"/>
        <v>-7.1089155996579403E-2</v>
      </c>
      <c r="Q164" s="3">
        <f t="shared" si="28"/>
        <v>-1.5953138848434369</v>
      </c>
      <c r="R164" s="3">
        <f t="shared" si="29"/>
        <v>-0.78552680313230105</v>
      </c>
      <c r="S164" s="3">
        <f t="shared" si="30"/>
        <v>-0.59375359462128019</v>
      </c>
      <c r="T164" s="3">
        <f t="shared" si="31"/>
        <v>-1.1244727188536456</v>
      </c>
      <c r="U164" s="3">
        <f t="shared" si="32"/>
        <v>-1.2136612336672363</v>
      </c>
      <c r="V164" s="3">
        <f t="shared" si="33"/>
        <v>-1.3226840240316882</v>
      </c>
      <c r="W164" s="3">
        <f t="shared" si="34"/>
        <v>-1.300296984659139</v>
      </c>
      <c r="X164" s="3">
        <f t="shared" si="35"/>
        <v>-1.1444503441216554</v>
      </c>
      <c r="Y164" s="3">
        <f t="shared" si="36"/>
        <v>-1.2213482469674695</v>
      </c>
      <c r="Z164" s="3">
        <f t="shared" si="37"/>
        <v>-0.7014721676852419</v>
      </c>
      <c r="AA164" s="3">
        <f t="shared" si="38"/>
        <v>-0.94594682274435027</v>
      </c>
      <c r="AB164" s="3">
        <f t="shared" si="39"/>
        <v>-1.26590398782783</v>
      </c>
    </row>
    <row r="165" spans="1:28" x14ac:dyDescent="0.25">
      <c r="A165" s="3">
        <v>1.2376614659863301E+18</v>
      </c>
      <c r="B165" s="3">
        <v>236.35124999999999</v>
      </c>
      <c r="C165" s="3">
        <v>35.738518999999997</v>
      </c>
      <c r="D165" s="16">
        <v>0.14978</v>
      </c>
      <c r="E165" s="3">
        <v>1.697140000000001</v>
      </c>
      <c r="F165" s="3">
        <v>2.6720500000000023</v>
      </c>
      <c r="G165" s="3">
        <v>3.1470400000000005</v>
      </c>
      <c r="H165" s="3">
        <v>3.4943200000000019</v>
      </c>
      <c r="I165" s="3">
        <v>0.97491000000000128</v>
      </c>
      <c r="J165" s="3">
        <v>1.4498999999999995</v>
      </c>
      <c r="K165" s="3">
        <v>1.7971800000000009</v>
      </c>
      <c r="L165" s="3">
        <v>0.47498999999999825</v>
      </c>
      <c r="M165" s="3">
        <v>0.82226999999999961</v>
      </c>
      <c r="N165" s="3">
        <v>0.34728000000000137</v>
      </c>
      <c r="P165" s="3">
        <f t="shared" si="27"/>
        <v>0.26117091273654086</v>
      </c>
      <c r="Q165" s="3">
        <f t="shared" si="28"/>
        <v>-1.2352934934454314</v>
      </c>
      <c r="R165" s="3">
        <f t="shared" si="29"/>
        <v>-0.75975011473647436</v>
      </c>
      <c r="S165" s="3">
        <f t="shared" si="30"/>
        <v>-0.1067230076484899</v>
      </c>
      <c r="T165" s="3">
        <f t="shared" si="31"/>
        <v>-0.41596133806830643</v>
      </c>
      <c r="U165" s="3">
        <f t="shared" si="32"/>
        <v>-0.56937535558613195</v>
      </c>
      <c r="V165" s="3">
        <f t="shared" si="33"/>
        <v>-0.58892664651196502</v>
      </c>
      <c r="W165" s="3">
        <f t="shared" si="34"/>
        <v>-0.7066754104073224</v>
      </c>
      <c r="X165" s="3">
        <f t="shared" si="35"/>
        <v>-0.75987506489628465</v>
      </c>
      <c r="Y165" s="3">
        <f t="shared" si="36"/>
        <v>-0.71768841454782717</v>
      </c>
      <c r="Z165" s="3">
        <f t="shared" si="37"/>
        <v>-0.70344198615949283</v>
      </c>
      <c r="AA165" s="3">
        <f t="shared" si="38"/>
        <v>-0.61534863382531413</v>
      </c>
      <c r="AB165" s="3">
        <f t="shared" si="39"/>
        <v>-0.36562163809094506</v>
      </c>
    </row>
    <row r="166" spans="1:28" x14ac:dyDescent="0.25">
      <c r="A166" s="3">
        <v>1.23766146598626E+18</v>
      </c>
      <c r="B166" s="3">
        <v>236.34017</v>
      </c>
      <c r="C166" s="3">
        <v>35.770614999999999</v>
      </c>
      <c r="D166" s="16">
        <v>0.15014939999999999</v>
      </c>
      <c r="E166" s="3">
        <v>1.8135399999999997</v>
      </c>
      <c r="F166" s="3">
        <v>2.8863099999999982</v>
      </c>
      <c r="G166" s="3">
        <v>3.3535800000000009</v>
      </c>
      <c r="H166" s="3">
        <v>3.7226900000000001</v>
      </c>
      <c r="I166" s="3">
        <v>1.0727699999999984</v>
      </c>
      <c r="J166" s="3">
        <v>1.5400400000000012</v>
      </c>
      <c r="K166" s="3">
        <v>1.9091500000000003</v>
      </c>
      <c r="L166" s="3">
        <v>0.46727000000000274</v>
      </c>
      <c r="M166" s="3">
        <v>0.8363800000000019</v>
      </c>
      <c r="N166" s="3">
        <v>0.36910999999999916</v>
      </c>
      <c r="P166" s="3">
        <f t="shared" si="27"/>
        <v>0.22708033433520278</v>
      </c>
      <c r="Q166" s="3">
        <f t="shared" si="28"/>
        <v>-1.1216717815081281</v>
      </c>
      <c r="R166" s="3">
        <f t="shared" si="29"/>
        <v>-0.75830319206849806</v>
      </c>
      <c r="S166" s="3">
        <f t="shared" si="30"/>
        <v>7.8562116324525002E-3</v>
      </c>
      <c r="T166" s="3">
        <f t="shared" si="31"/>
        <v>-0.22537283516556375</v>
      </c>
      <c r="U166" s="3">
        <f t="shared" si="32"/>
        <v>-0.40216946847314422</v>
      </c>
      <c r="V166" s="3">
        <f t="shared" si="33"/>
        <v>-0.41413248350925547</v>
      </c>
      <c r="W166" s="3">
        <f t="shared" si="34"/>
        <v>-0.51415268469551312</v>
      </c>
      <c r="X166" s="3">
        <f t="shared" si="35"/>
        <v>-0.64473750787032591</v>
      </c>
      <c r="Y166" s="3">
        <f t="shared" si="36"/>
        <v>-0.59611909545056885</v>
      </c>
      <c r="Z166" s="3">
        <f t="shared" si="37"/>
        <v>-0.72648289316132808</v>
      </c>
      <c r="AA166" s="3">
        <f t="shared" si="38"/>
        <v>-0.58658057680620623</v>
      </c>
      <c r="AB166" s="3">
        <f t="shared" si="39"/>
        <v>-0.24490937413446712</v>
      </c>
    </row>
    <row r="167" spans="1:28" x14ac:dyDescent="0.25">
      <c r="A167" s="3">
        <v>1.2376624731543301E+18</v>
      </c>
      <c r="B167" s="3">
        <v>236.59671</v>
      </c>
      <c r="C167" s="3">
        <v>35.684753999999998</v>
      </c>
      <c r="D167" s="16">
        <v>0.15167710000000001</v>
      </c>
      <c r="E167" s="3">
        <v>2.0356400000000008</v>
      </c>
      <c r="F167" s="3">
        <v>3.1498699999999999</v>
      </c>
      <c r="G167" s="3">
        <v>3.618310000000001</v>
      </c>
      <c r="H167" s="3">
        <v>3.9903300000000002</v>
      </c>
      <c r="I167" s="3">
        <v>1.1142299999999992</v>
      </c>
      <c r="J167" s="3">
        <v>1.5826700000000002</v>
      </c>
      <c r="K167" s="3">
        <v>1.9546899999999994</v>
      </c>
      <c r="L167" s="3">
        <v>0.46844000000000108</v>
      </c>
      <c r="M167" s="3">
        <v>0.84046000000000021</v>
      </c>
      <c r="N167" s="3">
        <v>0.37201999999999913</v>
      </c>
      <c r="P167" s="3">
        <f t="shared" si="27"/>
        <v>1.0163941414728479</v>
      </c>
      <c r="Q167" s="3">
        <f t="shared" si="28"/>
        <v>-1.4256247291853492</v>
      </c>
      <c r="R167" s="3">
        <f t="shared" si="29"/>
        <v>-0.75231926202012933</v>
      </c>
      <c r="S167" s="3">
        <f t="shared" si="30"/>
        <v>0.22648202436696888</v>
      </c>
      <c r="T167" s="3">
        <f t="shared" si="31"/>
        <v>9.0689917038853894E-3</v>
      </c>
      <c r="U167" s="3">
        <f t="shared" si="32"/>
        <v>-0.18785546394413682</v>
      </c>
      <c r="V167" s="3">
        <f t="shared" si="33"/>
        <v>-0.20928110291615842</v>
      </c>
      <c r="W167" s="3">
        <f t="shared" si="34"/>
        <v>-0.43258726258216773</v>
      </c>
      <c r="X167" s="3">
        <f t="shared" si="35"/>
        <v>-0.59028538832277289</v>
      </c>
      <c r="Y167" s="3">
        <f t="shared" si="36"/>
        <v>-0.54667489797187763</v>
      </c>
      <c r="Z167" s="3">
        <f t="shared" si="37"/>
        <v>-0.72299094222970572</v>
      </c>
      <c r="AA167" s="3">
        <f t="shared" si="38"/>
        <v>-0.57826210248743282</v>
      </c>
      <c r="AB167" s="3">
        <f t="shared" si="39"/>
        <v>-0.22881809204040471</v>
      </c>
    </row>
    <row r="168" spans="1:28" x14ac:dyDescent="0.25">
      <c r="A168" s="3">
        <v>1.23766233786351E+18</v>
      </c>
      <c r="B168" s="3">
        <v>235.65716</v>
      </c>
      <c r="C168" s="3">
        <v>35.904936999999997</v>
      </c>
      <c r="D168" s="16">
        <v>0.1517288</v>
      </c>
      <c r="E168" s="3">
        <v>1.5125500000000009</v>
      </c>
      <c r="F168" s="3">
        <v>2.5190400000000004</v>
      </c>
      <c r="G168" s="3">
        <v>2.9849700000000006</v>
      </c>
      <c r="H168" s="3">
        <v>3.3338399999999986</v>
      </c>
      <c r="I168" s="3">
        <v>1.0064899999999994</v>
      </c>
      <c r="J168" s="3">
        <v>1.4724199999999996</v>
      </c>
      <c r="K168" s="3">
        <v>1.8212899999999976</v>
      </c>
      <c r="L168" s="3">
        <v>0.46593000000000018</v>
      </c>
      <c r="M168" s="3">
        <v>0.81479999999999819</v>
      </c>
      <c r="N168" s="3">
        <v>0.34886999999999802</v>
      </c>
      <c r="P168" s="3">
        <f t="shared" si="27"/>
        <v>-1.8743822968844024</v>
      </c>
      <c r="Q168" s="3">
        <f t="shared" si="28"/>
        <v>-0.64616406743656707</v>
      </c>
      <c r="R168" s="3">
        <f t="shared" si="29"/>
        <v>-0.75211675551787072</v>
      </c>
      <c r="S168" s="3">
        <f t="shared" si="30"/>
        <v>-0.28842556853396578</v>
      </c>
      <c r="T168" s="3">
        <f t="shared" si="31"/>
        <v>-0.55206675592114685</v>
      </c>
      <c r="U168" s="3">
        <f t="shared" si="32"/>
        <v>-0.70058024628237414</v>
      </c>
      <c r="V168" s="3">
        <f t="shared" si="33"/>
        <v>-0.71175787337484375</v>
      </c>
      <c r="W168" s="3">
        <f t="shared" si="34"/>
        <v>-0.64454718970449432</v>
      </c>
      <c r="X168" s="3">
        <f t="shared" si="35"/>
        <v>-0.73110983542851726</v>
      </c>
      <c r="Y168" s="3">
        <f t="shared" si="36"/>
        <v>-0.69151143604077603</v>
      </c>
      <c r="Z168" s="3">
        <f t="shared" si="37"/>
        <v>-0.73048222157875498</v>
      </c>
      <c r="AA168" s="3">
        <f t="shared" si="38"/>
        <v>-0.63057878165895986</v>
      </c>
      <c r="AB168" s="3">
        <f t="shared" si="39"/>
        <v>-0.35682949426637267</v>
      </c>
    </row>
    <row r="169" spans="1:28" x14ac:dyDescent="0.25">
      <c r="A169" s="3">
        <v>1.23766250321903E+18</v>
      </c>
      <c r="B169" s="3">
        <v>236.48841999999999</v>
      </c>
      <c r="C169" s="3">
        <v>35.799984000000002</v>
      </c>
      <c r="D169" s="16">
        <v>0.15268960000000001</v>
      </c>
      <c r="E169" s="3">
        <v>1.4280400000000029</v>
      </c>
      <c r="F169" s="3">
        <v>2.2787600000000019</v>
      </c>
      <c r="G169" s="3">
        <v>2.703990000000001</v>
      </c>
      <c r="H169" s="3">
        <v>2.9721400000000031</v>
      </c>
      <c r="I169" s="3">
        <v>0.85071999999999903</v>
      </c>
      <c r="J169" s="3">
        <v>1.2759499999999981</v>
      </c>
      <c r="K169" s="3">
        <v>1.5441000000000003</v>
      </c>
      <c r="L169" s="3">
        <v>0.42522999999999911</v>
      </c>
      <c r="M169" s="3">
        <v>0.69338000000000122</v>
      </c>
      <c r="N169" s="3">
        <v>0.26815000000000211</v>
      </c>
      <c r="P169" s="3">
        <f t="shared" si="27"/>
        <v>0.68321104263857724</v>
      </c>
      <c r="Q169" s="3">
        <f t="shared" si="28"/>
        <v>-1.0177038086178405</v>
      </c>
      <c r="R169" s="3">
        <f t="shared" si="29"/>
        <v>-0.74835334647782836</v>
      </c>
      <c r="S169" s="3">
        <f t="shared" si="30"/>
        <v>-0.37161362541912324</v>
      </c>
      <c r="T169" s="3">
        <f t="shared" si="31"/>
        <v>-0.76580056287284848</v>
      </c>
      <c r="U169" s="3">
        <f t="shared" si="32"/>
        <v>-0.92804955082874352</v>
      </c>
      <c r="V169" s="3">
        <f t="shared" si="33"/>
        <v>-0.98860268117831951</v>
      </c>
      <c r="W169" s="3">
        <f t="shared" si="34"/>
        <v>-0.95099788441254118</v>
      </c>
      <c r="X169" s="3">
        <f t="shared" si="35"/>
        <v>-0.98206474810757072</v>
      </c>
      <c r="Y169" s="3">
        <f t="shared" si="36"/>
        <v>-0.99246525903415705</v>
      </c>
      <c r="Z169" s="3">
        <f t="shared" si="37"/>
        <v>-0.85195436082425535</v>
      </c>
      <c r="AA169" s="3">
        <f t="shared" si="38"/>
        <v>-0.87813494631235645</v>
      </c>
      <c r="AB169" s="3">
        <f t="shared" si="39"/>
        <v>-0.8031828587449521</v>
      </c>
    </row>
    <row r="170" spans="1:28" x14ac:dyDescent="0.25">
      <c r="A170" s="3">
        <v>1.2376625032187E+18</v>
      </c>
      <c r="B170" s="3">
        <v>235.76855</v>
      </c>
      <c r="C170" s="3">
        <v>36.286537000000003</v>
      </c>
      <c r="D170" s="16">
        <v>0.15682779999999999</v>
      </c>
      <c r="E170" s="3">
        <v>1.6121100000000013</v>
      </c>
      <c r="F170" s="3">
        <v>2.5818600000000025</v>
      </c>
      <c r="G170" s="3">
        <v>3.0311500000000002</v>
      </c>
      <c r="H170" s="3">
        <v>3.3962299999999992</v>
      </c>
      <c r="I170" s="3">
        <v>0.96975000000000122</v>
      </c>
      <c r="J170" s="3">
        <v>1.419039999999999</v>
      </c>
      <c r="K170" s="3">
        <v>1.7841199999999979</v>
      </c>
      <c r="L170" s="3">
        <v>0.44928999999999775</v>
      </c>
      <c r="M170" s="3">
        <v>0.81436999999999671</v>
      </c>
      <c r="N170" s="3">
        <v>0.36507999999999896</v>
      </c>
      <c r="P170" s="3">
        <f t="shared" si="27"/>
        <v>-1.5316612203385929</v>
      </c>
      <c r="Q170" s="3">
        <f t="shared" si="28"/>
        <v>0.70472218864742542</v>
      </c>
      <c r="R170" s="3">
        <f t="shared" si="29"/>
        <v>-0.73214420899916166</v>
      </c>
      <c r="S170" s="3">
        <f t="shared" si="30"/>
        <v>-0.19042293046170816</v>
      </c>
      <c r="T170" s="3">
        <f t="shared" si="31"/>
        <v>-0.49618712485444783</v>
      </c>
      <c r="U170" s="3">
        <f t="shared" si="32"/>
        <v>-0.6631949075253406</v>
      </c>
      <c r="V170" s="3">
        <f t="shared" si="33"/>
        <v>-0.66400463157539891</v>
      </c>
      <c r="W170" s="3">
        <f t="shared" si="34"/>
        <v>-0.71682682328973579</v>
      </c>
      <c r="X170" s="3">
        <f t="shared" si="35"/>
        <v>-0.7992931368934123</v>
      </c>
      <c r="Y170" s="3">
        <f t="shared" si="36"/>
        <v>-0.73186806362713908</v>
      </c>
      <c r="Z170" s="3">
        <f t="shared" si="37"/>
        <v>-0.78014552371746182</v>
      </c>
      <c r="AA170" s="3">
        <f t="shared" si="38"/>
        <v>-0.6314554836092261</v>
      </c>
      <c r="AB170" s="3">
        <f t="shared" si="39"/>
        <v>-0.26719386445717347</v>
      </c>
    </row>
    <row r="171" spans="1:28" x14ac:dyDescent="0.25">
      <c r="A171" s="3">
        <v>1.2376614659859999E+18</v>
      </c>
      <c r="B171" s="3">
        <v>235.72713999999999</v>
      </c>
      <c r="C171" s="3">
        <v>36.146338999999998</v>
      </c>
      <c r="D171" s="16">
        <v>0.15704850000000001</v>
      </c>
      <c r="E171" s="3">
        <v>1.6416000000000004</v>
      </c>
      <c r="F171" s="3">
        <v>2.4710199999999993</v>
      </c>
      <c r="G171" s="3">
        <v>2.8034800000000004</v>
      </c>
      <c r="H171" s="3">
        <v>3.0456800000000008</v>
      </c>
      <c r="I171" s="3">
        <v>0.82941999999999894</v>
      </c>
      <c r="J171" s="3">
        <v>1.16188</v>
      </c>
      <c r="K171" s="3">
        <v>1.4040800000000004</v>
      </c>
      <c r="L171" s="3">
        <v>0.33246000000000109</v>
      </c>
      <c r="M171" s="3">
        <v>0.5746600000000015</v>
      </c>
      <c r="N171" s="3">
        <v>0.24220000000000041</v>
      </c>
      <c r="P171" s="3">
        <f t="shared" si="27"/>
        <v>-1.6590701419632137</v>
      </c>
      <c r="Q171" s="3">
        <f t="shared" si="28"/>
        <v>0.20841309186947055</v>
      </c>
      <c r="R171" s="3">
        <f t="shared" si="29"/>
        <v>-0.73127973733478058</v>
      </c>
      <c r="S171" s="3">
        <f t="shared" si="30"/>
        <v>-0.1613942261954287</v>
      </c>
      <c r="T171" s="3">
        <f t="shared" si="31"/>
        <v>-0.59478149460027541</v>
      </c>
      <c r="U171" s="3">
        <f t="shared" si="32"/>
        <v>-0.84750673244551977</v>
      </c>
      <c r="V171" s="3">
        <f t="shared" si="33"/>
        <v>-0.93231524085244943</v>
      </c>
      <c r="W171" s="3">
        <f t="shared" si="34"/>
        <v>-0.99290197247366607</v>
      </c>
      <c r="X171" s="3">
        <f t="shared" si="35"/>
        <v>-1.127768554741148</v>
      </c>
      <c r="Y171" s="3">
        <f t="shared" si="36"/>
        <v>-1.1444893374480016</v>
      </c>
      <c r="Z171" s="3">
        <f t="shared" si="37"/>
        <v>-1.1288332393943912</v>
      </c>
      <c r="AA171" s="3">
        <f t="shared" si="38"/>
        <v>-1.1201862382548033</v>
      </c>
      <c r="AB171" s="3">
        <f t="shared" si="39"/>
        <v>-0.94667728154252984</v>
      </c>
    </row>
    <row r="172" spans="1:28" x14ac:dyDescent="0.25">
      <c r="A172" s="3">
        <v>1.2376624736909299E+18</v>
      </c>
      <c r="B172" s="3">
        <v>236.46118000000001</v>
      </c>
      <c r="C172" s="3">
        <v>36.303669999999997</v>
      </c>
      <c r="D172" s="16">
        <v>0.15854940000000001</v>
      </c>
      <c r="E172" s="3">
        <v>2.4263799999999982</v>
      </c>
      <c r="F172" s="3">
        <v>3.5973900000000008</v>
      </c>
      <c r="G172" s="3">
        <v>4.0825399999999981</v>
      </c>
      <c r="H172" s="3">
        <v>4.4208299999999987</v>
      </c>
      <c r="I172" s="3">
        <v>1.1710100000000025</v>
      </c>
      <c r="J172" s="3">
        <v>1.6561599999999999</v>
      </c>
      <c r="K172" s="3">
        <v>1.9944500000000005</v>
      </c>
      <c r="L172" s="3">
        <v>0.48514999999999731</v>
      </c>
      <c r="M172" s="3">
        <v>0.82343999999999795</v>
      </c>
      <c r="N172" s="3">
        <v>0.33829000000000065</v>
      </c>
      <c r="P172" s="3">
        <f t="shared" si="27"/>
        <v>0.5993999094569612</v>
      </c>
      <c r="Q172" s="3">
        <f t="shared" si="28"/>
        <v>0.76537400789658339</v>
      </c>
      <c r="R172" s="3">
        <f t="shared" si="29"/>
        <v>-0.72540078164348221</v>
      </c>
      <c r="S172" s="3">
        <f t="shared" si="30"/>
        <v>0.61110989500129553</v>
      </c>
      <c r="T172" s="3">
        <f t="shared" si="31"/>
        <v>0.40714687287179913</v>
      </c>
      <c r="U172" s="3">
        <f t="shared" si="32"/>
        <v>0.18796514695187194</v>
      </c>
      <c r="V172" s="3">
        <f t="shared" si="33"/>
        <v>0.12022315409074621</v>
      </c>
      <c r="W172" s="3">
        <f t="shared" si="34"/>
        <v>-0.3208823743140552</v>
      </c>
      <c r="X172" s="3">
        <f t="shared" si="35"/>
        <v>-0.49641519677809232</v>
      </c>
      <c r="Y172" s="3">
        <f t="shared" si="36"/>
        <v>-0.50350622665538969</v>
      </c>
      <c r="Z172" s="3">
        <f t="shared" si="37"/>
        <v>-0.67311871994980887</v>
      </c>
      <c r="AA172" s="3">
        <f t="shared" si="38"/>
        <v>-0.61296318898390356</v>
      </c>
      <c r="AB172" s="3">
        <f t="shared" si="39"/>
        <v>-0.41533319342621455</v>
      </c>
    </row>
    <row r="173" spans="1:28" x14ac:dyDescent="0.25">
      <c r="A173" s="3">
        <v>1.23766247422781E+18</v>
      </c>
      <c r="B173" s="3">
        <v>236.65338</v>
      </c>
      <c r="C173" s="3">
        <v>36.537120000000002</v>
      </c>
      <c r="D173" s="16">
        <v>0.15969130000000001</v>
      </c>
      <c r="E173" s="3">
        <v>2.2642699999999998</v>
      </c>
      <c r="F173" s="3">
        <v>3.4723100000000002</v>
      </c>
      <c r="G173" s="3">
        <v>3.9599200000000003</v>
      </c>
      <c r="H173" s="3">
        <v>4.2919300000000007</v>
      </c>
      <c r="I173" s="3">
        <v>1.2080400000000004</v>
      </c>
      <c r="J173" s="3">
        <v>1.6956500000000005</v>
      </c>
      <c r="K173" s="3">
        <v>2.0276600000000009</v>
      </c>
      <c r="L173" s="3">
        <v>0.4876100000000001</v>
      </c>
      <c r="M173" s="3">
        <v>0.81962000000000046</v>
      </c>
      <c r="N173" s="3">
        <v>0.33201000000000036</v>
      </c>
      <c r="P173" s="3">
        <f t="shared" si="27"/>
        <v>1.1907545275743827</v>
      </c>
      <c r="Q173" s="3">
        <f t="shared" si="28"/>
        <v>1.591800623417573</v>
      </c>
      <c r="R173" s="3">
        <f t="shared" si="29"/>
        <v>-0.72092801230249104</v>
      </c>
      <c r="S173" s="3">
        <f t="shared" si="30"/>
        <v>0.45153569192884202</v>
      </c>
      <c r="T173" s="3">
        <f t="shared" si="31"/>
        <v>0.29588574180171789</v>
      </c>
      <c r="U173" s="3">
        <f t="shared" si="32"/>
        <v>8.8697276913166923E-2</v>
      </c>
      <c r="V173" s="3">
        <f t="shared" si="33"/>
        <v>2.1563226731421019E-2</v>
      </c>
      <c r="W173" s="3">
        <f t="shared" si="34"/>
        <v>-0.24803221558619803</v>
      </c>
      <c r="X173" s="3">
        <f t="shared" si="35"/>
        <v>-0.4459738596696487</v>
      </c>
      <c r="Y173" s="3">
        <f t="shared" si="36"/>
        <v>-0.46744909450195565</v>
      </c>
      <c r="Z173" s="3">
        <f t="shared" si="37"/>
        <v>-0.66577666927304568</v>
      </c>
      <c r="AA173" s="3">
        <f t="shared" si="38"/>
        <v>-0.62075156444902768</v>
      </c>
      <c r="AB173" s="3">
        <f t="shared" si="39"/>
        <v>-0.45005939670824807</v>
      </c>
    </row>
    <row r="174" spans="1:28" x14ac:dyDescent="0.25">
      <c r="A174" s="3">
        <v>1.23766247422787E+18</v>
      </c>
      <c r="B174" s="3">
        <v>236.85077999999999</v>
      </c>
      <c r="C174" s="3">
        <v>36.515898</v>
      </c>
      <c r="D174" s="16">
        <v>0.1602382</v>
      </c>
      <c r="E174" s="3">
        <v>1.8821100000000008</v>
      </c>
      <c r="F174" s="3">
        <v>3.0618200000000009</v>
      </c>
      <c r="G174" s="3">
        <v>3.5198099999999997</v>
      </c>
      <c r="H174" s="3">
        <v>3.8623800000000017</v>
      </c>
      <c r="I174" s="3">
        <v>1.17971</v>
      </c>
      <c r="J174" s="3">
        <v>1.6376999999999988</v>
      </c>
      <c r="K174" s="3">
        <v>1.9802700000000009</v>
      </c>
      <c r="L174" s="3">
        <v>0.45798999999999879</v>
      </c>
      <c r="M174" s="3">
        <v>0.80056000000000083</v>
      </c>
      <c r="N174" s="3">
        <v>0.34257000000000204</v>
      </c>
      <c r="P174" s="3">
        <f t="shared" si="27"/>
        <v>1.7981083341112218</v>
      </c>
      <c r="Q174" s="3">
        <f t="shared" si="28"/>
        <v>1.5166735056853502</v>
      </c>
      <c r="R174" s="3">
        <f t="shared" si="29"/>
        <v>-0.71878583036660526</v>
      </c>
      <c r="S174" s="3">
        <f t="shared" si="30"/>
        <v>7.5353609107490602E-2</v>
      </c>
      <c r="T174" s="3">
        <f t="shared" si="31"/>
        <v>-6.9253222804593284E-2</v>
      </c>
      <c r="U174" s="3">
        <f t="shared" si="32"/>
        <v>-0.26759682097245818</v>
      </c>
      <c r="V174" s="3">
        <f t="shared" si="33"/>
        <v>-0.30721390125305292</v>
      </c>
      <c r="W174" s="3">
        <f t="shared" si="34"/>
        <v>-0.30376662003557259</v>
      </c>
      <c r="X174" s="3">
        <f t="shared" si="35"/>
        <v>-0.51999451009847486</v>
      </c>
      <c r="Y174" s="3">
        <f t="shared" si="36"/>
        <v>-0.51890189464502168</v>
      </c>
      <c r="Z174" s="3">
        <f t="shared" si="37"/>
        <v>-0.75417973473869149</v>
      </c>
      <c r="AA174" s="3">
        <f t="shared" si="38"/>
        <v>-0.65961188810488147</v>
      </c>
      <c r="AB174" s="3">
        <f t="shared" si="39"/>
        <v>-0.39166629055246532</v>
      </c>
    </row>
    <row r="175" spans="1:28" x14ac:dyDescent="0.25">
      <c r="A175" s="3">
        <v>1.2376624736911301E+18</v>
      </c>
      <c r="B175" s="3">
        <v>236.8605</v>
      </c>
      <c r="C175" s="3">
        <v>36.080049000000002</v>
      </c>
      <c r="D175" s="16">
        <v>0.1651205</v>
      </c>
      <c r="E175" s="3">
        <v>1.6840900000000012</v>
      </c>
      <c r="F175" s="3">
        <v>2.7096899999999984</v>
      </c>
      <c r="G175" s="3">
        <v>3.1569099999999999</v>
      </c>
      <c r="H175" s="3">
        <v>3.5064300000000017</v>
      </c>
      <c r="I175" s="3">
        <v>1.0255999999999972</v>
      </c>
      <c r="J175" s="3">
        <v>1.4728199999999987</v>
      </c>
      <c r="K175" s="3">
        <v>1.8223400000000005</v>
      </c>
      <c r="L175" s="3">
        <v>0.44722000000000151</v>
      </c>
      <c r="M175" s="3">
        <v>0.79674000000000333</v>
      </c>
      <c r="N175" s="3">
        <v>0.34952000000000183</v>
      </c>
      <c r="P175" s="3">
        <f t="shared" si="27"/>
        <v>1.8280145093875542</v>
      </c>
      <c r="Q175" s="3">
        <f t="shared" si="28"/>
        <v>-2.6257374366902134E-2</v>
      </c>
      <c r="R175" s="3">
        <f t="shared" si="29"/>
        <v>-0.69966208769778926</v>
      </c>
      <c r="S175" s="3">
        <f t="shared" si="30"/>
        <v>-0.11956887372766764</v>
      </c>
      <c r="T175" s="3">
        <f t="shared" si="31"/>
        <v>-0.38247981445559931</v>
      </c>
      <c r="U175" s="3">
        <f t="shared" si="32"/>
        <v>-0.56138502874481755</v>
      </c>
      <c r="V175" s="3">
        <f t="shared" si="33"/>
        <v>-0.57965766497339688</v>
      </c>
      <c r="W175" s="3">
        <f t="shared" si="34"/>
        <v>-0.6069515501341658</v>
      </c>
      <c r="X175" s="3">
        <f t="shared" si="35"/>
        <v>-0.73059890772926861</v>
      </c>
      <c r="Y175" s="3">
        <f t="shared" si="36"/>
        <v>-0.6903714183123445</v>
      </c>
      <c r="Z175" s="3">
        <f t="shared" si="37"/>
        <v>-0.78632359075032976</v>
      </c>
      <c r="AA175" s="3">
        <f t="shared" si="38"/>
        <v>-0.6674002635700057</v>
      </c>
      <c r="AB175" s="3">
        <f t="shared" si="39"/>
        <v>-0.35323522163365717</v>
      </c>
    </row>
    <row r="176" spans="1:28" x14ac:dyDescent="0.25">
      <c r="A176" s="3">
        <v>1.23766146598626E+18</v>
      </c>
      <c r="B176" s="3">
        <v>236.22492</v>
      </c>
      <c r="C176" s="3">
        <v>35.850149000000002</v>
      </c>
      <c r="D176" s="16">
        <v>0.17266390000000001</v>
      </c>
      <c r="E176" s="3">
        <v>2.0448199999999979</v>
      </c>
      <c r="F176" s="3">
        <v>3.198839999999997</v>
      </c>
      <c r="G176" s="3">
        <v>3.6704599999999985</v>
      </c>
      <c r="H176" s="3">
        <v>3.9716899999999988</v>
      </c>
      <c r="I176" s="3">
        <v>1.1540199999999992</v>
      </c>
      <c r="J176" s="3">
        <v>1.6256400000000006</v>
      </c>
      <c r="K176" s="3">
        <v>1.926870000000001</v>
      </c>
      <c r="L176" s="3">
        <v>0.47162000000000148</v>
      </c>
      <c r="M176" s="3">
        <v>0.77285000000000181</v>
      </c>
      <c r="N176" s="3">
        <v>0.30123000000000033</v>
      </c>
      <c r="P176" s="3">
        <f t="shared" si="27"/>
        <v>-0.12751706284502543</v>
      </c>
      <c r="Q176" s="3">
        <f t="shared" si="28"/>
        <v>-0.84011678284097424</v>
      </c>
      <c r="R176" s="3">
        <f t="shared" si="29"/>
        <v>-0.6701149397454006</v>
      </c>
      <c r="S176" s="3">
        <f t="shared" si="30"/>
        <v>0.23551842671231879</v>
      </c>
      <c r="T176" s="3">
        <f t="shared" si="31"/>
        <v>5.2628774151131402E-2</v>
      </c>
      <c r="U176" s="3">
        <f t="shared" si="32"/>
        <v>-0.14563707034995715</v>
      </c>
      <c r="V176" s="3">
        <f t="shared" si="33"/>
        <v>-0.2235481397352273</v>
      </c>
      <c r="W176" s="3">
        <f t="shared" si="34"/>
        <v>-0.35430727835906217</v>
      </c>
      <c r="X176" s="3">
        <f t="shared" si="35"/>
        <v>-0.53539898023085586</v>
      </c>
      <c r="Y176" s="3">
        <f t="shared" si="36"/>
        <v>-0.57687993911937741</v>
      </c>
      <c r="Z176" s="3">
        <f t="shared" si="37"/>
        <v>-0.71349999867194824</v>
      </c>
      <c r="AA176" s="3">
        <f t="shared" si="38"/>
        <v>-0.71610819285323879</v>
      </c>
      <c r="AB176" s="3">
        <f t="shared" si="39"/>
        <v>-0.6202620299918381</v>
      </c>
    </row>
    <row r="177" spans="1:28" x14ac:dyDescent="0.25">
      <c r="A177" s="3">
        <v>1.2376625032189701E+18</v>
      </c>
      <c r="B177" s="3">
        <v>236.42006000000001</v>
      </c>
      <c r="C177" s="3">
        <v>35.874451999999998</v>
      </c>
      <c r="D177" s="16">
        <v>0.173148</v>
      </c>
      <c r="E177" s="3">
        <v>1.1855100000000007</v>
      </c>
      <c r="F177" s="3">
        <v>1.9101700000000008</v>
      </c>
      <c r="G177" s="3">
        <v>2.3095299999999988</v>
      </c>
      <c r="H177" s="3">
        <v>2.463989999999999</v>
      </c>
      <c r="I177" s="3">
        <v>0.72466000000000008</v>
      </c>
      <c r="J177" s="3">
        <v>1.124019999999998</v>
      </c>
      <c r="K177" s="3">
        <v>1.2784799999999983</v>
      </c>
      <c r="L177" s="3">
        <v>0.39935999999999794</v>
      </c>
      <c r="M177" s="3">
        <v>0.5538199999999982</v>
      </c>
      <c r="N177" s="3">
        <v>0.15446000000000026</v>
      </c>
      <c r="P177" s="3">
        <f t="shared" si="27"/>
        <v>0.4728832502634438</v>
      </c>
      <c r="Q177" s="3">
        <f t="shared" si="28"/>
        <v>-0.75408274541538833</v>
      </c>
      <c r="R177" s="3">
        <f t="shared" si="29"/>
        <v>-0.66821874249697799</v>
      </c>
      <c r="S177" s="3">
        <f t="shared" si="30"/>
        <v>-0.61034986298104343</v>
      </c>
      <c r="T177" s="3">
        <f t="shared" si="31"/>
        <v>-1.0936686497062449</v>
      </c>
      <c r="U177" s="3">
        <f t="shared" si="32"/>
        <v>-1.2473873751271332</v>
      </c>
      <c r="V177" s="3">
        <f t="shared" si="33"/>
        <v>-1.3775401682818282</v>
      </c>
      <c r="W177" s="3">
        <f t="shared" si="34"/>
        <v>-1.1989992619235894</v>
      </c>
      <c r="X177" s="3">
        <f t="shared" si="35"/>
        <v>-1.1761278614751502</v>
      </c>
      <c r="Y177" s="3">
        <f t="shared" si="36"/>
        <v>-1.2808571723914326</v>
      </c>
      <c r="Z177" s="3">
        <f t="shared" si="37"/>
        <v>-0.92916527586801834</v>
      </c>
      <c r="AA177" s="3">
        <f t="shared" si="38"/>
        <v>-1.1626757002164056</v>
      </c>
      <c r="AB177" s="3">
        <f t="shared" si="39"/>
        <v>-1.4318487904542323</v>
      </c>
    </row>
    <row r="178" spans="1:28" x14ac:dyDescent="0.25">
      <c r="A178" s="3">
        <v>1.2376614659861299E+18</v>
      </c>
      <c r="B178" s="3">
        <v>235.86985999999999</v>
      </c>
      <c r="C178" s="3">
        <v>35.835045999999998</v>
      </c>
      <c r="D178" s="16">
        <v>0.17543890000000001</v>
      </c>
      <c r="E178" s="3">
        <v>2.3863400000000006</v>
      </c>
      <c r="F178" s="3">
        <v>3.6130700000000004</v>
      </c>
      <c r="G178" s="3">
        <v>4.0880299999999998</v>
      </c>
      <c r="H178" s="3">
        <v>4.413450000000001</v>
      </c>
      <c r="I178" s="3">
        <v>1.2267299999999999</v>
      </c>
      <c r="J178" s="3">
        <v>1.7016899999999993</v>
      </c>
      <c r="K178" s="3">
        <v>2.0271100000000004</v>
      </c>
      <c r="L178" s="3">
        <v>0.47495999999999938</v>
      </c>
      <c r="M178" s="3">
        <v>0.80038000000000054</v>
      </c>
      <c r="N178" s="3">
        <v>0.32542000000000115</v>
      </c>
      <c r="P178" s="3">
        <f t="shared" si="27"/>
        <v>-1.219953955190461</v>
      </c>
      <c r="Q178" s="3">
        <f t="shared" si="28"/>
        <v>-0.89358228369433079</v>
      </c>
      <c r="R178" s="3">
        <f t="shared" si="29"/>
        <v>-0.65924539344427924</v>
      </c>
      <c r="S178" s="3">
        <f t="shared" si="30"/>
        <v>0.5716962185407396</v>
      </c>
      <c r="T178" s="3">
        <f t="shared" si="31"/>
        <v>0.42109454264457524</v>
      </c>
      <c r="U178" s="3">
        <f t="shared" si="32"/>
        <v>0.19240961446543153</v>
      </c>
      <c r="V178" s="3">
        <f t="shared" si="33"/>
        <v>0.11457450968491528</v>
      </c>
      <c r="W178" s="3">
        <f t="shared" si="34"/>
        <v>-0.21126285380862081</v>
      </c>
      <c r="X178" s="3">
        <f t="shared" si="35"/>
        <v>-0.43825885141097737</v>
      </c>
      <c r="Y178" s="3">
        <f t="shared" si="36"/>
        <v>-0.46804624664541861</v>
      </c>
      <c r="Z178" s="3">
        <f t="shared" si="37"/>
        <v>-0.70353152336286451</v>
      </c>
      <c r="AA178" s="3">
        <f t="shared" si="38"/>
        <v>-0.65997887961894575</v>
      </c>
      <c r="AB178" s="3">
        <f t="shared" si="39"/>
        <v>-0.48649979155356071</v>
      </c>
    </row>
    <row r="179" spans="1:28" x14ac:dyDescent="0.25">
      <c r="A179" s="3">
        <v>1.2376614659861299E+18</v>
      </c>
      <c r="B179" s="3">
        <v>235.88858999999999</v>
      </c>
      <c r="C179" s="3">
        <v>35.844133999999997</v>
      </c>
      <c r="D179" s="16">
        <v>0.1773024</v>
      </c>
      <c r="E179" s="3">
        <v>1.4045099999999984</v>
      </c>
      <c r="F179" s="3">
        <v>2.3114299999999979</v>
      </c>
      <c r="G179" s="3">
        <v>2.8230199999999996</v>
      </c>
      <c r="H179" s="3">
        <v>3.1574399999999976</v>
      </c>
      <c r="I179" s="3">
        <v>0.9069199999999995</v>
      </c>
      <c r="J179" s="3">
        <v>1.4185100000000013</v>
      </c>
      <c r="K179" s="3">
        <v>1.7529299999999992</v>
      </c>
      <c r="L179" s="3">
        <v>0.51159000000000177</v>
      </c>
      <c r="M179" s="3">
        <v>0.84600999999999971</v>
      </c>
      <c r="N179" s="3">
        <v>0.33441999999999794</v>
      </c>
      <c r="P179" s="3">
        <f t="shared" si="27"/>
        <v>-1.1623261092105281</v>
      </c>
      <c r="Q179" s="3">
        <f t="shared" si="28"/>
        <v>-0.86141023365426528</v>
      </c>
      <c r="R179" s="3">
        <f t="shared" si="29"/>
        <v>-0.65194615036963444</v>
      </c>
      <c r="S179" s="3">
        <f t="shared" si="30"/>
        <v>-0.39477555866380637</v>
      </c>
      <c r="T179" s="3">
        <f t="shared" si="31"/>
        <v>-0.73673995244704826</v>
      </c>
      <c r="U179" s="3">
        <f t="shared" si="32"/>
        <v>-0.83168799014771966</v>
      </c>
      <c r="V179" s="3">
        <f t="shared" si="33"/>
        <v>-0.84677425185572297</v>
      </c>
      <c r="W179" s="3">
        <f t="shared" si="34"/>
        <v>-0.8404340464296669</v>
      </c>
      <c r="X179" s="3">
        <f t="shared" si="35"/>
        <v>-0.79997011609491553</v>
      </c>
      <c r="Y179" s="3">
        <f t="shared" si="36"/>
        <v>-0.76573201881730923</v>
      </c>
      <c r="Z179" s="3">
        <f t="shared" si="37"/>
        <v>-0.59420659804191001</v>
      </c>
      <c r="AA179" s="3">
        <f t="shared" si="38"/>
        <v>-0.56694653080380353</v>
      </c>
      <c r="AB179" s="3">
        <f t="shared" si="39"/>
        <v>-0.43673293971627147</v>
      </c>
    </row>
    <row r="180" spans="1:28" x14ac:dyDescent="0.25">
      <c r="A180" s="3">
        <v>1.2376624736911301E+18</v>
      </c>
      <c r="B180" s="3">
        <v>236.72726</v>
      </c>
      <c r="C180" s="3">
        <v>35.990147999999998</v>
      </c>
      <c r="D180" s="16">
        <v>0.18636659999999999</v>
      </c>
      <c r="E180" s="3">
        <v>2.042620000000003</v>
      </c>
      <c r="F180" s="3">
        <v>3.3182100000000005</v>
      </c>
      <c r="G180" s="3">
        <v>3.8191400000000009</v>
      </c>
      <c r="H180" s="3">
        <v>4.1846700000000006</v>
      </c>
      <c r="I180" s="3">
        <v>1.2755899999999976</v>
      </c>
      <c r="J180" s="3">
        <v>1.7765199999999979</v>
      </c>
      <c r="K180" s="3">
        <v>2.1420499999999976</v>
      </c>
      <c r="L180" s="3">
        <v>0.50093000000000032</v>
      </c>
      <c r="M180" s="3">
        <v>0.86646000000000001</v>
      </c>
      <c r="N180" s="3">
        <v>0.36552999999999969</v>
      </c>
      <c r="P180" s="3">
        <f t="shared" si="27"/>
        <v>1.4180660738101785</v>
      </c>
      <c r="Q180" s="3">
        <f t="shared" si="28"/>
        <v>-0.34451215766934301</v>
      </c>
      <c r="R180" s="3">
        <f t="shared" si="29"/>
        <v>-0.61644209934886918</v>
      </c>
      <c r="S180" s="3">
        <f t="shared" si="30"/>
        <v>0.23335284009361185</v>
      </c>
      <c r="T180" s="3">
        <f t="shared" si="31"/>
        <v>0.15881074741493009</v>
      </c>
      <c r="U180" s="3">
        <f t="shared" si="32"/>
        <v>-2.5272146868019676E-2</v>
      </c>
      <c r="V180" s="3">
        <f t="shared" si="33"/>
        <v>-6.0533466895897801E-2</v>
      </c>
      <c r="W180" s="3">
        <f t="shared" si="34"/>
        <v>-0.11513920391817704</v>
      </c>
      <c r="X180" s="3">
        <f t="shared" si="35"/>
        <v>-0.34267705207381099</v>
      </c>
      <c r="Y180" s="3">
        <f t="shared" si="36"/>
        <v>-0.34325230597346551</v>
      </c>
      <c r="Z180" s="3">
        <f t="shared" si="37"/>
        <v>-0.62602215097451874</v>
      </c>
      <c r="AA180" s="3">
        <f t="shared" si="38"/>
        <v>-0.52525221712267889</v>
      </c>
      <c r="AB180" s="3">
        <f t="shared" si="39"/>
        <v>-0.26470552186530405</v>
      </c>
    </row>
    <row r="181" spans="1:28" x14ac:dyDescent="0.25">
      <c r="A181" s="3">
        <v>1.2376625032187699E+18</v>
      </c>
      <c r="B181" s="3">
        <v>236.03922</v>
      </c>
      <c r="C181" s="3">
        <v>36.191927999999997</v>
      </c>
      <c r="D181" s="16">
        <v>0.1880058</v>
      </c>
      <c r="E181" s="3">
        <v>2.5178999999999974</v>
      </c>
      <c r="F181" s="3">
        <v>3.8581099999999999</v>
      </c>
      <c r="G181" s="3">
        <v>4.3627499999999984</v>
      </c>
      <c r="H181" s="3">
        <v>4.7605999999999966</v>
      </c>
      <c r="I181" s="3">
        <v>1.3402100000000026</v>
      </c>
      <c r="J181" s="3">
        <v>1.844850000000001</v>
      </c>
      <c r="K181" s="3">
        <v>2.2426999999999992</v>
      </c>
      <c r="L181" s="3">
        <v>0.50463999999999842</v>
      </c>
      <c r="M181" s="3">
        <v>0.90248999999999668</v>
      </c>
      <c r="N181" s="3">
        <v>0.39784999999999826</v>
      </c>
      <c r="P181" s="3">
        <f t="shared" si="27"/>
        <v>-0.69887269543821862</v>
      </c>
      <c r="Q181" s="3">
        <f t="shared" si="28"/>
        <v>0.36980081075996246</v>
      </c>
      <c r="R181" s="3">
        <f t="shared" si="29"/>
        <v>-0.61002142897164469</v>
      </c>
      <c r="S181" s="3">
        <f t="shared" si="30"/>
        <v>0.7011982983397137</v>
      </c>
      <c r="T181" s="3">
        <f t="shared" si="31"/>
        <v>0.63906246363444208</v>
      </c>
      <c r="U181" s="3">
        <f t="shared" si="32"/>
        <v>0.41481109266665001</v>
      </c>
      <c r="V181" s="3">
        <f t="shared" si="33"/>
        <v>0.38028276246063164</v>
      </c>
      <c r="W181" s="3">
        <f t="shared" si="34"/>
        <v>1.1989536481357364E-2</v>
      </c>
      <c r="X181" s="3">
        <f t="shared" si="35"/>
        <v>-0.25539782784944914</v>
      </c>
      <c r="Y181" s="3">
        <f t="shared" si="36"/>
        <v>-0.23397346371983227</v>
      </c>
      <c r="Z181" s="3">
        <f t="shared" si="37"/>
        <v>-0.61494938349047534</v>
      </c>
      <c r="AA181" s="3">
        <f t="shared" si="38"/>
        <v>-0.45179274905760491</v>
      </c>
      <c r="AB181" s="3">
        <f t="shared" si="39"/>
        <v>-8.5987227267338498E-2</v>
      </c>
    </row>
    <row r="182" spans="1:28" x14ac:dyDescent="0.25">
      <c r="A182" s="3">
        <v>1.2376625032187699E+18</v>
      </c>
      <c r="B182" s="3">
        <v>236.02067</v>
      </c>
      <c r="C182" s="3">
        <v>36.177900000000001</v>
      </c>
      <c r="D182" s="16">
        <v>0.18837670000000001</v>
      </c>
      <c r="E182" s="3">
        <v>2.0420099999999977</v>
      </c>
      <c r="F182" s="3">
        <v>3.2615899999999982</v>
      </c>
      <c r="G182" s="3">
        <v>3.7483800000000009</v>
      </c>
      <c r="H182" s="3">
        <v>4.025859999999998</v>
      </c>
      <c r="I182" s="3">
        <v>1.2195800000000006</v>
      </c>
      <c r="J182" s="3">
        <v>1.7063700000000033</v>
      </c>
      <c r="K182" s="3">
        <v>1.9838500000000003</v>
      </c>
      <c r="L182" s="3">
        <v>0.48679000000000272</v>
      </c>
      <c r="M182" s="3">
        <v>0.76426999999999978</v>
      </c>
      <c r="N182" s="3">
        <v>0.27747999999999706</v>
      </c>
      <c r="P182" s="3">
        <f t="shared" si="27"/>
        <v>-0.75594672335747881</v>
      </c>
      <c r="Q182" s="3">
        <f t="shared" si="28"/>
        <v>0.3201408726039332</v>
      </c>
      <c r="R182" s="3">
        <f t="shared" si="29"/>
        <v>-0.60856863087323532</v>
      </c>
      <c r="S182" s="3">
        <f t="shared" si="30"/>
        <v>0.23275238198569098</v>
      </c>
      <c r="T182" s="3">
        <f t="shared" si="31"/>
        <v>0.10844613883491541</v>
      </c>
      <c r="U182" s="3">
        <f t="shared" si="32"/>
        <v>-8.2556394820546927E-2</v>
      </c>
      <c r="V182" s="3">
        <f t="shared" si="33"/>
        <v>-0.18208647747723936</v>
      </c>
      <c r="W182" s="3">
        <f t="shared" si="34"/>
        <v>-0.22532924956622705</v>
      </c>
      <c r="X182" s="3">
        <f t="shared" si="35"/>
        <v>-0.43228099732974884</v>
      </c>
      <c r="Y182" s="3">
        <f t="shared" si="36"/>
        <v>-0.51501497705666655</v>
      </c>
      <c r="Z182" s="3">
        <f t="shared" si="37"/>
        <v>-0.66822401949862287</v>
      </c>
      <c r="AA182" s="3">
        <f t="shared" si="38"/>
        <v>-0.73360145502361185</v>
      </c>
      <c r="AB182" s="3">
        <f t="shared" si="39"/>
        <v>-0.75159122234030507</v>
      </c>
    </row>
    <row r="183" spans="1:28" x14ac:dyDescent="0.25">
      <c r="A183" s="3">
        <v>1.2376625032187699E+18</v>
      </c>
      <c r="B183" s="3">
        <v>235.99893</v>
      </c>
      <c r="C183" s="3">
        <v>36.155797999999997</v>
      </c>
      <c r="D183" s="16">
        <v>0.189142</v>
      </c>
      <c r="E183" s="3">
        <v>1.8783199999999987</v>
      </c>
      <c r="F183" s="3">
        <v>3.0793700000000008</v>
      </c>
      <c r="G183" s="3">
        <v>3.5650200000000005</v>
      </c>
      <c r="H183" s="3">
        <v>3.8774000000000015</v>
      </c>
      <c r="I183" s="3">
        <v>1.2010500000000022</v>
      </c>
      <c r="J183" s="3">
        <v>1.6867000000000019</v>
      </c>
      <c r="K183" s="3">
        <v>1.9990800000000029</v>
      </c>
      <c r="L183" s="3">
        <v>0.48564999999999969</v>
      </c>
      <c r="M183" s="3">
        <v>0.79803000000000068</v>
      </c>
      <c r="N183" s="3">
        <v>0.31238000000000099</v>
      </c>
      <c r="P183" s="3">
        <f t="shared" si="27"/>
        <v>-0.82283563801861415</v>
      </c>
      <c r="Q183" s="3">
        <f t="shared" si="28"/>
        <v>0.24189850354739986</v>
      </c>
      <c r="R183" s="3">
        <f t="shared" si="29"/>
        <v>-0.60557098626629902</v>
      </c>
      <c r="S183" s="3">
        <f t="shared" si="30"/>
        <v>7.1622893977980065E-2</v>
      </c>
      <c r="T183" s="3">
        <f t="shared" si="31"/>
        <v>-5.3642151088252432E-2</v>
      </c>
      <c r="U183" s="3">
        <f t="shared" si="32"/>
        <v>-0.2309967524318447</v>
      </c>
      <c r="V183" s="3">
        <f t="shared" si="33"/>
        <v>-0.29571760870893288</v>
      </c>
      <c r="W183" s="3">
        <f t="shared" si="34"/>
        <v>-0.26178383885132428</v>
      </c>
      <c r="X183" s="3">
        <f t="shared" si="35"/>
        <v>-0.45740586694036267</v>
      </c>
      <c r="Y183" s="3">
        <f t="shared" si="36"/>
        <v>-0.49847929133860314</v>
      </c>
      <c r="Z183" s="3">
        <f t="shared" si="37"/>
        <v>-0.6716264332268842</v>
      </c>
      <c r="AA183" s="3">
        <f t="shared" si="38"/>
        <v>-0.66477015771922132</v>
      </c>
      <c r="AB183" s="3">
        <f t="shared" si="39"/>
        <v>-0.55860643021561529</v>
      </c>
    </row>
    <row r="184" spans="1:28" x14ac:dyDescent="0.25">
      <c r="A184" s="3">
        <v>1.2376625032187699E+18</v>
      </c>
      <c r="B184" s="3">
        <v>235.9725</v>
      </c>
      <c r="C184" s="3">
        <v>36.126925999999997</v>
      </c>
      <c r="D184" s="16">
        <v>0.18948889999999999</v>
      </c>
      <c r="E184" s="3">
        <v>2.5979400000000012</v>
      </c>
      <c r="F184" s="3">
        <v>3.8480300000000014</v>
      </c>
      <c r="G184" s="3">
        <v>4.3330799999999989</v>
      </c>
      <c r="H184" s="3">
        <v>4.6688499999999991</v>
      </c>
      <c r="I184" s="3">
        <v>1.2500900000000001</v>
      </c>
      <c r="J184" s="3">
        <v>1.7351399999999977</v>
      </c>
      <c r="K184" s="3">
        <v>2.0709099999999978</v>
      </c>
      <c r="L184" s="3">
        <v>0.48504999999999754</v>
      </c>
      <c r="M184" s="3">
        <v>0.82081999999999766</v>
      </c>
      <c r="N184" s="3">
        <v>0.33577000000000012</v>
      </c>
      <c r="P184" s="3">
        <f t="shared" si="27"/>
        <v>-0.90415458992729003</v>
      </c>
      <c r="Q184" s="3">
        <f t="shared" si="28"/>
        <v>0.13968993964368881</v>
      </c>
      <c r="R184" s="3">
        <f t="shared" si="29"/>
        <v>-0.60421219505481838</v>
      </c>
      <c r="S184" s="3">
        <f t="shared" si="30"/>
        <v>0.77998627695867562</v>
      </c>
      <c r="T184" s="3">
        <f t="shared" si="31"/>
        <v>0.63009610449480147</v>
      </c>
      <c r="U184" s="3">
        <f t="shared" si="32"/>
        <v>0.39079153872725692</v>
      </c>
      <c r="V184" s="3">
        <f t="shared" si="33"/>
        <v>0.31005740687321515</v>
      </c>
      <c r="W184" s="3">
        <f t="shared" si="34"/>
        <v>-0.1653060699068423</v>
      </c>
      <c r="X184" s="3">
        <f t="shared" si="35"/>
        <v>-0.39553252256120958</v>
      </c>
      <c r="Y184" s="3">
        <f t="shared" si="36"/>
        <v>-0.42049122140241046</v>
      </c>
      <c r="Z184" s="3">
        <f t="shared" si="37"/>
        <v>-0.67341717729439177</v>
      </c>
      <c r="AA184" s="3">
        <f t="shared" si="38"/>
        <v>-0.61830495435527555</v>
      </c>
      <c r="AB184" s="3">
        <f t="shared" si="39"/>
        <v>-0.42926791194066338</v>
      </c>
    </row>
    <row r="185" spans="1:28" x14ac:dyDescent="0.25">
      <c r="A185" s="3">
        <v>1.2376624736909299E+18</v>
      </c>
      <c r="B185" s="3">
        <v>236.35387</v>
      </c>
      <c r="C185" s="3">
        <v>36.378003999999997</v>
      </c>
      <c r="D185" s="16">
        <v>0.19088869999999999</v>
      </c>
      <c r="E185" s="3">
        <v>2.230240000000002</v>
      </c>
      <c r="F185" s="3">
        <v>3.4737000000000009</v>
      </c>
      <c r="G185" s="3">
        <v>3.9736200000000004</v>
      </c>
      <c r="H185" s="3">
        <v>4.3399000000000001</v>
      </c>
      <c r="I185" s="3">
        <v>1.2434599999999989</v>
      </c>
      <c r="J185" s="3">
        <v>1.7433799999999984</v>
      </c>
      <c r="K185" s="3">
        <v>2.1096599999999981</v>
      </c>
      <c r="L185" s="3">
        <v>0.49991999999999948</v>
      </c>
      <c r="M185" s="3">
        <v>0.86619999999999919</v>
      </c>
      <c r="N185" s="3">
        <v>0.36627999999999972</v>
      </c>
      <c r="P185" s="3">
        <f t="shared" si="27"/>
        <v>0.26923204228634384</v>
      </c>
      <c r="Q185" s="3">
        <f t="shared" si="28"/>
        <v>1.0285207032837596</v>
      </c>
      <c r="R185" s="3">
        <f t="shared" si="29"/>
        <v>-0.59872924337470679</v>
      </c>
      <c r="S185" s="3">
        <f t="shared" si="30"/>
        <v>0.41803800436758548</v>
      </c>
      <c r="T185" s="3">
        <f t="shared" si="31"/>
        <v>0.29712217426244292</v>
      </c>
      <c r="U185" s="3">
        <f t="shared" si="32"/>
        <v>9.9788206773958707E-2</v>
      </c>
      <c r="V185" s="3">
        <f t="shared" si="33"/>
        <v>5.8279415369332913E-2</v>
      </c>
      <c r="W185" s="3">
        <f t="shared" si="34"/>
        <v>-0.17834945506389902</v>
      </c>
      <c r="X185" s="3">
        <f t="shared" si="35"/>
        <v>-0.38500741195666149</v>
      </c>
      <c r="Y185" s="3">
        <f t="shared" si="36"/>
        <v>-0.37841913856755455</v>
      </c>
      <c r="Z185" s="3">
        <f t="shared" si="37"/>
        <v>-0.62903657015481496</v>
      </c>
      <c r="AA185" s="3">
        <f t="shared" si="38"/>
        <v>-0.52578231597632807</v>
      </c>
      <c r="AB185" s="3">
        <f t="shared" si="39"/>
        <v>-0.26055828421219501</v>
      </c>
    </row>
    <row r="186" spans="1:28" x14ac:dyDescent="0.25">
      <c r="A186" s="3">
        <v>1.2376624736908001E+18</v>
      </c>
      <c r="B186" s="3">
        <v>236.07925</v>
      </c>
      <c r="C186" s="3">
        <v>36.458390000000001</v>
      </c>
      <c r="D186" s="16">
        <v>0.1909254</v>
      </c>
      <c r="E186" s="3">
        <v>1.8899000000000008</v>
      </c>
      <c r="F186" s="3">
        <v>3.0862599999999993</v>
      </c>
      <c r="G186" s="3">
        <v>3.5586200000000012</v>
      </c>
      <c r="H186" s="3">
        <v>3.8990900000000011</v>
      </c>
      <c r="I186" s="3">
        <v>1.1963599999999985</v>
      </c>
      <c r="J186" s="3">
        <v>1.6687200000000004</v>
      </c>
      <c r="K186" s="3">
        <v>2.0091900000000003</v>
      </c>
      <c r="L186" s="3">
        <v>0.47236000000000189</v>
      </c>
      <c r="M186" s="3">
        <v>0.81283000000000172</v>
      </c>
      <c r="N186" s="3">
        <v>0.34046999999999983</v>
      </c>
      <c r="P186" s="3">
        <f t="shared" si="27"/>
        <v>-0.57570971227878531</v>
      </c>
      <c r="Q186" s="3">
        <f t="shared" si="28"/>
        <v>1.3130918316421765</v>
      </c>
      <c r="R186" s="3">
        <f t="shared" si="29"/>
        <v>-0.59858549117677851</v>
      </c>
      <c r="S186" s="3">
        <f t="shared" si="30"/>
        <v>8.302175445283895E-2</v>
      </c>
      <c r="T186" s="3">
        <f t="shared" si="31"/>
        <v>-4.7513359969986596E-2</v>
      </c>
      <c r="U186" s="3">
        <f t="shared" si="32"/>
        <v>-0.23617791674637459</v>
      </c>
      <c r="V186" s="3">
        <f t="shared" si="33"/>
        <v>-0.27911610502837625</v>
      </c>
      <c r="W186" s="3">
        <f t="shared" si="34"/>
        <v>-0.27101060753709078</v>
      </c>
      <c r="X186" s="3">
        <f t="shared" si="35"/>
        <v>-0.48037206702164587</v>
      </c>
      <c r="Y186" s="3">
        <f t="shared" si="36"/>
        <v>-0.48750254921059588</v>
      </c>
      <c r="Z186" s="3">
        <f t="shared" si="37"/>
        <v>-0.71129141432202891</v>
      </c>
      <c r="AA186" s="3">
        <f t="shared" si="38"/>
        <v>-0.63459529989620522</v>
      </c>
      <c r="AB186" s="3">
        <f t="shared" si="39"/>
        <v>-0.40327855598118251</v>
      </c>
    </row>
    <row r="187" spans="1:28" x14ac:dyDescent="0.25">
      <c r="A187" s="3">
        <v>1.23766146598607E+18</v>
      </c>
      <c r="B187" s="3">
        <v>235.89439999999999</v>
      </c>
      <c r="C187" s="3">
        <v>36.051354000000003</v>
      </c>
      <c r="D187" s="16">
        <v>0.19132769999999999</v>
      </c>
      <c r="E187" s="3">
        <v>2.2260200000000019</v>
      </c>
      <c r="F187" s="3">
        <v>3.5234300000000012</v>
      </c>
      <c r="G187" s="3">
        <v>3.9997000000000007</v>
      </c>
      <c r="H187" s="3">
        <v>4.3204300000000018</v>
      </c>
      <c r="I187" s="3">
        <v>1.2974099999999993</v>
      </c>
      <c r="J187" s="3">
        <v>1.7736799999999988</v>
      </c>
      <c r="K187" s="3">
        <v>2.0944099999999999</v>
      </c>
      <c r="L187" s="3">
        <v>0.47626999999999953</v>
      </c>
      <c r="M187" s="3">
        <v>0.7970000000000006</v>
      </c>
      <c r="N187" s="3">
        <v>0.32073000000000107</v>
      </c>
      <c r="P187" s="3">
        <f t="shared" si="27"/>
        <v>-1.1444500929188499</v>
      </c>
      <c r="Q187" s="3">
        <f t="shared" si="28"/>
        <v>-0.12783934794742688</v>
      </c>
      <c r="R187" s="3">
        <f t="shared" si="29"/>
        <v>-0.59700970073463755</v>
      </c>
      <c r="S187" s="3">
        <f t="shared" si="30"/>
        <v>0.41388401548987419</v>
      </c>
      <c r="T187" s="3">
        <f t="shared" si="31"/>
        <v>0.34135799172418857</v>
      </c>
      <c r="U187" s="3">
        <f t="shared" si="32"/>
        <v>0.12090145135567056</v>
      </c>
      <c r="V187" s="3">
        <f t="shared" si="33"/>
        <v>4.3377097404352888E-2</v>
      </c>
      <c r="W187" s="3">
        <f t="shared" si="34"/>
        <v>-7.2212105256495754E-2</v>
      </c>
      <c r="X187" s="3">
        <f t="shared" si="35"/>
        <v>-0.34630463873848383</v>
      </c>
      <c r="Y187" s="3">
        <f t="shared" si="36"/>
        <v>-0.39497653890901191</v>
      </c>
      <c r="Z187" s="3">
        <f t="shared" si="37"/>
        <v>-0.69962173214881984</v>
      </c>
      <c r="AA187" s="3">
        <f t="shared" si="38"/>
        <v>-0.66687016471636373</v>
      </c>
      <c r="AB187" s="3">
        <f t="shared" si="39"/>
        <v>-0.51243385101100225</v>
      </c>
    </row>
    <row r="188" spans="1:28" x14ac:dyDescent="0.25">
      <c r="A188" s="3">
        <v>1.23766250375571E+18</v>
      </c>
      <c r="B188" s="3">
        <v>236.47656000000001</v>
      </c>
      <c r="C188" s="3">
        <v>36.460400999999997</v>
      </c>
      <c r="D188" s="16">
        <v>0.1916882</v>
      </c>
      <c r="E188" s="3">
        <v>2.0948499999999974</v>
      </c>
      <c r="F188" s="3">
        <v>3.3787099999999981</v>
      </c>
      <c r="G188" s="3">
        <v>3.8508199999999988</v>
      </c>
      <c r="H188" s="3">
        <v>4.2276500000000006</v>
      </c>
      <c r="I188" s="3">
        <v>1.2838600000000007</v>
      </c>
      <c r="J188" s="3">
        <v>1.7559700000000014</v>
      </c>
      <c r="K188" s="3">
        <v>2.1328000000000031</v>
      </c>
      <c r="L188" s="3">
        <v>0.4721100000000007</v>
      </c>
      <c r="M188" s="3">
        <v>0.84894000000000247</v>
      </c>
      <c r="N188" s="3">
        <v>0.37683000000000177</v>
      </c>
      <c r="P188" s="3">
        <f t="shared" si="27"/>
        <v>0.64672058597435278</v>
      </c>
      <c r="Q188" s="3">
        <f t="shared" si="28"/>
        <v>1.3202108889298585</v>
      </c>
      <c r="R188" s="3">
        <f t="shared" si="29"/>
        <v>-0.59559763895389728</v>
      </c>
      <c r="S188" s="3">
        <f t="shared" si="30"/>
        <v>0.28476583513693704</v>
      </c>
      <c r="T188" s="3">
        <f t="shared" si="31"/>
        <v>0.21262669264789791</v>
      </c>
      <c r="U188" s="3">
        <f t="shared" si="32"/>
        <v>3.7461648890438646E-4</v>
      </c>
      <c r="V188" s="3">
        <f t="shared" si="33"/>
        <v>-2.7636619123175818E-2</v>
      </c>
      <c r="W188" s="3">
        <f t="shared" si="34"/>
        <v>-9.8869400713217856E-2</v>
      </c>
      <c r="X188" s="3">
        <f t="shared" si="35"/>
        <v>-0.36892596262276828</v>
      </c>
      <c r="Y188" s="3">
        <f t="shared" si="36"/>
        <v>-0.3532953192953282</v>
      </c>
      <c r="Z188" s="3">
        <f t="shared" si="37"/>
        <v>-0.71203755768349131</v>
      </c>
      <c r="AA188" s="3">
        <f t="shared" si="38"/>
        <v>-0.56097272449153912</v>
      </c>
      <c r="AB188" s="3">
        <f t="shared" si="39"/>
        <v>-0.20222047455845157</v>
      </c>
    </row>
    <row r="189" spans="1:28" x14ac:dyDescent="0.25">
      <c r="A189" s="3">
        <v>1.2376625032187699E+18</v>
      </c>
      <c r="B189" s="3">
        <v>236.07687999999999</v>
      </c>
      <c r="C189" s="3">
        <v>36.223196999999999</v>
      </c>
      <c r="D189" s="16">
        <v>0.19289719999999999</v>
      </c>
      <c r="E189" s="3">
        <v>1.9727700000000006</v>
      </c>
      <c r="F189" s="3">
        <v>3.252200000000002</v>
      </c>
      <c r="G189" s="3">
        <v>3.7470100000000031</v>
      </c>
      <c r="H189" s="3">
        <v>4.1137300000000003</v>
      </c>
      <c r="I189" s="3">
        <v>1.2794300000000014</v>
      </c>
      <c r="J189" s="3">
        <v>1.7742400000000025</v>
      </c>
      <c r="K189" s="3">
        <v>2.1409599999999998</v>
      </c>
      <c r="L189" s="3">
        <v>0.49481000000000108</v>
      </c>
      <c r="M189" s="3">
        <v>0.86152999999999835</v>
      </c>
      <c r="N189" s="3">
        <v>0.36671999999999727</v>
      </c>
      <c r="P189" s="3">
        <f t="shared" si="27"/>
        <v>-0.58300165007767324</v>
      </c>
      <c r="Q189" s="3">
        <f t="shared" si="28"/>
        <v>0.48049489446408217</v>
      </c>
      <c r="R189" s="3">
        <f t="shared" si="29"/>
        <v>-0.59086204202486825</v>
      </c>
      <c r="S189" s="3">
        <f t="shared" si="30"/>
        <v>0.16459546494950367</v>
      </c>
      <c r="T189" s="3">
        <f t="shared" si="31"/>
        <v>0.10009354832685945</v>
      </c>
      <c r="U189" s="3">
        <f t="shared" si="32"/>
        <v>-8.3665487806624375E-2</v>
      </c>
      <c r="V189" s="3">
        <f t="shared" si="33"/>
        <v>-0.11483086989722177</v>
      </c>
      <c r="W189" s="3">
        <f t="shared" si="34"/>
        <v>-0.10758466409869914</v>
      </c>
      <c r="X189" s="3">
        <f t="shared" si="35"/>
        <v>-0.34558933995952934</v>
      </c>
      <c r="Y189" s="3">
        <f t="shared" si="36"/>
        <v>-0.34443575294868872</v>
      </c>
      <c r="Z189" s="3">
        <f t="shared" si="37"/>
        <v>-0.6442877404630285</v>
      </c>
      <c r="AA189" s="3">
        <f t="shared" si="38"/>
        <v>-0.53530370692453755</v>
      </c>
      <c r="AB189" s="3">
        <f t="shared" si="39"/>
        <v>-0.25812523812238464</v>
      </c>
    </row>
    <row r="190" spans="1:28" x14ac:dyDescent="0.25">
      <c r="A190" s="3">
        <v>1.23766247369087E+18</v>
      </c>
      <c r="B190" s="3">
        <v>236.16148000000001</v>
      </c>
      <c r="C190" s="3">
        <v>36.254156999999999</v>
      </c>
      <c r="D190" s="16">
        <v>0.19303190000000001</v>
      </c>
      <c r="E190" s="3">
        <v>1.6634399999999978</v>
      </c>
      <c r="F190" s="3">
        <v>2.8782599999999974</v>
      </c>
      <c r="G190" s="3">
        <v>3.3939199999999978</v>
      </c>
      <c r="H190" s="3">
        <v>3.7863000000000007</v>
      </c>
      <c r="I190" s="3">
        <v>1.2148199999999996</v>
      </c>
      <c r="J190" s="3">
        <v>1.73048</v>
      </c>
      <c r="K190" s="3">
        <v>2.1228600000000029</v>
      </c>
      <c r="L190" s="3">
        <v>0.51566000000000045</v>
      </c>
      <c r="M190" s="3">
        <v>0.90804000000000329</v>
      </c>
      <c r="N190" s="3">
        <v>0.39238000000000284</v>
      </c>
      <c r="P190" s="3">
        <f t="shared" si="27"/>
        <v>-0.32270716156179757</v>
      </c>
      <c r="Q190" s="3">
        <f t="shared" si="28"/>
        <v>0.59009510014636779</v>
      </c>
      <c r="R190" s="3">
        <f t="shared" si="29"/>
        <v>-0.59033442837198136</v>
      </c>
      <c r="S190" s="3">
        <f t="shared" si="30"/>
        <v>-0.13989585721694492</v>
      </c>
      <c r="T190" s="3">
        <f t="shared" si="31"/>
        <v>-0.23253346920069515</v>
      </c>
      <c r="U190" s="3">
        <f t="shared" si="32"/>
        <v>-0.36951194215312194</v>
      </c>
      <c r="V190" s="3">
        <f t="shared" si="33"/>
        <v>-0.36544545496521486</v>
      </c>
      <c r="W190" s="3">
        <f t="shared" si="34"/>
        <v>-0.23469373121744744</v>
      </c>
      <c r="X190" s="3">
        <f t="shared" si="35"/>
        <v>-0.40148483025746751</v>
      </c>
      <c r="Y190" s="3">
        <f t="shared" si="36"/>
        <v>-0.36408748712445016</v>
      </c>
      <c r="Z190" s="3">
        <f t="shared" si="37"/>
        <v>-0.58205938411736424</v>
      </c>
      <c r="AA190" s="3">
        <f t="shared" si="38"/>
        <v>-0.44047717737396119</v>
      </c>
      <c r="AB190" s="3">
        <f t="shared" si="39"/>
        <v>-0.11623441388398754</v>
      </c>
    </row>
    <row r="191" spans="1:28" x14ac:dyDescent="0.25">
      <c r="A191" s="3">
        <v>1.23766247369087E+18</v>
      </c>
      <c r="B191" s="3">
        <v>236.11424</v>
      </c>
      <c r="C191" s="3">
        <v>36.372385999999999</v>
      </c>
      <c r="D191" s="16">
        <v>0.1931196</v>
      </c>
      <c r="E191" s="3">
        <v>1.546129999999998</v>
      </c>
      <c r="F191" s="3">
        <v>2.8401899999999998</v>
      </c>
      <c r="G191" s="3">
        <v>3.3976100000000002</v>
      </c>
      <c r="H191" s="3">
        <v>3.7225599999999979</v>
      </c>
      <c r="I191" s="3">
        <v>1.2940600000000018</v>
      </c>
      <c r="J191" s="3">
        <v>1.8514800000000022</v>
      </c>
      <c r="K191" s="3">
        <v>2.1764299999999999</v>
      </c>
      <c r="L191" s="3">
        <v>0.55742000000000047</v>
      </c>
      <c r="M191" s="3">
        <v>0.8823699999999981</v>
      </c>
      <c r="N191" s="3">
        <v>0.32494999999999763</v>
      </c>
      <c r="P191" s="3">
        <f t="shared" si="27"/>
        <v>-0.46805363481819084</v>
      </c>
      <c r="Q191" s="3">
        <f t="shared" si="28"/>
        <v>1.0086326556247514</v>
      </c>
      <c r="R191" s="3">
        <f t="shared" si="29"/>
        <v>-0.5899909115393297</v>
      </c>
      <c r="S191" s="3">
        <f t="shared" si="30"/>
        <v>-0.25537084187199199</v>
      </c>
      <c r="T191" s="3">
        <f t="shared" si="31"/>
        <v>-0.2663974863084479</v>
      </c>
      <c r="U191" s="3">
        <f t="shared" si="32"/>
        <v>-0.3665246771030235</v>
      </c>
      <c r="V191" s="3">
        <f t="shared" si="33"/>
        <v>-0.41423198537548456</v>
      </c>
      <c r="W191" s="3">
        <f t="shared" si="34"/>
        <v>-7.8802654317747564E-2</v>
      </c>
      <c r="X191" s="3">
        <f t="shared" si="35"/>
        <v>-0.24692920123438106</v>
      </c>
      <c r="Y191" s="3">
        <f t="shared" si="36"/>
        <v>-0.30592486835120919</v>
      </c>
      <c r="Z191" s="3">
        <f t="shared" si="37"/>
        <v>-0.45742359701928159</v>
      </c>
      <c r="AA191" s="3">
        <f t="shared" si="38"/>
        <v>-0.49281424496294268</v>
      </c>
      <c r="AB191" s="3">
        <f t="shared" si="39"/>
        <v>-0.48909872714952846</v>
      </c>
    </row>
    <row r="192" spans="1:28" x14ac:dyDescent="0.25">
      <c r="A192" s="3">
        <v>1.2376625032187699E+18</v>
      </c>
      <c r="B192" s="3">
        <v>236.05531999999999</v>
      </c>
      <c r="C192" s="3">
        <v>36.223889999999997</v>
      </c>
      <c r="D192" s="16">
        <v>0.19471160000000001</v>
      </c>
      <c r="E192" s="3">
        <v>1.5738899999999987</v>
      </c>
      <c r="F192" s="3">
        <v>2.7937599999999989</v>
      </c>
      <c r="G192" s="3">
        <v>3.2410800000000002</v>
      </c>
      <c r="H192" s="3">
        <v>3.5755099999999977</v>
      </c>
      <c r="I192" s="3">
        <v>1.2198700000000002</v>
      </c>
      <c r="J192" s="3">
        <v>1.6671900000000015</v>
      </c>
      <c r="K192" s="3">
        <v>2.0016199999999991</v>
      </c>
      <c r="L192" s="3">
        <v>0.44732000000000127</v>
      </c>
      <c r="M192" s="3">
        <v>0.78174999999999883</v>
      </c>
      <c r="N192" s="3">
        <v>0.33442999999999756</v>
      </c>
      <c r="P192" s="3">
        <f t="shared" si="27"/>
        <v>-0.64933674667813579</v>
      </c>
      <c r="Q192" s="3">
        <f t="shared" si="28"/>
        <v>0.48294815488196446</v>
      </c>
      <c r="R192" s="3">
        <f t="shared" si="29"/>
        <v>-0.58375512137306473</v>
      </c>
      <c r="S192" s="3">
        <f t="shared" si="30"/>
        <v>-0.22804507617406178</v>
      </c>
      <c r="T192" s="3">
        <f t="shared" si="31"/>
        <v>-0.30769788857566843</v>
      </c>
      <c r="U192" s="3">
        <f t="shared" si="32"/>
        <v>-0.49324462243950035</v>
      </c>
      <c r="V192" s="3">
        <f t="shared" si="33"/>
        <v>-0.52678390405809905</v>
      </c>
      <c r="W192" s="3">
        <f t="shared" si="34"/>
        <v>-0.22475872442361142</v>
      </c>
      <c r="X192" s="3">
        <f t="shared" si="35"/>
        <v>-0.48232636547127522</v>
      </c>
      <c r="Y192" s="3">
        <f t="shared" si="36"/>
        <v>-0.49572153416698062</v>
      </c>
      <c r="Z192" s="3">
        <f t="shared" si="37"/>
        <v>-0.78602513340574687</v>
      </c>
      <c r="AA192" s="3">
        <f t="shared" si="38"/>
        <v>-0.69796250132454052</v>
      </c>
      <c r="AB192" s="3">
        <f t="shared" si="39"/>
        <v>-0.43667764321423214</v>
      </c>
    </row>
    <row r="193" spans="1:28" x14ac:dyDescent="0.25">
      <c r="A193" s="3">
        <v>1.23766233786351E+18</v>
      </c>
      <c r="B193" s="3">
        <v>235.75116</v>
      </c>
      <c r="C193" s="3">
        <v>35.822882</v>
      </c>
      <c r="D193" s="16">
        <v>0.19542370000000001</v>
      </c>
      <c r="E193" s="3">
        <v>1.9974199999999982</v>
      </c>
      <c r="F193" s="3">
        <v>3.3244599999999984</v>
      </c>
      <c r="G193" s="3">
        <v>3.8224699999999991</v>
      </c>
      <c r="H193" s="3">
        <v>4.1863899999999994</v>
      </c>
      <c r="I193" s="3">
        <v>1.3270400000000002</v>
      </c>
      <c r="J193" s="3">
        <v>1.8250500000000009</v>
      </c>
      <c r="K193" s="3">
        <v>2.1889700000000012</v>
      </c>
      <c r="L193" s="3">
        <v>0.49801000000000073</v>
      </c>
      <c r="M193" s="3">
        <v>0.86193000000000097</v>
      </c>
      <c r="N193" s="3">
        <v>0.36392000000000024</v>
      </c>
      <c r="P193" s="3">
        <f t="shared" si="27"/>
        <v>-1.5851661985335268</v>
      </c>
      <c r="Q193" s="3">
        <f t="shared" si="28"/>
        <v>-0.93664355313616365</v>
      </c>
      <c r="R193" s="3">
        <f t="shared" si="29"/>
        <v>-0.58096585869882023</v>
      </c>
      <c r="S193" s="3">
        <f t="shared" si="30"/>
        <v>0.18885987865461526</v>
      </c>
      <c r="T193" s="3">
        <f t="shared" si="31"/>
        <v>0.16437024588940854</v>
      </c>
      <c r="U193" s="3">
        <f t="shared" si="32"/>
        <v>-2.2576322310616941E-2</v>
      </c>
      <c r="V193" s="3">
        <f t="shared" si="33"/>
        <v>-5.9216980665813032E-2</v>
      </c>
      <c r="W193" s="3">
        <f t="shared" si="34"/>
        <v>-1.3920174305736985E-2</v>
      </c>
      <c r="X193" s="3">
        <f t="shared" si="35"/>
        <v>-0.28068874896231738</v>
      </c>
      <c r="Y193" s="3">
        <f t="shared" si="36"/>
        <v>-0.29230979948026348</v>
      </c>
      <c r="Z193" s="3">
        <f t="shared" si="37"/>
        <v>-0.63473710543635664</v>
      </c>
      <c r="AA193" s="3">
        <f t="shared" si="38"/>
        <v>-0.53448817022661299</v>
      </c>
      <c r="AB193" s="3">
        <f t="shared" si="39"/>
        <v>-0.27360825869397482</v>
      </c>
    </row>
    <row r="194" spans="1:28" x14ac:dyDescent="0.25">
      <c r="A194" s="3">
        <v>1.23766247369087E+18</v>
      </c>
      <c r="B194" s="3">
        <v>236.15581</v>
      </c>
      <c r="C194" s="3">
        <v>36.275300999999999</v>
      </c>
      <c r="D194" s="16">
        <v>0.19546820000000001</v>
      </c>
      <c r="E194" s="3">
        <v>2.1272599999999997</v>
      </c>
      <c r="F194" s="3">
        <v>3.46218</v>
      </c>
      <c r="G194" s="3">
        <v>3.9524399999999993</v>
      </c>
      <c r="H194" s="3">
        <v>4.2970600000000019</v>
      </c>
      <c r="I194" s="3">
        <v>1.3349200000000003</v>
      </c>
      <c r="J194" s="3">
        <v>1.8251799999999996</v>
      </c>
      <c r="K194" s="3">
        <v>2.1698000000000022</v>
      </c>
      <c r="L194" s="3">
        <v>0.49025999999999925</v>
      </c>
      <c r="M194" s="3">
        <v>0.83488000000000184</v>
      </c>
      <c r="N194" s="3">
        <v>0.34462000000000259</v>
      </c>
      <c r="P194" s="3">
        <f t="shared" si="27"/>
        <v>-0.34015243047299143</v>
      </c>
      <c r="Q194" s="3">
        <f t="shared" si="28"/>
        <v>0.66494609332938392</v>
      </c>
      <c r="R194" s="3">
        <f t="shared" si="29"/>
        <v>-0.58079155426264006</v>
      </c>
      <c r="S194" s="3">
        <f t="shared" si="30"/>
        <v>0.31666886346078277</v>
      </c>
      <c r="T194" s="3">
        <f t="shared" si="31"/>
        <v>0.28687490667427989</v>
      </c>
      <c r="U194" s="3">
        <f t="shared" si="32"/>
        <v>8.2641791120558611E-2</v>
      </c>
      <c r="V194" s="3">
        <f t="shared" si="33"/>
        <v>2.5489723452549518E-2</v>
      </c>
      <c r="W194" s="3">
        <f t="shared" si="34"/>
        <v>1.5823709488013537E-3</v>
      </c>
      <c r="X194" s="3">
        <f t="shared" si="35"/>
        <v>-0.28052269746006292</v>
      </c>
      <c r="Y194" s="3">
        <f t="shared" si="36"/>
        <v>-0.31312326600785423</v>
      </c>
      <c r="Z194" s="3">
        <f t="shared" si="37"/>
        <v>-0.65786754964158467</v>
      </c>
      <c r="AA194" s="3">
        <f t="shared" si="38"/>
        <v>-0.58963883942340367</v>
      </c>
      <c r="AB194" s="3">
        <f t="shared" si="39"/>
        <v>-0.38033050763396453</v>
      </c>
    </row>
    <row r="195" spans="1:28" x14ac:dyDescent="0.25">
      <c r="A195" s="3">
        <v>1.2376625032187699E+18</v>
      </c>
      <c r="B195" s="3">
        <v>236.05296999999999</v>
      </c>
      <c r="C195" s="3">
        <v>36.203226000000001</v>
      </c>
      <c r="D195" s="16">
        <v>0.19561770000000001</v>
      </c>
      <c r="E195" s="3">
        <v>2.2616199999999971</v>
      </c>
      <c r="F195" s="3">
        <v>3.5593499999999985</v>
      </c>
      <c r="G195" s="3">
        <v>4.0681099999999972</v>
      </c>
      <c r="H195" s="3">
        <v>4.44407</v>
      </c>
      <c r="I195" s="3">
        <v>1.2977300000000014</v>
      </c>
      <c r="J195" s="3">
        <v>1.8064900000000002</v>
      </c>
      <c r="K195" s="3">
        <v>2.1824500000000029</v>
      </c>
      <c r="L195" s="3">
        <v>0.50875999999999877</v>
      </c>
      <c r="M195" s="3">
        <v>0.88472000000000151</v>
      </c>
      <c r="N195" s="3">
        <v>0.37596000000000274</v>
      </c>
      <c r="P195" s="3">
        <f t="shared" ref="P195:P258" si="40">(B195-B$476)/B$477</f>
        <v>-0.6565671491369296</v>
      </c>
      <c r="Q195" s="3">
        <f t="shared" ref="Q195:Q258" si="41">(C195-C$476)/C$477</f>
        <v>0.40979638969403359</v>
      </c>
      <c r="R195" s="3">
        <f t="shared" ref="R195:R258" si="42">(D195-D$476)/D$477</f>
        <v>-0.58020596969614724</v>
      </c>
      <c r="S195" s="3">
        <f t="shared" ref="S195:S258" si="43">(E195-E$476)/E$477</f>
        <v>0.44892714441084536</v>
      </c>
      <c r="T195" s="3">
        <f t="shared" ref="T195:T258" si="44">(F195-F$476)/F$477</f>
        <v>0.37330954135671979</v>
      </c>
      <c r="U195" s="3">
        <f t="shared" ref="U195:U258" si="45">(G195-G$476)/G$477</f>
        <v>0.17628324053645339</v>
      </c>
      <c r="V195" s="3">
        <f t="shared" ref="V195:V258" si="46">(H195-H$476)/H$477</f>
        <v>0.13801102617632321</v>
      </c>
      <c r="W195" s="3">
        <f t="shared" ref="W195:W258" si="47">(I195-I$476)/I$477</f>
        <v>-7.1582560271535756E-2</v>
      </c>
      <c r="X195" s="3">
        <f t="shared" ref="X195:X258" si="48">(J195-J$476)/J$477</f>
        <v>-0.30439579420751206</v>
      </c>
      <c r="Y195" s="3">
        <f t="shared" ref="Y195:Y258" si="49">(K195-K$476)/K$477</f>
        <v>-0.29938876670821674</v>
      </c>
      <c r="Z195" s="3">
        <f t="shared" ref="Z195:Z258" si="50">(L195-L$476)/L$477</f>
        <v>-0.60265294089363286</v>
      </c>
      <c r="AA195" s="3">
        <f t="shared" ref="AA195:AA258" si="51">(M195-M$476)/M$477</f>
        <v>-0.48802296686265989</v>
      </c>
      <c r="AB195" s="3">
        <f t="shared" ref="AB195:AB258" si="52">(N195-N$476)/N$477</f>
        <v>-0.20703127023605258</v>
      </c>
    </row>
    <row r="196" spans="1:28" x14ac:dyDescent="0.25">
      <c r="A196" s="3">
        <v>1.23766146544926E+18</v>
      </c>
      <c r="B196" s="3">
        <v>235.70094</v>
      </c>
      <c r="C196" s="3">
        <v>35.605603000000002</v>
      </c>
      <c r="D196" s="16">
        <v>0.19562689999999999</v>
      </c>
      <c r="E196" s="3">
        <v>2.2562599999999975</v>
      </c>
      <c r="F196" s="3">
        <v>3.5205899999999986</v>
      </c>
      <c r="G196" s="3">
        <v>4.0120699999999978</v>
      </c>
      <c r="H196" s="3">
        <v>4.3755600000000001</v>
      </c>
      <c r="I196" s="3">
        <v>1.2643300000000011</v>
      </c>
      <c r="J196" s="3">
        <v>1.7558100000000003</v>
      </c>
      <c r="K196" s="3">
        <v>2.1193000000000026</v>
      </c>
      <c r="L196" s="3">
        <v>0.49147999999999925</v>
      </c>
      <c r="M196" s="3">
        <v>0.85497000000000156</v>
      </c>
      <c r="N196" s="3">
        <v>0.36349000000000231</v>
      </c>
      <c r="P196" s="3">
        <f t="shared" si="40"/>
        <v>-1.7396814374609813</v>
      </c>
      <c r="Q196" s="3">
        <f t="shared" si="41"/>
        <v>-1.7058238855147438</v>
      </c>
      <c r="R196" s="3">
        <f t="shared" si="42"/>
        <v>-0.58016993372282466</v>
      </c>
      <c r="S196" s="3">
        <f t="shared" si="43"/>
        <v>0.44365098792162017</v>
      </c>
      <c r="T196" s="3">
        <f t="shared" si="44"/>
        <v>0.33883175561738238</v>
      </c>
      <c r="U196" s="3">
        <f t="shared" si="45"/>
        <v>0.13091567050734659</v>
      </c>
      <c r="V196" s="3">
        <f t="shared" si="46"/>
        <v>8.5573542674481043E-2</v>
      </c>
      <c r="W196" s="3">
        <f t="shared" si="47"/>
        <v>-0.13729131807630457</v>
      </c>
      <c r="X196" s="3">
        <f t="shared" si="48"/>
        <v>-0.36913033370246956</v>
      </c>
      <c r="Y196" s="3">
        <f t="shared" si="49"/>
        <v>-0.36795269008940751</v>
      </c>
      <c r="Z196" s="3">
        <f t="shared" si="50"/>
        <v>-0.65422637003766559</v>
      </c>
      <c r="AA196" s="3">
        <f t="shared" si="51"/>
        <v>-0.54867850877040758</v>
      </c>
      <c r="AB196" s="3">
        <f t="shared" si="52"/>
        <v>-0.2759860082817458</v>
      </c>
    </row>
    <row r="197" spans="1:28" x14ac:dyDescent="0.25">
      <c r="A197" s="3">
        <v>1.23766146544926E+18</v>
      </c>
      <c r="B197" s="3">
        <v>235.74010000000001</v>
      </c>
      <c r="C197" s="3">
        <v>35.589899000000003</v>
      </c>
      <c r="D197" s="16">
        <v>0.19573380000000001</v>
      </c>
      <c r="E197" s="3">
        <v>2.2480900000000013</v>
      </c>
      <c r="F197" s="3">
        <v>3.5281599999999997</v>
      </c>
      <c r="G197" s="3">
        <v>4.0230700000000006</v>
      </c>
      <c r="H197" s="3">
        <v>4.387830000000001</v>
      </c>
      <c r="I197" s="3">
        <v>1.2800699999999985</v>
      </c>
      <c r="J197" s="3">
        <v>1.7749799999999993</v>
      </c>
      <c r="K197" s="3">
        <v>2.1397399999999998</v>
      </c>
      <c r="L197" s="3">
        <v>0.49491000000000085</v>
      </c>
      <c r="M197" s="3">
        <v>0.85967000000000127</v>
      </c>
      <c r="N197" s="3">
        <v>0.36476000000000042</v>
      </c>
      <c r="P197" s="3">
        <f t="shared" si="40"/>
        <v>-1.6191952415947706</v>
      </c>
      <c r="Q197" s="3">
        <f t="shared" si="41"/>
        <v>-1.7614169614202524</v>
      </c>
      <c r="R197" s="3">
        <f t="shared" si="42"/>
        <v>-0.57975121138063002</v>
      </c>
      <c r="S197" s="3">
        <f t="shared" si="43"/>
        <v>0.43560878670577069</v>
      </c>
      <c r="T197" s="3">
        <f t="shared" si="44"/>
        <v>0.34556542016967406</v>
      </c>
      <c r="U197" s="3">
        <f t="shared" si="45"/>
        <v>0.13982079667294808</v>
      </c>
      <c r="V197" s="3">
        <f t="shared" si="46"/>
        <v>9.4964988048406765E-2</v>
      </c>
      <c r="W197" s="3">
        <f t="shared" si="47"/>
        <v>-0.10632557412879315</v>
      </c>
      <c r="X197" s="3">
        <f t="shared" si="48"/>
        <v>-0.34464412371592107</v>
      </c>
      <c r="Y197" s="3">
        <f t="shared" si="49"/>
        <v>-0.3457603449760055</v>
      </c>
      <c r="Z197" s="3">
        <f t="shared" si="50"/>
        <v>-0.64398928311844572</v>
      </c>
      <c r="AA197" s="3">
        <f t="shared" si="51"/>
        <v>-0.53909595256985643</v>
      </c>
      <c r="AB197" s="3">
        <f t="shared" si="52"/>
        <v>-0.26896335252249187</v>
      </c>
    </row>
    <row r="198" spans="1:28" x14ac:dyDescent="0.25">
      <c r="A198" s="3">
        <v>1.2376625032187699E+18</v>
      </c>
      <c r="B198" s="3">
        <v>236.05785</v>
      </c>
      <c r="C198" s="3">
        <v>36.237388000000003</v>
      </c>
      <c r="D198" s="16">
        <v>0.1958859</v>
      </c>
      <c r="E198" s="3">
        <v>1.694580000000002</v>
      </c>
      <c r="F198" s="3">
        <v>2.9005399999999995</v>
      </c>
      <c r="G198" s="3">
        <v>3.4207800000000006</v>
      </c>
      <c r="H198" s="3">
        <v>3.7614200000000011</v>
      </c>
      <c r="I198" s="3">
        <v>1.2059599999999975</v>
      </c>
      <c r="J198" s="3">
        <v>1.7261999999999986</v>
      </c>
      <c r="K198" s="3">
        <v>2.0668399999999991</v>
      </c>
      <c r="L198" s="3">
        <v>0.52024000000000115</v>
      </c>
      <c r="M198" s="3">
        <v>0.86088000000000164</v>
      </c>
      <c r="N198" s="3">
        <v>0.3406400000000005</v>
      </c>
      <c r="P198" s="3">
        <f t="shared" si="40"/>
        <v>-0.6415525261586692</v>
      </c>
      <c r="Q198" s="3">
        <f t="shared" si="41"/>
        <v>0.53073186212679924</v>
      </c>
      <c r="R198" s="3">
        <f t="shared" si="42"/>
        <v>-0.57915544273471997</v>
      </c>
      <c r="S198" s="3">
        <f t="shared" si="43"/>
        <v>-0.10924296298662652</v>
      </c>
      <c r="T198" s="3">
        <f t="shared" si="44"/>
        <v>-0.21271496903886566</v>
      </c>
      <c r="U198" s="3">
        <f t="shared" si="45"/>
        <v>-0.34776724317057467</v>
      </c>
      <c r="V198" s="3">
        <f t="shared" si="46"/>
        <v>-0.38448858136319786</v>
      </c>
      <c r="W198" s="3">
        <f t="shared" si="47"/>
        <v>-0.25212425798841698</v>
      </c>
      <c r="X198" s="3">
        <f t="shared" si="48"/>
        <v>-0.40695175663944283</v>
      </c>
      <c r="Y198" s="3">
        <f t="shared" si="49"/>
        <v>-0.42491014726403131</v>
      </c>
      <c r="Z198" s="3">
        <f t="shared" si="50"/>
        <v>-0.56839003773543639</v>
      </c>
      <c r="AA198" s="3">
        <f t="shared" si="51"/>
        <v>-0.53662895405864974</v>
      </c>
      <c r="AB198" s="3">
        <f t="shared" si="52"/>
        <v>-0.40233851544647409</v>
      </c>
    </row>
    <row r="199" spans="1:28" x14ac:dyDescent="0.25">
      <c r="A199" s="3">
        <v>1.2376625032187699E+18</v>
      </c>
      <c r="B199" s="3">
        <v>236.0179</v>
      </c>
      <c r="C199" s="3">
        <v>36.210472000000003</v>
      </c>
      <c r="D199" s="16">
        <v>0.19602649999999999</v>
      </c>
      <c r="E199" s="3">
        <v>1.6827299999999994</v>
      </c>
      <c r="F199" s="3">
        <v>3.4815000000000005</v>
      </c>
      <c r="G199" s="3">
        <v>3.9813100000000006</v>
      </c>
      <c r="H199" s="3">
        <v>4.3106200000000001</v>
      </c>
      <c r="I199" s="3">
        <v>1.7987700000000011</v>
      </c>
      <c r="J199" s="3">
        <v>2.2985800000000012</v>
      </c>
      <c r="K199" s="3">
        <v>2.6278900000000007</v>
      </c>
      <c r="L199" s="3">
        <v>0.49981000000000009</v>
      </c>
      <c r="M199" s="3">
        <v>0.82911999999999964</v>
      </c>
      <c r="N199" s="3">
        <v>0.32930999999999955</v>
      </c>
      <c r="P199" s="3">
        <f t="shared" si="40"/>
        <v>-0.76446936795781328</v>
      </c>
      <c r="Q199" s="3">
        <f t="shared" si="41"/>
        <v>0.43544765230301491</v>
      </c>
      <c r="R199" s="3">
        <f t="shared" si="42"/>
        <v>-0.57860471905546318</v>
      </c>
      <c r="S199" s="3">
        <f t="shared" si="43"/>
        <v>-0.12090760000105501</v>
      </c>
      <c r="T199" s="3">
        <f t="shared" si="44"/>
        <v>0.30406042835859404</v>
      </c>
      <c r="U199" s="3">
        <f t="shared" si="45"/>
        <v>0.10601369952063686</v>
      </c>
      <c r="V199" s="3">
        <f t="shared" si="46"/>
        <v>3.5868533499037465E-2</v>
      </c>
      <c r="W199" s="3">
        <f t="shared" si="47"/>
        <v>0.91412749992310594</v>
      </c>
      <c r="X199" s="3">
        <f t="shared" si="48"/>
        <v>0.32416023460215221</v>
      </c>
      <c r="Y199" s="3">
        <f t="shared" si="49"/>
        <v>0.18423932562618306</v>
      </c>
      <c r="Z199" s="3">
        <f t="shared" si="50"/>
        <v>-0.62936487323385493</v>
      </c>
      <c r="AA199" s="3">
        <f t="shared" si="51"/>
        <v>-0.60138256787344602</v>
      </c>
      <c r="AB199" s="3">
        <f t="shared" si="52"/>
        <v>-0.46498945225944466</v>
      </c>
    </row>
    <row r="200" spans="1:28" x14ac:dyDescent="0.25">
      <c r="A200" s="3">
        <v>1.23766146544926E+18</v>
      </c>
      <c r="B200" s="3">
        <v>235.71753000000001</v>
      </c>
      <c r="C200" s="3">
        <v>35.651114</v>
      </c>
      <c r="D200" s="16">
        <v>0.1966155</v>
      </c>
      <c r="E200" s="3">
        <v>1.437850000000001</v>
      </c>
      <c r="F200" s="3">
        <v>2.6611500000000028</v>
      </c>
      <c r="G200" s="3">
        <v>3.15062</v>
      </c>
      <c r="H200" s="3">
        <v>3.4954500000000017</v>
      </c>
      <c r="I200" s="3">
        <v>1.2233000000000018</v>
      </c>
      <c r="J200" s="3">
        <v>1.712769999999999</v>
      </c>
      <c r="K200" s="3">
        <v>2.0576000000000008</v>
      </c>
      <c r="L200" s="3">
        <v>0.48946999999999719</v>
      </c>
      <c r="M200" s="3">
        <v>0.83429999999999893</v>
      </c>
      <c r="N200" s="3">
        <v>0.34483000000000175</v>
      </c>
      <c r="P200" s="3">
        <f t="shared" si="40"/>
        <v>-1.6886378728690279</v>
      </c>
      <c r="Q200" s="3">
        <f t="shared" si="41"/>
        <v>-1.5447122911734588</v>
      </c>
      <c r="R200" s="3">
        <f t="shared" si="42"/>
        <v>-0.57629763337209006</v>
      </c>
      <c r="S200" s="3">
        <f t="shared" si="43"/>
        <v>-0.36195707781477754</v>
      </c>
      <c r="T200" s="3">
        <f t="shared" si="44"/>
        <v>-0.42565710340779972</v>
      </c>
      <c r="U200" s="3">
        <f t="shared" si="45"/>
        <v>-0.56647714179769193</v>
      </c>
      <c r="V200" s="3">
        <f t="shared" si="46"/>
        <v>-0.58806174567475766</v>
      </c>
      <c r="W200" s="3">
        <f t="shared" si="47"/>
        <v>-0.2180107891161126</v>
      </c>
      <c r="X200" s="3">
        <f t="shared" si="48"/>
        <v>-0.42410615414175645</v>
      </c>
      <c r="Y200" s="3">
        <f t="shared" si="49"/>
        <v>-0.43494230327419897</v>
      </c>
      <c r="Z200" s="3">
        <f t="shared" si="50"/>
        <v>-0.66022536266380072</v>
      </c>
      <c r="AA200" s="3">
        <f t="shared" si="51"/>
        <v>-0.59082136763539261</v>
      </c>
      <c r="AB200" s="3">
        <f t="shared" si="52"/>
        <v>-0.37916928109109871</v>
      </c>
    </row>
    <row r="201" spans="1:28" x14ac:dyDescent="0.25">
      <c r="A201" s="3">
        <v>1.2376625032187699E+18</v>
      </c>
      <c r="B201" s="3">
        <v>236.02927</v>
      </c>
      <c r="C201" s="3">
        <v>36.219217999999998</v>
      </c>
      <c r="D201" s="16">
        <v>0.1966647</v>
      </c>
      <c r="E201" s="3">
        <v>2.0469799999999978</v>
      </c>
      <c r="F201" s="3">
        <v>3.2791399999999982</v>
      </c>
      <c r="G201" s="3">
        <v>3.7517999999999994</v>
      </c>
      <c r="H201" s="3">
        <v>4.1074400000000004</v>
      </c>
      <c r="I201" s="3">
        <v>1.2321600000000004</v>
      </c>
      <c r="J201" s="3">
        <v>1.7048200000000016</v>
      </c>
      <c r="K201" s="3">
        <v>2.0604600000000026</v>
      </c>
      <c r="L201" s="3">
        <v>0.47266000000000119</v>
      </c>
      <c r="M201" s="3">
        <v>0.82830000000000226</v>
      </c>
      <c r="N201" s="3">
        <v>0.35564000000000107</v>
      </c>
      <c r="P201" s="3">
        <f t="shared" si="40"/>
        <v>-0.72948652712537176</v>
      </c>
      <c r="Q201" s="3">
        <f t="shared" si="41"/>
        <v>0.46640900239657812</v>
      </c>
      <c r="R201" s="3">
        <f t="shared" si="42"/>
        <v>-0.5761049192538864</v>
      </c>
      <c r="S201" s="3">
        <f t="shared" si="43"/>
        <v>0.23764463902887231</v>
      </c>
      <c r="T201" s="3">
        <f t="shared" si="44"/>
        <v>0.12405721055125625</v>
      </c>
      <c r="U201" s="3">
        <f t="shared" si="45"/>
        <v>-7.9787710139970991E-2</v>
      </c>
      <c r="V201" s="3">
        <f t="shared" si="46"/>
        <v>-0.11964522942468613</v>
      </c>
      <c r="W201" s="3">
        <f t="shared" si="47"/>
        <v>-0.20058026234515003</v>
      </c>
      <c r="X201" s="3">
        <f t="shared" si="48"/>
        <v>-0.43426084216434424</v>
      </c>
      <c r="Y201" s="3">
        <f t="shared" si="49"/>
        <v>-0.43183711212819209</v>
      </c>
      <c r="Z201" s="3">
        <f t="shared" si="50"/>
        <v>-0.71039604228828035</v>
      </c>
      <c r="AA201" s="3">
        <f t="shared" si="51"/>
        <v>-0.60305441810417526</v>
      </c>
      <c r="AB201" s="3">
        <f t="shared" si="52"/>
        <v>-0.31939376238429268</v>
      </c>
    </row>
    <row r="202" spans="1:28" x14ac:dyDescent="0.25">
      <c r="A202" s="3">
        <v>1.23766247422781E+18</v>
      </c>
      <c r="B202" s="3">
        <v>236.57089999999999</v>
      </c>
      <c r="C202" s="3">
        <v>36.581391000000004</v>
      </c>
      <c r="D202" s="16">
        <v>0.1967082</v>
      </c>
      <c r="E202" s="3">
        <v>1.72729</v>
      </c>
      <c r="F202" s="3">
        <v>2.8499300000000005</v>
      </c>
      <c r="G202" s="3">
        <v>3.3372500000000009</v>
      </c>
      <c r="H202" s="3">
        <v>3.6628399999999992</v>
      </c>
      <c r="I202" s="3">
        <v>1.1226400000000005</v>
      </c>
      <c r="J202" s="3">
        <v>1.6099600000000009</v>
      </c>
      <c r="K202" s="3">
        <v>1.9355499999999992</v>
      </c>
      <c r="L202" s="3">
        <v>0.48732000000000042</v>
      </c>
      <c r="M202" s="3">
        <v>0.81290999999999869</v>
      </c>
      <c r="N202" s="3">
        <v>0.32558999999999827</v>
      </c>
      <c r="P202" s="3">
        <f t="shared" si="40"/>
        <v>0.93698278510647992</v>
      </c>
      <c r="Q202" s="3">
        <f t="shared" si="41"/>
        <v>1.7485225454382651</v>
      </c>
      <c r="R202" s="3">
        <f t="shared" si="42"/>
        <v>-0.57593453177132825</v>
      </c>
      <c r="S202" s="3">
        <f t="shared" si="43"/>
        <v>-7.7044627396596954E-2</v>
      </c>
      <c r="T202" s="3">
        <f t="shared" si="44"/>
        <v>-0.25773356388581697</v>
      </c>
      <c r="U202" s="3">
        <f t="shared" si="45"/>
        <v>-0.41538953304443826</v>
      </c>
      <c r="V202" s="3">
        <f t="shared" si="46"/>
        <v>-0.45994161192241129</v>
      </c>
      <c r="W202" s="3">
        <f t="shared" si="47"/>
        <v>-0.41604203344629381</v>
      </c>
      <c r="X202" s="3">
        <f t="shared" si="48"/>
        <v>-0.55542734604145005</v>
      </c>
      <c r="Y202" s="3">
        <f t="shared" si="49"/>
        <v>-0.56745579256437162</v>
      </c>
      <c r="Z202" s="3">
        <f t="shared" si="50"/>
        <v>-0.66664219557233706</v>
      </c>
      <c r="AA202" s="3">
        <f t="shared" si="51"/>
        <v>-0.63443219255662753</v>
      </c>
      <c r="AB202" s="3">
        <f t="shared" si="52"/>
        <v>-0.48555975101887194</v>
      </c>
    </row>
    <row r="203" spans="1:28" x14ac:dyDescent="0.25">
      <c r="A203" s="3">
        <v>1.2376614659859999E+18</v>
      </c>
      <c r="B203" s="3">
        <v>235.64840000000001</v>
      </c>
      <c r="C203" s="3">
        <v>36.151434000000002</v>
      </c>
      <c r="D203" s="16">
        <v>0.19737299999999999</v>
      </c>
      <c r="E203" s="3">
        <v>1.2262500000000003</v>
      </c>
      <c r="F203" s="3">
        <v>2.1529999999999987</v>
      </c>
      <c r="G203" s="3">
        <v>2.5998999999999981</v>
      </c>
      <c r="H203" s="3">
        <v>2.8862099999999984</v>
      </c>
      <c r="I203" s="3">
        <v>0.92674999999999841</v>
      </c>
      <c r="J203" s="3">
        <v>1.3736499999999978</v>
      </c>
      <c r="K203" s="3">
        <v>1.6599599999999981</v>
      </c>
      <c r="L203" s="3">
        <v>0.44689999999999941</v>
      </c>
      <c r="M203" s="3">
        <v>0.7332099999999997</v>
      </c>
      <c r="N203" s="3">
        <v>0.28631000000000029</v>
      </c>
      <c r="P203" s="3">
        <f t="shared" si="40"/>
        <v>-1.901334775837088</v>
      </c>
      <c r="Q203" s="3">
        <f t="shared" si="41"/>
        <v>0.22644968902553353</v>
      </c>
      <c r="R203" s="3">
        <f t="shared" si="42"/>
        <v>-0.57333054100340564</v>
      </c>
      <c r="S203" s="3">
        <f t="shared" si="43"/>
        <v>-0.5702471362327135</v>
      </c>
      <c r="T203" s="3">
        <f t="shared" si="44"/>
        <v>-0.87766656737695559</v>
      </c>
      <c r="U203" s="3">
        <f t="shared" si="45"/>
        <v>-1.0123163310630388</v>
      </c>
      <c r="V203" s="3">
        <f t="shared" si="46"/>
        <v>-1.0543734147546377</v>
      </c>
      <c r="W203" s="3">
        <f t="shared" si="47"/>
        <v>-0.80142193064318545</v>
      </c>
      <c r="X203" s="3">
        <f t="shared" si="48"/>
        <v>-0.85727065756579202</v>
      </c>
      <c r="Y203" s="3">
        <f t="shared" si="49"/>
        <v>-0.86667244568586599</v>
      </c>
      <c r="Z203" s="3">
        <f t="shared" si="50"/>
        <v>-0.78727865425300325</v>
      </c>
      <c r="AA203" s="3">
        <f t="shared" si="51"/>
        <v>-0.79692787961704559</v>
      </c>
      <c r="AB203" s="3">
        <f t="shared" si="52"/>
        <v>-0.70276441103768494</v>
      </c>
    </row>
    <row r="204" spans="1:28" x14ac:dyDescent="0.25">
      <c r="A204" s="3">
        <v>1.23766146544926E+18</v>
      </c>
      <c r="B204" s="3">
        <v>235.70382000000001</v>
      </c>
      <c r="C204" s="3">
        <v>35.608454000000002</v>
      </c>
      <c r="D204" s="16">
        <v>0.1979485</v>
      </c>
      <c r="E204" s="3">
        <v>2.2013800000000003</v>
      </c>
      <c r="F204" s="3">
        <v>3.4901699999999991</v>
      </c>
      <c r="G204" s="3">
        <v>3.9713100000000026</v>
      </c>
      <c r="H204" s="3">
        <v>4.3166800000000016</v>
      </c>
      <c r="I204" s="3">
        <v>1.2887899999999988</v>
      </c>
      <c r="J204" s="3">
        <v>1.7699300000000022</v>
      </c>
      <c r="K204" s="3">
        <v>2.1153000000000013</v>
      </c>
      <c r="L204" s="3">
        <v>0.48114000000000345</v>
      </c>
      <c r="M204" s="3">
        <v>0.82651000000000252</v>
      </c>
      <c r="N204" s="3">
        <v>0.34536999999999907</v>
      </c>
      <c r="P204" s="3">
        <f t="shared" si="40"/>
        <v>-1.730820348490216</v>
      </c>
      <c r="Q204" s="3">
        <f t="shared" si="41"/>
        <v>-1.6957311792356689</v>
      </c>
      <c r="R204" s="3">
        <f t="shared" si="42"/>
        <v>-0.57107633419392978</v>
      </c>
      <c r="S204" s="3">
        <f t="shared" si="43"/>
        <v>0.38962944536029837</v>
      </c>
      <c r="T204" s="3">
        <f t="shared" si="44"/>
        <v>0.311772564642392</v>
      </c>
      <c r="U204" s="3">
        <f t="shared" si="45"/>
        <v>9.791813027918464E-2</v>
      </c>
      <c r="V204" s="3">
        <f t="shared" si="46"/>
        <v>4.0506851263177643E-2</v>
      </c>
      <c r="W204" s="3">
        <f t="shared" si="47"/>
        <v>-8.9170473288745319E-2</v>
      </c>
      <c r="X204" s="3">
        <f t="shared" si="48"/>
        <v>-0.35109458591894693</v>
      </c>
      <c r="Y204" s="3">
        <f t="shared" si="49"/>
        <v>-0.37229561476913597</v>
      </c>
      <c r="Z204" s="3">
        <f t="shared" si="50"/>
        <v>-0.68508685946759018</v>
      </c>
      <c r="AA204" s="3">
        <f t="shared" si="51"/>
        <v>-0.60670394482736356</v>
      </c>
      <c r="AB204" s="3">
        <f t="shared" si="52"/>
        <v>-0.37618326998087515</v>
      </c>
    </row>
    <row r="205" spans="1:28" x14ac:dyDescent="0.25">
      <c r="A205" s="3">
        <v>1.23766146544926E+18</v>
      </c>
      <c r="B205" s="3">
        <v>235.649</v>
      </c>
      <c r="C205" s="3">
        <v>35.640408999999998</v>
      </c>
      <c r="D205" s="16">
        <v>0.19845309999999999</v>
      </c>
      <c r="E205" s="3">
        <v>2.2846299999999999</v>
      </c>
      <c r="F205" s="3">
        <v>3.5952300000000008</v>
      </c>
      <c r="G205" s="3">
        <v>4.1055100000000024</v>
      </c>
      <c r="H205" s="3">
        <v>4.4497500000000016</v>
      </c>
      <c r="I205" s="3">
        <v>1.3106000000000009</v>
      </c>
      <c r="J205" s="3">
        <v>1.8208800000000025</v>
      </c>
      <c r="K205" s="3">
        <v>2.1651200000000017</v>
      </c>
      <c r="L205" s="3">
        <v>0.51028000000000162</v>
      </c>
      <c r="M205" s="3">
        <v>0.85452000000000083</v>
      </c>
      <c r="N205" s="3">
        <v>0.34423999999999921</v>
      </c>
      <c r="P205" s="3">
        <f t="shared" si="40"/>
        <v>-1.8994887156348745</v>
      </c>
      <c r="Q205" s="3">
        <f t="shared" si="41"/>
        <v>-1.5826086155219412</v>
      </c>
      <c r="R205" s="3">
        <f t="shared" si="42"/>
        <v>-0.56909983939625564</v>
      </c>
      <c r="S205" s="3">
        <f t="shared" si="43"/>
        <v>0.47157721172746769</v>
      </c>
      <c r="T205" s="3">
        <f t="shared" si="44"/>
        <v>0.40522551019901876</v>
      </c>
      <c r="U205" s="3">
        <f t="shared" si="45"/>
        <v>0.20656066949949495</v>
      </c>
      <c r="V205" s="3">
        <f t="shared" si="46"/>
        <v>0.14235849233149112</v>
      </c>
      <c r="W205" s="3">
        <f t="shared" si="47"/>
        <v>-4.6263047907843149E-2</v>
      </c>
      <c r="X205" s="3">
        <f t="shared" si="48"/>
        <v>-0.28601517022699524</v>
      </c>
      <c r="Y205" s="3">
        <f t="shared" si="49"/>
        <v>-0.31820448788313538</v>
      </c>
      <c r="Z205" s="3">
        <f t="shared" si="50"/>
        <v>-0.59811638925595467</v>
      </c>
      <c r="AA205" s="3">
        <f t="shared" si="51"/>
        <v>-0.54959598755556827</v>
      </c>
      <c r="AB205" s="3">
        <f t="shared" si="52"/>
        <v>-0.38243177471155843</v>
      </c>
    </row>
    <row r="206" spans="1:28" x14ac:dyDescent="0.25">
      <c r="A206" s="3">
        <v>1.23766146544926E+18</v>
      </c>
      <c r="B206" s="3">
        <v>235.67659</v>
      </c>
      <c r="C206" s="3">
        <v>35.636592999999998</v>
      </c>
      <c r="D206" s="16">
        <v>0.2013752</v>
      </c>
      <c r="E206" s="3">
        <v>2.257439999999999</v>
      </c>
      <c r="F206" s="3">
        <v>3.566869999999998</v>
      </c>
      <c r="G206" s="3">
        <v>4.0487800000000007</v>
      </c>
      <c r="H206" s="3">
        <v>4.3886199999999995</v>
      </c>
      <c r="I206" s="3">
        <v>1.309429999999999</v>
      </c>
      <c r="J206" s="3">
        <v>1.7913400000000017</v>
      </c>
      <c r="K206" s="3">
        <v>2.1311800000000005</v>
      </c>
      <c r="L206" s="3">
        <v>0.48191000000000273</v>
      </c>
      <c r="M206" s="3">
        <v>0.82175000000000153</v>
      </c>
      <c r="N206" s="3">
        <v>0.33983999999999881</v>
      </c>
      <c r="P206" s="3">
        <f t="shared" si="40"/>
        <v>-1.8146007140018725</v>
      </c>
      <c r="Q206" s="3">
        <f t="shared" si="41"/>
        <v>-1.5961174780827827</v>
      </c>
      <c r="R206" s="3">
        <f t="shared" si="42"/>
        <v>-0.55765410921733438</v>
      </c>
      <c r="S206" s="3">
        <f t="shared" si="43"/>
        <v>0.44481252983529446</v>
      </c>
      <c r="T206" s="3">
        <f t="shared" si="44"/>
        <v>0.37999872992121414</v>
      </c>
      <c r="U206" s="3">
        <f t="shared" si="45"/>
        <v>0.16063450519272596</v>
      </c>
      <c r="V206" s="3">
        <f t="shared" si="46"/>
        <v>9.5569653235479862E-2</v>
      </c>
      <c r="W206" s="3">
        <f t="shared" si="47"/>
        <v>-4.8564821759091742E-2</v>
      </c>
      <c r="X206" s="3">
        <f t="shared" si="48"/>
        <v>-0.32374718081659865</v>
      </c>
      <c r="Y206" s="3">
        <f t="shared" si="49"/>
        <v>-0.35505420379062053</v>
      </c>
      <c r="Z206" s="3">
        <f t="shared" si="50"/>
        <v>-0.68278873791429917</v>
      </c>
      <c r="AA206" s="3">
        <f t="shared" si="51"/>
        <v>-0.61640883153260528</v>
      </c>
      <c r="AB206" s="3">
        <f t="shared" si="52"/>
        <v>-0.40676223560979963</v>
      </c>
    </row>
    <row r="207" spans="1:28" x14ac:dyDescent="0.25">
      <c r="A207" s="3">
        <v>1.2376625032187699E+18</v>
      </c>
      <c r="B207" s="3">
        <v>236.02516</v>
      </c>
      <c r="C207" s="3">
        <v>36.245784999999998</v>
      </c>
      <c r="D207" s="16">
        <v>0.20959079999999999</v>
      </c>
      <c r="E207" s="3">
        <v>3.0420400000000001</v>
      </c>
      <c r="F207" s="3">
        <v>4.3038300000000014</v>
      </c>
      <c r="G207" s="3">
        <v>4.801639999999999</v>
      </c>
      <c r="H207" s="3">
        <v>5.087769999999999</v>
      </c>
      <c r="I207" s="3">
        <v>1.2617900000000013</v>
      </c>
      <c r="J207" s="3">
        <v>1.7595999999999989</v>
      </c>
      <c r="K207" s="3">
        <v>2.0457299999999989</v>
      </c>
      <c r="L207" s="3">
        <v>0.49780999999999764</v>
      </c>
      <c r="M207" s="3">
        <v>0.78393999999999764</v>
      </c>
      <c r="N207" s="3">
        <v>0.28613</v>
      </c>
      <c r="P207" s="3">
        <f t="shared" si="40"/>
        <v>-0.74213203951070539</v>
      </c>
      <c r="Q207" s="3">
        <f t="shared" si="41"/>
        <v>0.56045773186561076</v>
      </c>
      <c r="R207" s="3">
        <f t="shared" si="42"/>
        <v>-0.52547398504022014</v>
      </c>
      <c r="S207" s="3">
        <f t="shared" si="43"/>
        <v>1.2171394666723092</v>
      </c>
      <c r="T207" s="3">
        <f t="shared" si="44"/>
        <v>1.0355392092417059</v>
      </c>
      <c r="U207" s="3">
        <f t="shared" si="45"/>
        <v>0.77011753110481773</v>
      </c>
      <c r="V207" s="3">
        <f t="shared" si="46"/>
        <v>0.63069834379617207</v>
      </c>
      <c r="W207" s="3">
        <f t="shared" si="47"/>
        <v>-0.14228833139439129</v>
      </c>
      <c r="X207" s="3">
        <f t="shared" si="48"/>
        <v>-0.36428929375207886</v>
      </c>
      <c r="Y207" s="3">
        <f t="shared" si="49"/>
        <v>-0.44782993226129092</v>
      </c>
      <c r="Z207" s="3">
        <f t="shared" si="50"/>
        <v>-0.63533402012553286</v>
      </c>
      <c r="AA207" s="3">
        <f t="shared" si="51"/>
        <v>-0.69349743790343477</v>
      </c>
      <c r="AB207" s="3">
        <f t="shared" si="52"/>
        <v>-0.70375974807443276</v>
      </c>
    </row>
    <row r="208" spans="1:28" x14ac:dyDescent="0.25">
      <c r="A208" s="3">
        <v>1.2376614659863301E+18</v>
      </c>
      <c r="B208" s="3">
        <v>236.37148999999999</v>
      </c>
      <c r="C208" s="3">
        <v>35.601492999999998</v>
      </c>
      <c r="D208" s="16">
        <v>0.2339638</v>
      </c>
      <c r="E208" s="3">
        <v>2.0141499999999972</v>
      </c>
      <c r="F208" s="3">
        <v>3.2360499999999988</v>
      </c>
      <c r="G208" s="3">
        <v>3.6849499999999971</v>
      </c>
      <c r="H208" s="3">
        <v>3.986699999999999</v>
      </c>
      <c r="I208" s="3">
        <v>1.2219000000000015</v>
      </c>
      <c r="J208" s="3">
        <v>1.6707999999999998</v>
      </c>
      <c r="K208" s="3">
        <v>1.9725500000000018</v>
      </c>
      <c r="L208" s="3">
        <v>0.4488999999999983</v>
      </c>
      <c r="M208" s="3">
        <v>0.75065000000000026</v>
      </c>
      <c r="N208" s="3">
        <v>0.30175000000000196</v>
      </c>
      <c r="P208" s="3">
        <f t="shared" si="40"/>
        <v>0.32344467689209855</v>
      </c>
      <c r="Q208" s="3">
        <f t="shared" si="41"/>
        <v>-1.7203735252225818</v>
      </c>
      <c r="R208" s="3">
        <f t="shared" si="42"/>
        <v>-0.43000607441058791</v>
      </c>
      <c r="S208" s="3">
        <f t="shared" si="43"/>
        <v>0.20532818053236504</v>
      </c>
      <c r="T208" s="3">
        <f t="shared" si="44"/>
        <v>8.5727804268799307E-2</v>
      </c>
      <c r="U208" s="3">
        <f t="shared" si="45"/>
        <v>-0.13390659051909171</v>
      </c>
      <c r="V208" s="3">
        <f t="shared" si="46"/>
        <v>-0.21205950118081682</v>
      </c>
      <c r="W208" s="3">
        <f t="shared" si="47"/>
        <v>-0.2207650484252951</v>
      </c>
      <c r="X208" s="3">
        <f t="shared" si="48"/>
        <v>-0.47771524298554735</v>
      </c>
      <c r="Y208" s="3">
        <f t="shared" si="49"/>
        <v>-0.52728373927689387</v>
      </c>
      <c r="Z208" s="3">
        <f t="shared" si="50"/>
        <v>-0.78130950736133598</v>
      </c>
      <c r="AA208" s="3">
        <f t="shared" si="51"/>
        <v>-0.76137047958776305</v>
      </c>
      <c r="AB208" s="3">
        <f t="shared" si="52"/>
        <v>-0.61738661188567356</v>
      </c>
    </row>
    <row r="209" spans="1:28" x14ac:dyDescent="0.25">
      <c r="A209" s="3">
        <v>1.23766250321903E+18</v>
      </c>
      <c r="B209" s="3">
        <v>236.69649999999999</v>
      </c>
      <c r="C209" s="3">
        <v>35.871439000000002</v>
      </c>
      <c r="D209" s="16">
        <v>0.23580789999999999</v>
      </c>
      <c r="E209" s="3">
        <v>3.4041400000000017</v>
      </c>
      <c r="F209" s="3">
        <v>4.8036400000000015</v>
      </c>
      <c r="G209" s="3">
        <v>5.316040000000001</v>
      </c>
      <c r="H209" s="3">
        <v>5.662110000000002</v>
      </c>
      <c r="I209" s="3">
        <v>1.3994999999999997</v>
      </c>
      <c r="J209" s="3">
        <v>1.9118999999999993</v>
      </c>
      <c r="K209" s="3">
        <v>2.2579700000000003</v>
      </c>
      <c r="L209" s="3">
        <v>0.51239999999999952</v>
      </c>
      <c r="M209" s="3">
        <v>0.85847000000000051</v>
      </c>
      <c r="N209" s="3">
        <v>0.34607000000000099</v>
      </c>
      <c r="P209" s="3">
        <f t="shared" si="40"/>
        <v>1.3234247207753078</v>
      </c>
      <c r="Q209" s="3">
        <f t="shared" si="41"/>
        <v>-0.76474894114278669</v>
      </c>
      <c r="R209" s="3">
        <f t="shared" si="42"/>
        <v>-0.42278282023621039</v>
      </c>
      <c r="S209" s="3">
        <f t="shared" si="43"/>
        <v>1.5735753369612258</v>
      </c>
      <c r="T209" s="3">
        <f t="shared" si="44"/>
        <v>1.4801300784465117</v>
      </c>
      <c r="U209" s="3">
        <f t="shared" si="45"/>
        <v>1.1865536128852043</v>
      </c>
      <c r="V209" s="3">
        <f t="shared" si="46"/>
        <v>1.0702975887888484</v>
      </c>
      <c r="W209" s="3">
        <f t="shared" si="47"/>
        <v>0.12863241822520527</v>
      </c>
      <c r="X209" s="3">
        <f t="shared" si="48"/>
        <v>-0.169753572262693</v>
      </c>
      <c r="Y209" s="3">
        <f t="shared" si="49"/>
        <v>-0.21739434875497324</v>
      </c>
      <c r="Z209" s="3">
        <f t="shared" si="50"/>
        <v>-0.59178909355079012</v>
      </c>
      <c r="AA209" s="3">
        <f t="shared" si="51"/>
        <v>-0.54154256266361578</v>
      </c>
      <c r="AB209" s="3">
        <f t="shared" si="52"/>
        <v>-0.37231251483796285</v>
      </c>
    </row>
    <row r="210" spans="1:28" x14ac:dyDescent="0.25">
      <c r="A210" s="3">
        <v>1.23766250321903E+18</v>
      </c>
      <c r="B210" s="3">
        <v>236.69649999999999</v>
      </c>
      <c r="C210" s="3">
        <v>35.871439000000002</v>
      </c>
      <c r="D210" s="16">
        <v>0.23584040000000001</v>
      </c>
      <c r="E210" s="3">
        <v>3.4041400000000017</v>
      </c>
      <c r="F210" s="3">
        <v>4.8036400000000015</v>
      </c>
      <c r="G210" s="3">
        <v>5.316040000000001</v>
      </c>
      <c r="H210" s="3">
        <v>5.662110000000002</v>
      </c>
      <c r="I210" s="3">
        <v>1.3994999999999997</v>
      </c>
      <c r="J210" s="3">
        <v>1.9118999999999993</v>
      </c>
      <c r="K210" s="3">
        <v>2.2579700000000003</v>
      </c>
      <c r="L210" s="3">
        <v>0.51239999999999952</v>
      </c>
      <c r="M210" s="3">
        <v>0.85847000000000051</v>
      </c>
      <c r="N210" s="3">
        <v>0.34607000000000099</v>
      </c>
      <c r="P210" s="3">
        <f t="shared" si="40"/>
        <v>1.3234247207753078</v>
      </c>
      <c r="Q210" s="3">
        <f t="shared" si="41"/>
        <v>-0.76474894114278669</v>
      </c>
      <c r="R210" s="3">
        <f t="shared" si="42"/>
        <v>-0.42265551924349448</v>
      </c>
      <c r="S210" s="3">
        <f t="shared" si="43"/>
        <v>1.5735753369612258</v>
      </c>
      <c r="T210" s="3">
        <f t="shared" si="44"/>
        <v>1.4801300784465117</v>
      </c>
      <c r="U210" s="3">
        <f t="shared" si="45"/>
        <v>1.1865536128852043</v>
      </c>
      <c r="V210" s="3">
        <f t="shared" si="46"/>
        <v>1.0702975887888484</v>
      </c>
      <c r="W210" s="3">
        <f t="shared" si="47"/>
        <v>0.12863241822520527</v>
      </c>
      <c r="X210" s="3">
        <f t="shared" si="48"/>
        <v>-0.169753572262693</v>
      </c>
      <c r="Y210" s="3">
        <f t="shared" si="49"/>
        <v>-0.21739434875497324</v>
      </c>
      <c r="Z210" s="3">
        <f t="shared" si="50"/>
        <v>-0.59178909355079012</v>
      </c>
      <c r="AA210" s="3">
        <f t="shared" si="51"/>
        <v>-0.54154256266361578</v>
      </c>
      <c r="AB210" s="3">
        <f t="shared" si="52"/>
        <v>-0.37231251483796285</v>
      </c>
    </row>
    <row r="211" spans="1:28" x14ac:dyDescent="0.25">
      <c r="A211" s="3">
        <v>1.2376624731543301E+18</v>
      </c>
      <c r="B211" s="3">
        <v>236.62612999999999</v>
      </c>
      <c r="C211" s="3">
        <v>35.709646999999997</v>
      </c>
      <c r="D211" s="16">
        <v>0.23622180000000001</v>
      </c>
      <c r="E211" s="3">
        <v>2.3283699999999996</v>
      </c>
      <c r="F211" s="3">
        <v>3.6655599999999993</v>
      </c>
      <c r="G211" s="3">
        <v>4.2255800000000008</v>
      </c>
      <c r="H211" s="3">
        <v>4.5485500000000023</v>
      </c>
      <c r="I211" s="3">
        <v>1.3371899999999997</v>
      </c>
      <c r="J211" s="3">
        <v>1.8972100000000012</v>
      </c>
      <c r="K211" s="3">
        <v>2.2201800000000027</v>
      </c>
      <c r="L211" s="3">
        <v>0.56002000000000152</v>
      </c>
      <c r="M211" s="3">
        <v>0.88299000000000305</v>
      </c>
      <c r="N211" s="3">
        <v>0.32297000000000153</v>
      </c>
      <c r="P211" s="3">
        <f t="shared" si="40"/>
        <v>1.1069126267226321</v>
      </c>
      <c r="Q211" s="3">
        <f t="shared" si="41"/>
        <v>-1.3375020573491423</v>
      </c>
      <c r="R211" s="3">
        <f t="shared" si="42"/>
        <v>-0.42116159313205387</v>
      </c>
      <c r="S211" s="3">
        <f t="shared" si="43"/>
        <v>0.51463301113767768</v>
      </c>
      <c r="T211" s="3">
        <f t="shared" si="44"/>
        <v>0.46778543463265015</v>
      </c>
      <c r="U211" s="3">
        <f t="shared" si="45"/>
        <v>0.30376416938162976</v>
      </c>
      <c r="V211" s="3">
        <f t="shared" si="46"/>
        <v>0.21797991066431924</v>
      </c>
      <c r="W211" s="3">
        <f t="shared" si="47"/>
        <v>6.048205685830684E-3</v>
      </c>
      <c r="X211" s="3">
        <f t="shared" si="48"/>
        <v>-0.18851739201764178</v>
      </c>
      <c r="Y211" s="3">
        <f t="shared" si="49"/>
        <v>-0.2584241296666917</v>
      </c>
      <c r="Z211" s="3">
        <f t="shared" si="50"/>
        <v>-0.44966370606010664</v>
      </c>
      <c r="AA211" s="3">
        <f t="shared" si="51"/>
        <v>-0.49155016308115768</v>
      </c>
      <c r="AB211" s="3">
        <f t="shared" si="52"/>
        <v>-0.50004743455371437</v>
      </c>
    </row>
    <row r="212" spans="1:28" x14ac:dyDescent="0.25">
      <c r="A212" s="3">
        <v>1.2376625037557701E+18</v>
      </c>
      <c r="B212" s="3">
        <v>236.66681</v>
      </c>
      <c r="C212" s="3">
        <v>36.425516000000002</v>
      </c>
      <c r="D212" s="16">
        <v>0.2362708</v>
      </c>
      <c r="E212" s="3">
        <v>2.2108799999999995</v>
      </c>
      <c r="F212" s="3">
        <v>3.607800000000001</v>
      </c>
      <c r="G212" s="3">
        <v>4.1373899999999999</v>
      </c>
      <c r="H212" s="3">
        <v>4.4686000000000021</v>
      </c>
      <c r="I212" s="3">
        <v>1.3969200000000015</v>
      </c>
      <c r="J212" s="3">
        <v>1.9265100000000004</v>
      </c>
      <c r="K212" s="3">
        <v>2.2577200000000026</v>
      </c>
      <c r="L212" s="3">
        <v>0.52958999999999889</v>
      </c>
      <c r="M212" s="3">
        <v>0.86080000000000112</v>
      </c>
      <c r="N212" s="3">
        <v>0.33121000000000222</v>
      </c>
      <c r="P212" s="3">
        <f t="shared" si="40"/>
        <v>1.2320755084345145</v>
      </c>
      <c r="Q212" s="3">
        <f t="shared" si="41"/>
        <v>1.1967159543295351</v>
      </c>
      <c r="R212" s="3">
        <f t="shared" si="42"/>
        <v>-0.42096966240457462</v>
      </c>
      <c r="S212" s="3">
        <f t="shared" si="43"/>
        <v>0.39898084212291751</v>
      </c>
      <c r="T212" s="3">
        <f t="shared" si="44"/>
        <v>0.41640677353089389</v>
      </c>
      <c r="U212" s="3">
        <f t="shared" si="45"/>
        <v>0.23236934424124769</v>
      </c>
      <c r="V212" s="3">
        <f t="shared" si="46"/>
        <v>0.15678626293446518</v>
      </c>
      <c r="W212" s="3">
        <f t="shared" si="47"/>
        <v>0.12355671178400209</v>
      </c>
      <c r="X212" s="3">
        <f t="shared" si="48"/>
        <v>-0.1510919380475903</v>
      </c>
      <c r="Y212" s="3">
        <f t="shared" si="49"/>
        <v>-0.21766578154745361</v>
      </c>
      <c r="Z212" s="3">
        <f t="shared" si="50"/>
        <v>-0.54048427601688298</v>
      </c>
      <c r="AA212" s="3">
        <f t="shared" si="51"/>
        <v>-0.53679206139823465</v>
      </c>
      <c r="AB212" s="3">
        <f t="shared" si="52"/>
        <v>-0.45448311687155396</v>
      </c>
    </row>
    <row r="213" spans="1:28" x14ac:dyDescent="0.25">
      <c r="A213" s="3">
        <v>1.2376625032190999E+18</v>
      </c>
      <c r="B213" s="3">
        <v>236.73854</v>
      </c>
      <c r="C213" s="3">
        <v>35.800010999999998</v>
      </c>
      <c r="D213" s="16">
        <v>0.23821419999999999</v>
      </c>
      <c r="E213" s="3">
        <v>2.4824899999999985</v>
      </c>
      <c r="F213" s="3">
        <v>3.9254099999999994</v>
      </c>
      <c r="G213" s="3">
        <v>4.4469199999999987</v>
      </c>
      <c r="H213" s="3">
        <v>4.7880900000000004</v>
      </c>
      <c r="I213" s="3">
        <v>1.4429200000000009</v>
      </c>
      <c r="J213" s="3">
        <v>1.9644300000000001</v>
      </c>
      <c r="K213" s="3">
        <v>2.3056000000000019</v>
      </c>
      <c r="L213" s="3">
        <v>0.52150999999999925</v>
      </c>
      <c r="M213" s="3">
        <v>0.862680000000001</v>
      </c>
      <c r="N213" s="3">
        <v>0.34117000000000175</v>
      </c>
      <c r="P213" s="3">
        <f t="shared" si="40"/>
        <v>1.4527720056122835</v>
      </c>
      <c r="Q213" s="3">
        <f t="shared" si="41"/>
        <v>-1.0176082270431326</v>
      </c>
      <c r="R213" s="3">
        <f t="shared" si="42"/>
        <v>-0.41335745473552998</v>
      </c>
      <c r="S213" s="3">
        <f t="shared" si="43"/>
        <v>0.66634219735399136</v>
      </c>
      <c r="T213" s="3">
        <f t="shared" si="44"/>
        <v>0.69892714320764626</v>
      </c>
      <c r="U213" s="3">
        <f t="shared" si="45"/>
        <v>0.4829514989719671</v>
      </c>
      <c r="V213" s="3">
        <f t="shared" si="46"/>
        <v>0.40132358017287573</v>
      </c>
      <c r="W213" s="3">
        <f t="shared" si="47"/>
        <v>0.21405380337140614</v>
      </c>
      <c r="X213" s="3">
        <f t="shared" si="48"/>
        <v>-0.10265599215870362</v>
      </c>
      <c r="Y213" s="3">
        <f t="shared" si="49"/>
        <v>-0.16568097313112187</v>
      </c>
      <c r="Z213" s="3">
        <f t="shared" si="50"/>
        <v>-0.56459962945923126</v>
      </c>
      <c r="AA213" s="3">
        <f t="shared" si="51"/>
        <v>-0.53295903891801422</v>
      </c>
      <c r="AB213" s="3">
        <f t="shared" si="52"/>
        <v>-0.39940780083827021</v>
      </c>
    </row>
    <row r="214" spans="1:28" x14ac:dyDescent="0.25">
      <c r="A214" s="3">
        <v>1.23766247422781E+18</v>
      </c>
      <c r="B214" s="3">
        <v>236.69372000000001</v>
      </c>
      <c r="C214" s="3">
        <v>36.614590999999997</v>
      </c>
      <c r="D214" s="16">
        <v>0.23877319999999999</v>
      </c>
      <c r="E214" s="3">
        <v>2.4645100000000006</v>
      </c>
      <c r="F214" s="3">
        <v>3.9393199999999986</v>
      </c>
      <c r="G214" s="3">
        <v>4.4637799999999999</v>
      </c>
      <c r="H214" s="3">
        <v>4.8447700000000005</v>
      </c>
      <c r="I214" s="3">
        <v>1.474809999999998</v>
      </c>
      <c r="J214" s="3">
        <v>1.9992699999999992</v>
      </c>
      <c r="K214" s="3">
        <v>2.3802599999999998</v>
      </c>
      <c r="L214" s="3">
        <v>0.52446000000000126</v>
      </c>
      <c r="M214" s="3">
        <v>0.90545000000000186</v>
      </c>
      <c r="N214" s="3">
        <v>0.38099000000000061</v>
      </c>
      <c r="P214" s="3">
        <f t="shared" si="40"/>
        <v>1.3148713085050137</v>
      </c>
      <c r="Q214" s="3">
        <f t="shared" si="41"/>
        <v>1.8660524817642068</v>
      </c>
      <c r="R214" s="3">
        <f t="shared" si="42"/>
        <v>-0.41116787766081758</v>
      </c>
      <c r="S214" s="3">
        <f t="shared" si="43"/>
        <v>0.64864344853379263</v>
      </c>
      <c r="T214" s="3">
        <f t="shared" si="44"/>
        <v>0.71130036301244903</v>
      </c>
      <c r="U214" s="3">
        <f t="shared" si="45"/>
        <v>0.49660062871305927</v>
      </c>
      <c r="V214" s="3">
        <f t="shared" si="46"/>
        <v>0.44470639384802424</v>
      </c>
      <c r="W214" s="3">
        <f t="shared" si="47"/>
        <v>0.27679189577840813</v>
      </c>
      <c r="X214" s="3">
        <f t="shared" si="48"/>
        <v>-5.8154189554041696E-2</v>
      </c>
      <c r="Y214" s="3">
        <f t="shared" si="49"/>
        <v>-8.4620283984019065E-2</v>
      </c>
      <c r="Z214" s="3">
        <f t="shared" si="50"/>
        <v>-0.55579513779401113</v>
      </c>
      <c r="AA214" s="3">
        <f t="shared" si="51"/>
        <v>-0.44575777749299156</v>
      </c>
      <c r="AB214" s="3">
        <f t="shared" si="52"/>
        <v>-0.17921712970921391</v>
      </c>
    </row>
    <row r="215" spans="1:28" x14ac:dyDescent="0.25">
      <c r="A215" s="3">
        <v>1.2376624742279401E+18</v>
      </c>
      <c r="B215" s="3">
        <v>236.82987</v>
      </c>
      <c r="C215" s="3">
        <v>36.408512000000002</v>
      </c>
      <c r="D215" s="16">
        <v>0.2395236</v>
      </c>
      <c r="E215" s="3">
        <v>2.4379600000000003</v>
      </c>
      <c r="F215" s="3">
        <v>3.847999999999999</v>
      </c>
      <c r="G215" s="3">
        <v>4.3681899999999985</v>
      </c>
      <c r="H215" s="3">
        <v>4.6820599999999999</v>
      </c>
      <c r="I215" s="3">
        <v>1.4100399999999986</v>
      </c>
      <c r="J215" s="3">
        <v>1.9302299999999981</v>
      </c>
      <c r="K215" s="3">
        <v>2.2440999999999995</v>
      </c>
      <c r="L215" s="3">
        <v>0.52018999999999949</v>
      </c>
      <c r="M215" s="3">
        <v>0.83406000000000091</v>
      </c>
      <c r="N215" s="3">
        <v>0.31387000000000143</v>
      </c>
      <c r="P215" s="3">
        <f t="shared" si="40"/>
        <v>1.7337731360632083</v>
      </c>
      <c r="Q215" s="3">
        <f t="shared" si="41"/>
        <v>1.1365208026040323</v>
      </c>
      <c r="R215" s="3">
        <f t="shared" si="42"/>
        <v>-0.40822859566284947</v>
      </c>
      <c r="S215" s="3">
        <f t="shared" si="43"/>
        <v>0.62250875547615447</v>
      </c>
      <c r="T215" s="3">
        <f t="shared" si="44"/>
        <v>0.63006941890212176</v>
      </c>
      <c r="U215" s="3">
        <f t="shared" si="45"/>
        <v>0.41921508233400095</v>
      </c>
      <c r="V215" s="3">
        <f t="shared" si="46"/>
        <v>0.32016832727986205</v>
      </c>
      <c r="W215" s="3">
        <f t="shared" si="47"/>
        <v>0.14936805616718682</v>
      </c>
      <c r="X215" s="3">
        <f t="shared" si="48"/>
        <v>-0.14634031044456949</v>
      </c>
      <c r="Y215" s="3">
        <f t="shared" si="49"/>
        <v>-0.2324534400819275</v>
      </c>
      <c r="Z215" s="3">
        <f t="shared" si="50"/>
        <v>-0.56853926640773311</v>
      </c>
      <c r="AA215" s="3">
        <f t="shared" si="51"/>
        <v>-0.59131068965414013</v>
      </c>
      <c r="AB215" s="3">
        <f t="shared" si="52"/>
        <v>-0.5503672514114365</v>
      </c>
    </row>
    <row r="216" spans="1:28" x14ac:dyDescent="0.25">
      <c r="A216" s="3">
        <v>1.2376624736909299E+18</v>
      </c>
      <c r="B216" s="3">
        <v>236.43597</v>
      </c>
      <c r="C216" s="3">
        <v>36.348287999999997</v>
      </c>
      <c r="D216" s="16">
        <v>0.25721880000000003</v>
      </c>
      <c r="E216" s="3">
        <v>2.6029399999999967</v>
      </c>
      <c r="F216" s="3">
        <v>3.9229699999999994</v>
      </c>
      <c r="G216" s="3">
        <v>4.4588699999999974</v>
      </c>
      <c r="H216" s="3">
        <v>4.8461599999999976</v>
      </c>
      <c r="I216" s="3">
        <v>1.3200300000000027</v>
      </c>
      <c r="J216" s="3">
        <v>1.8559300000000007</v>
      </c>
      <c r="K216" s="3">
        <v>2.2432200000000009</v>
      </c>
      <c r="L216" s="3">
        <v>0.53589999999999804</v>
      </c>
      <c r="M216" s="3">
        <v>0.92318999999999818</v>
      </c>
      <c r="N216" s="3">
        <v>0.38729000000000013</v>
      </c>
      <c r="P216" s="3">
        <f t="shared" si="40"/>
        <v>0.52183461329280678</v>
      </c>
      <c r="Q216" s="3">
        <f t="shared" si="41"/>
        <v>0.92332433015537374</v>
      </c>
      <c r="R216" s="3">
        <f t="shared" si="42"/>
        <v>-0.33891731793038038</v>
      </c>
      <c r="S216" s="3">
        <f t="shared" si="43"/>
        <v>0.78490806472847119</v>
      </c>
      <c r="T216" s="3">
        <f t="shared" si="44"/>
        <v>0.69675671500320913</v>
      </c>
      <c r="U216" s="3">
        <f t="shared" si="45"/>
        <v>0.49262570421550345</v>
      </c>
      <c r="V216" s="3">
        <f t="shared" si="46"/>
        <v>0.44577029841768429</v>
      </c>
      <c r="W216" s="3">
        <f t="shared" si="47"/>
        <v>-2.7711144132421473E-2</v>
      </c>
      <c r="X216" s="3">
        <f t="shared" si="48"/>
        <v>-0.24124513058022823</v>
      </c>
      <c r="Y216" s="3">
        <f t="shared" si="49"/>
        <v>-0.23340888351146599</v>
      </c>
      <c r="Z216" s="3">
        <f t="shared" si="50"/>
        <v>-0.52165161757366474</v>
      </c>
      <c r="AA216" s="3">
        <f t="shared" si="51"/>
        <v>-0.4095887249402782</v>
      </c>
      <c r="AB216" s="3">
        <f t="shared" si="52"/>
        <v>-0.14438033342310166</v>
      </c>
    </row>
    <row r="217" spans="1:28" x14ac:dyDescent="0.25">
      <c r="A217" s="3">
        <v>1.23766247369087E+18</v>
      </c>
      <c r="B217" s="3">
        <v>236.25602000000001</v>
      </c>
      <c r="C217" s="3">
        <v>36.389923000000003</v>
      </c>
      <c r="D217" s="16">
        <v>0.25745659999999998</v>
      </c>
      <c r="E217" s="3">
        <v>1.9364800000000031</v>
      </c>
      <c r="F217" s="3">
        <v>3.2966500000000032</v>
      </c>
      <c r="G217" s="3">
        <v>3.7421300000000031</v>
      </c>
      <c r="H217" s="3">
        <v>4.0819100000000006</v>
      </c>
      <c r="I217" s="3">
        <v>1.3601700000000001</v>
      </c>
      <c r="J217" s="3">
        <v>1.80565</v>
      </c>
      <c r="K217" s="3">
        <v>2.1454299999999975</v>
      </c>
      <c r="L217" s="3">
        <v>0.44547999999999988</v>
      </c>
      <c r="M217" s="3">
        <v>0.7852599999999974</v>
      </c>
      <c r="N217" s="3">
        <v>0.33977999999999753</v>
      </c>
      <c r="P217" s="3">
        <f t="shared" si="40"/>
        <v>-3.1829609028903375E-2</v>
      </c>
      <c r="Q217" s="3">
        <f t="shared" si="41"/>
        <v>1.0707146584364664</v>
      </c>
      <c r="R217" s="3">
        <f t="shared" si="42"/>
        <v>-0.3379858663590628</v>
      </c>
      <c r="S217" s="3">
        <f t="shared" si="43"/>
        <v>0.12887312931629785</v>
      </c>
      <c r="T217" s="3">
        <f t="shared" si="44"/>
        <v>0.13963270147736492</v>
      </c>
      <c r="U217" s="3">
        <f t="shared" si="45"/>
        <v>-8.7616125596453848E-2</v>
      </c>
      <c r="V217" s="3">
        <f t="shared" si="46"/>
        <v>-0.13918586515380632</v>
      </c>
      <c r="W217" s="3">
        <f t="shared" si="47"/>
        <v>5.125740491797446E-2</v>
      </c>
      <c r="X217" s="3">
        <f t="shared" si="48"/>
        <v>-0.30546874237593702</v>
      </c>
      <c r="Y217" s="3">
        <f t="shared" si="49"/>
        <v>-0.33958253461909621</v>
      </c>
      <c r="Z217" s="3">
        <f t="shared" si="50"/>
        <v>-0.791516748546088</v>
      </c>
      <c r="AA217" s="3">
        <f t="shared" si="51"/>
        <v>-0.6908061668003016</v>
      </c>
      <c r="AB217" s="3">
        <f t="shared" si="52"/>
        <v>-0.40709401462205541</v>
      </c>
    </row>
    <row r="218" spans="1:28" x14ac:dyDescent="0.25">
      <c r="A218" s="3">
        <v>1.2376624736909299E+18</v>
      </c>
      <c r="B218" s="3">
        <v>236.41346999999999</v>
      </c>
      <c r="C218" s="3">
        <v>36.29289</v>
      </c>
      <c r="D218" s="16">
        <v>0.26477699999999998</v>
      </c>
      <c r="E218" s="3">
        <v>2.4743199999999987</v>
      </c>
      <c r="F218" s="3">
        <v>4.0369299999999981</v>
      </c>
      <c r="G218" s="3">
        <v>4.6017900000000012</v>
      </c>
      <c r="H218" s="3">
        <v>4.9741999999999997</v>
      </c>
      <c r="I218" s="3">
        <v>1.5626099999999994</v>
      </c>
      <c r="J218" s="3">
        <v>2.1274700000000024</v>
      </c>
      <c r="K218" s="3">
        <v>2.499880000000001</v>
      </c>
      <c r="L218" s="3">
        <v>0.56486000000000303</v>
      </c>
      <c r="M218" s="3">
        <v>0.9372700000000016</v>
      </c>
      <c r="N218" s="3">
        <v>0.37240999999999858</v>
      </c>
      <c r="P218" s="3">
        <f t="shared" si="40"/>
        <v>0.45260735570879168</v>
      </c>
      <c r="Q218" s="3">
        <f t="shared" si="41"/>
        <v>0.72721217917388681</v>
      </c>
      <c r="R218" s="3">
        <f t="shared" si="42"/>
        <v>-0.30931219906438595</v>
      </c>
      <c r="S218" s="3">
        <f t="shared" si="43"/>
        <v>0.65829999613813839</v>
      </c>
      <c r="T218" s="3">
        <f t="shared" si="44"/>
        <v>0.79812638638749334</v>
      </c>
      <c r="U218" s="3">
        <f t="shared" si="45"/>
        <v>0.60832757981436458</v>
      </c>
      <c r="V218" s="3">
        <f t="shared" si="46"/>
        <v>0.5437719826619698</v>
      </c>
      <c r="W218" s="3">
        <f t="shared" si="47"/>
        <v>0.44952330102567584</v>
      </c>
      <c r="X218" s="3">
        <f t="shared" si="48"/>
        <v>0.10559813805554355</v>
      </c>
      <c r="Y218" s="3">
        <f t="shared" si="49"/>
        <v>4.5254878563219046E-2</v>
      </c>
      <c r="Z218" s="3">
        <f t="shared" si="50"/>
        <v>-0.43521837058225926</v>
      </c>
      <c r="AA218" s="3">
        <f t="shared" si="51"/>
        <v>-0.38088183317351199</v>
      </c>
      <c r="AB218" s="3">
        <f t="shared" si="52"/>
        <v>-0.22666152846079113</v>
      </c>
    </row>
    <row r="219" spans="1:28" x14ac:dyDescent="0.25">
      <c r="A219" s="3">
        <v>1.2376624736909299E+18</v>
      </c>
      <c r="B219" s="3">
        <v>236.41346999999999</v>
      </c>
      <c r="C219" s="3">
        <v>36.29289</v>
      </c>
      <c r="D219" s="16">
        <v>0.2648836</v>
      </c>
      <c r="E219" s="3">
        <v>2.4743199999999987</v>
      </c>
      <c r="F219" s="3">
        <v>4.0369299999999981</v>
      </c>
      <c r="G219" s="3">
        <v>4.6017900000000012</v>
      </c>
      <c r="H219" s="3">
        <v>4.9741999999999997</v>
      </c>
      <c r="I219" s="3">
        <v>1.5626099999999994</v>
      </c>
      <c r="J219" s="3">
        <v>2.1274700000000024</v>
      </c>
      <c r="K219" s="3">
        <v>2.499880000000001</v>
      </c>
      <c r="L219" s="3">
        <v>0.56486000000000303</v>
      </c>
      <c r="M219" s="3">
        <v>0.9372700000000016</v>
      </c>
      <c r="N219" s="3">
        <v>0.37240999999999858</v>
      </c>
      <c r="P219" s="3">
        <f t="shared" si="40"/>
        <v>0.45260735570879168</v>
      </c>
      <c r="Q219" s="3">
        <f t="shared" si="41"/>
        <v>0.72721217917388681</v>
      </c>
      <c r="R219" s="3">
        <f t="shared" si="42"/>
        <v>-0.30889465180827796</v>
      </c>
      <c r="S219" s="3">
        <f t="shared" si="43"/>
        <v>0.65829999613813839</v>
      </c>
      <c r="T219" s="3">
        <f t="shared" si="44"/>
        <v>0.79812638638749334</v>
      </c>
      <c r="U219" s="3">
        <f t="shared" si="45"/>
        <v>0.60832757981436458</v>
      </c>
      <c r="V219" s="3">
        <f t="shared" si="46"/>
        <v>0.5437719826619698</v>
      </c>
      <c r="W219" s="3">
        <f t="shared" si="47"/>
        <v>0.44952330102567584</v>
      </c>
      <c r="X219" s="3">
        <f t="shared" si="48"/>
        <v>0.10559813805554355</v>
      </c>
      <c r="Y219" s="3">
        <f t="shared" si="49"/>
        <v>4.5254878563219046E-2</v>
      </c>
      <c r="Z219" s="3">
        <f t="shared" si="50"/>
        <v>-0.43521837058225926</v>
      </c>
      <c r="AA219" s="3">
        <f t="shared" si="51"/>
        <v>-0.38088183317351199</v>
      </c>
      <c r="AB219" s="3">
        <f t="shared" si="52"/>
        <v>-0.22666152846079113</v>
      </c>
    </row>
    <row r="220" spans="1:28" x14ac:dyDescent="0.25">
      <c r="A220" s="3">
        <v>1.2376625032189701E+18</v>
      </c>
      <c r="B220" s="3">
        <v>236.53385</v>
      </c>
      <c r="C220" s="3">
        <v>35.987147</v>
      </c>
      <c r="D220" s="16">
        <v>0.26629720000000001</v>
      </c>
      <c r="E220" s="3">
        <v>2.9057300000000019</v>
      </c>
      <c r="F220" s="3">
        <v>4.3655100000000004</v>
      </c>
      <c r="G220" s="3">
        <v>4.9076400000000007</v>
      </c>
      <c r="H220" s="3">
        <v>5.2702600000000004</v>
      </c>
      <c r="I220" s="3">
        <v>1.4597799999999985</v>
      </c>
      <c r="J220" s="3">
        <v>2.0019099999999987</v>
      </c>
      <c r="K220" s="3">
        <v>2.3645299999999985</v>
      </c>
      <c r="L220" s="3">
        <v>0.54213000000000022</v>
      </c>
      <c r="M220" s="3">
        <v>0.90474999999999994</v>
      </c>
      <c r="N220" s="3">
        <v>0.36261999999999972</v>
      </c>
      <c r="P220" s="3">
        <f t="shared" si="40"/>
        <v>0.82298856761819517</v>
      </c>
      <c r="Q220" s="3">
        <f t="shared" si="41"/>
        <v>-0.35513587269687114</v>
      </c>
      <c r="R220" s="3">
        <f t="shared" si="42"/>
        <v>-0.30335764616818239</v>
      </c>
      <c r="S220" s="3">
        <f t="shared" si="43"/>
        <v>1.0829616884920237</v>
      </c>
      <c r="T220" s="3">
        <f t="shared" si="44"/>
        <v>1.0904047877866572</v>
      </c>
      <c r="U220" s="3">
        <f t="shared" si="45"/>
        <v>0.8559305650642296</v>
      </c>
      <c r="V220" s="3">
        <f t="shared" si="46"/>
        <v>0.77037600201031997</v>
      </c>
      <c r="W220" s="3">
        <f t="shared" si="47"/>
        <v>0.24722295476626355</v>
      </c>
      <c r="X220" s="3">
        <f t="shared" si="48"/>
        <v>-5.4782066738993197E-2</v>
      </c>
      <c r="Y220" s="3">
        <f t="shared" si="49"/>
        <v>-0.10169883528704708</v>
      </c>
      <c r="Z220" s="3">
        <f t="shared" si="50"/>
        <v>-0.50305772500610424</v>
      </c>
      <c r="AA220" s="3">
        <f t="shared" si="51"/>
        <v>-0.44718496671435426</v>
      </c>
      <c r="AB220" s="3">
        <f t="shared" si="52"/>
        <v>-0.28079680395936646</v>
      </c>
    </row>
    <row r="221" spans="1:28" x14ac:dyDescent="0.25">
      <c r="A221" s="3">
        <v>1.23766250321903E+18</v>
      </c>
      <c r="B221" s="3">
        <v>236.61454000000001</v>
      </c>
      <c r="C221" s="3">
        <v>35.767434000000002</v>
      </c>
      <c r="D221" s="16">
        <v>0.28825440000000002</v>
      </c>
      <c r="E221" s="3">
        <v>3.2210099999999997</v>
      </c>
      <c r="F221" s="3">
        <v>4.8073300000000003</v>
      </c>
      <c r="G221" s="3">
        <v>5.3741699999999994</v>
      </c>
      <c r="H221" s="3">
        <v>5.724890000000002</v>
      </c>
      <c r="I221" s="3">
        <v>1.5863200000000006</v>
      </c>
      <c r="J221" s="3">
        <v>2.1531599999999997</v>
      </c>
      <c r="K221" s="3">
        <v>2.5038800000000023</v>
      </c>
      <c r="L221" s="3">
        <v>0.56683999999999912</v>
      </c>
      <c r="M221" s="3">
        <v>0.91756000000000171</v>
      </c>
      <c r="N221" s="3">
        <v>0.35072000000000259</v>
      </c>
      <c r="P221" s="3">
        <f t="shared" si="40"/>
        <v>1.0712528971494168</v>
      </c>
      <c r="Q221" s="3">
        <f t="shared" si="41"/>
        <v>-1.13293270703381</v>
      </c>
      <c r="R221" s="3">
        <f t="shared" si="42"/>
        <v>-0.21735231209863981</v>
      </c>
      <c r="S221" s="3">
        <f t="shared" si="43"/>
        <v>1.3933099381045295</v>
      </c>
      <c r="T221" s="3">
        <f t="shared" si="44"/>
        <v>1.483412406345844</v>
      </c>
      <c r="U221" s="3">
        <f t="shared" si="45"/>
        <v>1.2336131568857742</v>
      </c>
      <c r="V221" s="3">
        <f t="shared" si="46"/>
        <v>1.1183493361869752</v>
      </c>
      <c r="W221" s="3">
        <f t="shared" si="47"/>
        <v>0.49616864975475172</v>
      </c>
      <c r="X221" s="3">
        <f t="shared" si="48"/>
        <v>0.13841246953986261</v>
      </c>
      <c r="Y221" s="3">
        <f t="shared" si="49"/>
        <v>4.9597803242947526E-2</v>
      </c>
      <c r="Z221" s="3">
        <f t="shared" si="50"/>
        <v>-0.42930891515951697</v>
      </c>
      <c r="AA221" s="3">
        <f t="shared" si="51"/>
        <v>-0.42106740396348513</v>
      </c>
      <c r="AB221" s="3">
        <f t="shared" si="52"/>
        <v>-0.34659964138867877</v>
      </c>
    </row>
    <row r="222" spans="1:28" x14ac:dyDescent="0.25">
      <c r="A222" s="3">
        <v>1.2376625032190999E+18</v>
      </c>
      <c r="B222" s="3">
        <v>236.73940999999999</v>
      </c>
      <c r="C222" s="3">
        <v>35.715127000000003</v>
      </c>
      <c r="D222" s="16">
        <v>0.2883522</v>
      </c>
      <c r="E222" s="3">
        <v>1.9844200000000001</v>
      </c>
      <c r="F222" s="3">
        <v>3.6732200000000006</v>
      </c>
      <c r="G222" s="3">
        <v>4.28782</v>
      </c>
      <c r="H222" s="3">
        <v>4.6279900000000005</v>
      </c>
      <c r="I222" s="3">
        <v>1.6888000000000005</v>
      </c>
      <c r="J222" s="3">
        <v>2.3033999999999999</v>
      </c>
      <c r="K222" s="3">
        <v>2.6435700000000004</v>
      </c>
      <c r="L222" s="3">
        <v>0.61459999999999937</v>
      </c>
      <c r="M222" s="3">
        <v>0.9547699999999999</v>
      </c>
      <c r="N222" s="3">
        <v>0.34017000000000053</v>
      </c>
      <c r="P222" s="3">
        <f t="shared" si="40"/>
        <v>1.4554487929055064</v>
      </c>
      <c r="Q222" s="3">
        <f t="shared" si="41"/>
        <v>-1.3181025377386919</v>
      </c>
      <c r="R222" s="3">
        <f t="shared" si="42"/>
        <v>-0.21696923403440577</v>
      </c>
      <c r="S222" s="3">
        <f t="shared" si="43"/>
        <v>0.17606323045313715</v>
      </c>
      <c r="T222" s="3">
        <f t="shared" si="44"/>
        <v>0.47459915596297447</v>
      </c>
      <c r="U222" s="3">
        <f t="shared" si="45"/>
        <v>0.35415099234043773</v>
      </c>
      <c r="V222" s="3">
        <f t="shared" si="46"/>
        <v>0.27878320491897196</v>
      </c>
      <c r="W222" s="3">
        <f t="shared" si="47"/>
        <v>0.69778043118686661</v>
      </c>
      <c r="X222" s="3">
        <f t="shared" si="48"/>
        <v>0.33031691337811142</v>
      </c>
      <c r="Y222" s="3">
        <f t="shared" si="49"/>
        <v>0.20126359037071267</v>
      </c>
      <c r="Z222" s="3">
        <f t="shared" si="50"/>
        <v>-0.28676568738642183</v>
      </c>
      <c r="AA222" s="3">
        <f t="shared" si="51"/>
        <v>-0.34520210263954615</v>
      </c>
      <c r="AB222" s="3">
        <f t="shared" si="52"/>
        <v>-0.40493745104242218</v>
      </c>
    </row>
    <row r="223" spans="1:28" x14ac:dyDescent="0.25">
      <c r="A223" s="3">
        <v>1.23766233786351E+18</v>
      </c>
      <c r="B223" s="3">
        <v>235.69716</v>
      </c>
      <c r="C223" s="3">
        <v>35.924909999999997</v>
      </c>
      <c r="D223" s="16">
        <v>0.29949320000000001</v>
      </c>
      <c r="E223" s="3">
        <v>1.6748899999999978</v>
      </c>
      <c r="F223" s="3">
        <v>3.2297599999999989</v>
      </c>
      <c r="G223" s="3">
        <v>3.8274599999999985</v>
      </c>
      <c r="H223" s="3">
        <v>4.1429000000000009</v>
      </c>
      <c r="I223" s="3">
        <v>1.5548700000000011</v>
      </c>
      <c r="J223" s="3">
        <v>2.1525700000000008</v>
      </c>
      <c r="K223" s="3">
        <v>2.4680100000000031</v>
      </c>
      <c r="L223" s="3">
        <v>0.59769999999999968</v>
      </c>
      <c r="M223" s="3">
        <v>0.91314000000000206</v>
      </c>
      <c r="N223" s="3">
        <v>0.31544000000000239</v>
      </c>
      <c r="P223" s="3">
        <f t="shared" si="40"/>
        <v>-1.7513116167351104</v>
      </c>
      <c r="Q223" s="3">
        <f t="shared" si="41"/>
        <v>-0.57545848254986498</v>
      </c>
      <c r="R223" s="3">
        <f t="shared" si="42"/>
        <v>-0.17333045373141751</v>
      </c>
      <c r="S223" s="3">
        <f t="shared" si="43"/>
        <v>-0.12862496322410299</v>
      </c>
      <c r="T223" s="3">
        <f t="shared" si="44"/>
        <v>8.0132725004082334E-2</v>
      </c>
      <c r="U223" s="3">
        <f t="shared" si="45"/>
        <v>-1.853663325913198E-2</v>
      </c>
      <c r="V223" s="3">
        <f t="shared" si="46"/>
        <v>-9.2504181913733649E-2</v>
      </c>
      <c r="W223" s="3">
        <f t="shared" si="47"/>
        <v>0.43429618170205925</v>
      </c>
      <c r="X223" s="3">
        <f t="shared" si="48"/>
        <v>0.13765885118347035</v>
      </c>
      <c r="Y223" s="3">
        <f t="shared" si="49"/>
        <v>1.0652626177496271E-2</v>
      </c>
      <c r="Z223" s="3">
        <f t="shared" si="50"/>
        <v>-0.33720497862103765</v>
      </c>
      <c r="AA223" s="3">
        <f t="shared" si="51"/>
        <v>-0.43007908447549265</v>
      </c>
      <c r="AB223" s="3">
        <f t="shared" si="52"/>
        <v>-0.54168570059092314</v>
      </c>
    </row>
    <row r="224" spans="1:28" x14ac:dyDescent="0.25">
      <c r="A224" s="3">
        <v>1.2376614659861299E+18</v>
      </c>
      <c r="B224" s="3">
        <v>235.96209999999999</v>
      </c>
      <c r="C224" s="3">
        <v>35.962665999999999</v>
      </c>
      <c r="D224" s="16">
        <v>0.30099890000000001</v>
      </c>
      <c r="E224" s="3">
        <v>2.1287099999999981</v>
      </c>
      <c r="F224" s="3">
        <v>3.7531299999999987</v>
      </c>
      <c r="G224" s="3">
        <v>4.3479199999999985</v>
      </c>
      <c r="H224" s="3">
        <v>4.7133499999999984</v>
      </c>
      <c r="I224" s="3">
        <v>1.6244200000000006</v>
      </c>
      <c r="J224" s="3">
        <v>2.2192100000000003</v>
      </c>
      <c r="K224" s="3">
        <v>2.5846400000000003</v>
      </c>
      <c r="L224" s="3">
        <v>0.59478999999999971</v>
      </c>
      <c r="M224" s="3">
        <v>0.96021999999999963</v>
      </c>
      <c r="N224" s="3">
        <v>0.36542999999999992</v>
      </c>
      <c r="P224" s="3">
        <f t="shared" si="40"/>
        <v>-0.93615296676612514</v>
      </c>
      <c r="Q224" s="3">
        <f t="shared" si="41"/>
        <v>-0.44180004050398269</v>
      </c>
      <c r="R224" s="3">
        <f t="shared" si="42"/>
        <v>-0.16743269666273342</v>
      </c>
      <c r="S224" s="3">
        <f t="shared" si="43"/>
        <v>0.31809618191402317</v>
      </c>
      <c r="T224" s="3">
        <f t="shared" si="44"/>
        <v>0.54568067965828904</v>
      </c>
      <c r="U224" s="3">
        <f t="shared" si="45"/>
        <v>0.40280536348157403</v>
      </c>
      <c r="V224" s="3">
        <f t="shared" si="46"/>
        <v>0.34411766108182623</v>
      </c>
      <c r="W224" s="3">
        <f t="shared" si="47"/>
        <v>0.57112384952605921</v>
      </c>
      <c r="X224" s="3">
        <f t="shared" si="48"/>
        <v>0.22277940587849704</v>
      </c>
      <c r="Y224" s="3">
        <f t="shared" si="49"/>
        <v>0.13728145252663404</v>
      </c>
      <c r="Z224" s="3">
        <f t="shared" si="50"/>
        <v>-0.34589008734841831</v>
      </c>
      <c r="AA224" s="3">
        <f t="shared" si="51"/>
        <v>-0.33409041513039628</v>
      </c>
      <c r="AB224" s="3">
        <f t="shared" si="52"/>
        <v>-0.26525848688571729</v>
      </c>
    </row>
    <row r="225" spans="1:28" x14ac:dyDescent="0.25">
      <c r="A225" s="3">
        <v>1.23766247422787E+18</v>
      </c>
      <c r="B225" s="3">
        <v>236.78161</v>
      </c>
      <c r="C225" s="3">
        <v>36.562370999999999</v>
      </c>
      <c r="D225" s="16">
        <v>0.30350939999999998</v>
      </c>
      <c r="E225" s="3">
        <v>0.24552999999999869</v>
      </c>
      <c r="F225" s="3">
        <v>0.6769299999999987</v>
      </c>
      <c r="G225" s="3">
        <v>0.79037999999999897</v>
      </c>
      <c r="H225" s="3">
        <v>1.2114800000000017</v>
      </c>
      <c r="I225" s="3">
        <v>0.43140000000000001</v>
      </c>
      <c r="J225" s="3">
        <v>0.54485000000000028</v>
      </c>
      <c r="K225" s="3">
        <v>0.96595000000000297</v>
      </c>
      <c r="L225" s="3">
        <v>0.11345000000000027</v>
      </c>
      <c r="M225" s="3">
        <v>0.53455000000000297</v>
      </c>
      <c r="N225" s="3">
        <v>0.42110000000000269</v>
      </c>
      <c r="P225" s="3">
        <f t="shared" si="40"/>
        <v>1.5852883604630608</v>
      </c>
      <c r="Q225" s="3">
        <f t="shared" si="41"/>
        <v>1.6811906361334343</v>
      </c>
      <c r="R225" s="3">
        <f t="shared" si="42"/>
        <v>-0.15759918459463804</v>
      </c>
      <c r="S225" s="3">
        <f t="shared" si="43"/>
        <v>-1.5356262765523634</v>
      </c>
      <c r="T225" s="3">
        <f t="shared" si="44"/>
        <v>-2.1906599934931545</v>
      </c>
      <c r="U225" s="3">
        <f t="shared" si="45"/>
        <v>-2.4772257764425918</v>
      </c>
      <c r="V225" s="3">
        <f t="shared" si="46"/>
        <v>-2.3362100334240319</v>
      </c>
      <c r="W225" s="3">
        <f t="shared" si="47"/>
        <v>-1.7759378940740782</v>
      </c>
      <c r="X225" s="3">
        <f t="shared" si="48"/>
        <v>-1.9159128504115055</v>
      </c>
      <c r="Y225" s="3">
        <f t="shared" si="49"/>
        <v>-1.6201807349301998</v>
      </c>
      <c r="Z225" s="3">
        <f t="shared" si="50"/>
        <v>-1.7824846697667849</v>
      </c>
      <c r="AA225" s="3">
        <f t="shared" si="51"/>
        <v>-1.2019641806386581</v>
      </c>
      <c r="AB225" s="3">
        <f t="shared" si="52"/>
        <v>4.2577139979062345E-2</v>
      </c>
    </row>
    <row r="226" spans="1:28" x14ac:dyDescent="0.25">
      <c r="A226" s="3">
        <v>1.2376623378635799E+18</v>
      </c>
      <c r="B226" s="3">
        <v>235.74054000000001</v>
      </c>
      <c r="C226" s="3">
        <v>35.712043000000001</v>
      </c>
      <c r="D226" s="16">
        <v>0.30387370000000002</v>
      </c>
      <c r="E226" s="3">
        <v>1.7891200000000005</v>
      </c>
      <c r="F226" s="3">
        <v>3.4290900000000022</v>
      </c>
      <c r="G226" s="3">
        <v>4.0108800000000002</v>
      </c>
      <c r="H226" s="3">
        <v>4.3766999999999996</v>
      </c>
      <c r="I226" s="3">
        <v>1.6399700000000017</v>
      </c>
      <c r="J226" s="3">
        <v>2.2217599999999997</v>
      </c>
      <c r="K226" s="3">
        <v>2.5875799999999991</v>
      </c>
      <c r="L226" s="3">
        <v>0.58178999999999803</v>
      </c>
      <c r="M226" s="3">
        <v>0.9476099999999974</v>
      </c>
      <c r="N226" s="3">
        <v>0.36581999999999937</v>
      </c>
      <c r="P226" s="3">
        <f t="shared" si="40"/>
        <v>-1.6178414641131356</v>
      </c>
      <c r="Q226" s="3">
        <f t="shared" si="41"/>
        <v>-1.3290200776070478</v>
      </c>
      <c r="R226" s="3">
        <f t="shared" si="42"/>
        <v>-0.15617223839013392</v>
      </c>
      <c r="S226" s="3">
        <f t="shared" si="43"/>
        <v>-1.6181799835249859E-2</v>
      </c>
      <c r="T226" s="3">
        <f t="shared" si="44"/>
        <v>0.25744069795099295</v>
      </c>
      <c r="U226" s="3">
        <f t="shared" si="45"/>
        <v>0.12995229776761555</v>
      </c>
      <c r="V226" s="3">
        <f t="shared" si="46"/>
        <v>8.6446097501397881E-2</v>
      </c>
      <c r="W226" s="3">
        <f t="shared" si="47"/>
        <v>0.60171580113876022</v>
      </c>
      <c r="X226" s="3">
        <f t="shared" si="48"/>
        <v>0.22603656996121413</v>
      </c>
      <c r="Y226" s="3">
        <f t="shared" si="49"/>
        <v>0.14047350216623214</v>
      </c>
      <c r="Z226" s="3">
        <f t="shared" si="50"/>
        <v>-0.38468954214428236</v>
      </c>
      <c r="AA226" s="3">
        <f t="shared" si="51"/>
        <v>-0.35980020953230668</v>
      </c>
      <c r="AB226" s="3">
        <f t="shared" si="52"/>
        <v>-0.26310192330610371</v>
      </c>
    </row>
    <row r="227" spans="1:28" x14ac:dyDescent="0.25">
      <c r="A227" s="3">
        <v>1.2376625032190999E+18</v>
      </c>
      <c r="B227" s="3">
        <v>236.79615000000001</v>
      </c>
      <c r="C227" s="3">
        <v>35.734476000000001</v>
      </c>
      <c r="D227" s="16">
        <v>0.30845939999999999</v>
      </c>
      <c r="E227" s="3">
        <v>2.650269999999999</v>
      </c>
      <c r="F227" s="3">
        <v>4.2831200000000003</v>
      </c>
      <c r="G227" s="3">
        <v>4.830449999999999</v>
      </c>
      <c r="H227" s="3">
        <v>5.240470000000002</v>
      </c>
      <c r="I227" s="3">
        <v>1.6328500000000012</v>
      </c>
      <c r="J227" s="3">
        <v>2.18018</v>
      </c>
      <c r="K227" s="3">
        <v>2.5902000000000029</v>
      </c>
      <c r="L227" s="3">
        <v>0.54732999999999876</v>
      </c>
      <c r="M227" s="3">
        <v>0.9573500000000017</v>
      </c>
      <c r="N227" s="3">
        <v>0.41002000000000294</v>
      </c>
      <c r="P227" s="3">
        <f t="shared" si="40"/>
        <v>1.6300245526973707</v>
      </c>
      <c r="Q227" s="3">
        <f t="shared" si="41"/>
        <v>-1.2496059492455933</v>
      </c>
      <c r="R227" s="3">
        <f t="shared" si="42"/>
        <v>-0.13821026416561083</v>
      </c>
      <c r="S227" s="3">
        <f t="shared" si="43"/>
        <v>0.83149770775740006</v>
      </c>
      <c r="T227" s="3">
        <f t="shared" si="44"/>
        <v>1.017117255096667</v>
      </c>
      <c r="U227" s="3">
        <f t="shared" si="45"/>
        <v>0.7934408660894462</v>
      </c>
      <c r="V227" s="3">
        <f t="shared" si="46"/>
        <v>0.74757476666482581</v>
      </c>
      <c r="W227" s="3">
        <f t="shared" si="47"/>
        <v>0.58770842522349143</v>
      </c>
      <c r="X227" s="3">
        <f t="shared" si="48"/>
        <v>0.17292563562419122</v>
      </c>
      <c r="Y227" s="3">
        <f t="shared" si="49"/>
        <v>0.14331811783145751</v>
      </c>
      <c r="Z227" s="3">
        <f t="shared" si="50"/>
        <v>-0.48753794308776499</v>
      </c>
      <c r="AA227" s="3">
        <f t="shared" si="51"/>
        <v>-0.33994189093796301</v>
      </c>
      <c r="AB227" s="3">
        <f t="shared" si="52"/>
        <v>-1.869138428286533E-2</v>
      </c>
    </row>
    <row r="228" spans="1:28" x14ac:dyDescent="0.25">
      <c r="A228" s="3">
        <v>1.2376625032189701E+18</v>
      </c>
      <c r="B228" s="3">
        <v>236.59179</v>
      </c>
      <c r="C228" s="3">
        <v>35.966366000000001</v>
      </c>
      <c r="D228" s="16">
        <v>0.31038009999999999</v>
      </c>
      <c r="E228" s="3">
        <v>2.591070000000002</v>
      </c>
      <c r="F228" s="3">
        <v>4.4189399999999992</v>
      </c>
      <c r="G228" s="3">
        <v>5.3076800000000013</v>
      </c>
      <c r="H228" s="3">
        <v>5.8498400000000004</v>
      </c>
      <c r="I228" s="3">
        <v>1.8278699999999972</v>
      </c>
      <c r="J228" s="3">
        <v>2.7166099999999993</v>
      </c>
      <c r="K228" s="3">
        <v>3.2587699999999984</v>
      </c>
      <c r="L228" s="3">
        <v>0.88874000000000208</v>
      </c>
      <c r="M228" s="3">
        <v>1.4309000000000012</v>
      </c>
      <c r="N228" s="3">
        <v>0.54215999999999909</v>
      </c>
      <c r="P228" s="3">
        <f t="shared" si="40"/>
        <v>1.0012564478144867</v>
      </c>
      <c r="Q228" s="3">
        <f t="shared" si="41"/>
        <v>-0.42870182470861201</v>
      </c>
      <c r="R228" s="3">
        <f t="shared" si="42"/>
        <v>-0.1306869713437861</v>
      </c>
      <c r="S228" s="3">
        <f t="shared" si="43"/>
        <v>0.77322374056297116</v>
      </c>
      <c r="T228" s="3">
        <f t="shared" si="44"/>
        <v>1.1379318283452939</v>
      </c>
      <c r="U228" s="3">
        <f t="shared" si="45"/>
        <v>1.1797857169993491</v>
      </c>
      <c r="V228" s="3">
        <f t="shared" si="46"/>
        <v>1.2139859376109294</v>
      </c>
      <c r="W228" s="3">
        <f t="shared" si="47"/>
        <v>0.97137674699252219</v>
      </c>
      <c r="X228" s="3">
        <f t="shared" si="48"/>
        <v>0.85811799989570059</v>
      </c>
      <c r="Y228" s="3">
        <f t="shared" si="49"/>
        <v>0.86920540611272779</v>
      </c>
      <c r="Z228" s="3">
        <f t="shared" si="50"/>
        <v>0.5314252770548783</v>
      </c>
      <c r="AA228" s="3">
        <f t="shared" si="51"/>
        <v>0.62555161731124442</v>
      </c>
      <c r="AB228" s="3">
        <f t="shared" si="52"/>
        <v>0.71199659369286261</v>
      </c>
    </row>
    <row r="229" spans="1:28" x14ac:dyDescent="0.25">
      <c r="A229" s="3">
        <v>1.2376614659861299E+18</v>
      </c>
      <c r="B229" s="3">
        <v>235.90937</v>
      </c>
      <c r="C229" s="3">
        <v>36.018816999999999</v>
      </c>
      <c r="D229" s="16">
        <v>0.31236789999999998</v>
      </c>
      <c r="E229" s="3">
        <v>2.5473800000000004</v>
      </c>
      <c r="F229" s="3">
        <v>4.1222999999999992</v>
      </c>
      <c r="G229" s="3">
        <v>4.7533799999999999</v>
      </c>
      <c r="H229" s="3">
        <v>5.0141400000000012</v>
      </c>
      <c r="I229" s="3">
        <v>1.5749199999999988</v>
      </c>
      <c r="J229" s="3">
        <v>2.2059999999999995</v>
      </c>
      <c r="K229" s="3">
        <v>2.4667600000000007</v>
      </c>
      <c r="L229" s="3">
        <v>0.63108000000000075</v>
      </c>
      <c r="M229" s="3">
        <v>0.89184000000000196</v>
      </c>
      <c r="N229" s="3">
        <v>0.26076000000000121</v>
      </c>
      <c r="P229" s="3">
        <f t="shared" si="40"/>
        <v>-1.0983908908729521</v>
      </c>
      <c r="Q229" s="3">
        <f t="shared" si="41"/>
        <v>-0.24302222560521208</v>
      </c>
      <c r="R229" s="3">
        <f t="shared" si="42"/>
        <v>-0.12290085093392347</v>
      </c>
      <c r="S229" s="3">
        <f t="shared" si="43"/>
        <v>0.73021715903045736</v>
      </c>
      <c r="T229" s="3">
        <f t="shared" si="44"/>
        <v>0.8740646879501166</v>
      </c>
      <c r="U229" s="3">
        <f t="shared" si="45"/>
        <v>0.73104831394556224</v>
      </c>
      <c r="V229" s="3">
        <f t="shared" si="46"/>
        <v>0.57434201756291359</v>
      </c>
      <c r="W229" s="3">
        <f t="shared" si="47"/>
        <v>0.47374110966569544</v>
      </c>
      <c r="X229" s="3">
        <f t="shared" si="48"/>
        <v>0.20590601861076926</v>
      </c>
      <c r="Y229" s="3">
        <f t="shared" si="49"/>
        <v>9.295462215078952E-3</v>
      </c>
      <c r="Z229" s="3">
        <f t="shared" si="50"/>
        <v>-0.23757991699905179</v>
      </c>
      <c r="AA229" s="3">
        <f t="shared" si="51"/>
        <v>-0.47350641363969548</v>
      </c>
      <c r="AB229" s="3">
        <f t="shared" si="52"/>
        <v>-0.84404697375359017</v>
      </c>
    </row>
    <row r="230" spans="1:28" x14ac:dyDescent="0.25">
      <c r="A230" s="3">
        <v>1.2376624736911301E+18</v>
      </c>
      <c r="B230" s="3">
        <v>236.80857</v>
      </c>
      <c r="C230" s="3">
        <v>36.059871999999999</v>
      </c>
      <c r="D230" s="16">
        <v>0.31662200000000001</v>
      </c>
      <c r="E230" s="3">
        <v>2.6532499999999999</v>
      </c>
      <c r="F230" s="3">
        <v>4.4090200000000017</v>
      </c>
      <c r="G230" s="3">
        <v>5.0525400000000005</v>
      </c>
      <c r="H230" s="3">
        <v>5.5060299999999991</v>
      </c>
      <c r="I230" s="3">
        <v>1.7557700000000018</v>
      </c>
      <c r="J230" s="3">
        <v>2.3992900000000006</v>
      </c>
      <c r="K230" s="3">
        <v>2.8527799999999992</v>
      </c>
      <c r="L230" s="3">
        <v>0.64351999999999876</v>
      </c>
      <c r="M230" s="3">
        <v>1.0970099999999974</v>
      </c>
      <c r="N230" s="3">
        <v>0.45348999999999862</v>
      </c>
      <c r="P230" s="3">
        <f t="shared" si="40"/>
        <v>1.6682379988837079</v>
      </c>
      <c r="Q230" s="3">
        <f t="shared" si="41"/>
        <v>-9.768513115152358E-2</v>
      </c>
      <c r="R230" s="3">
        <f t="shared" si="42"/>
        <v>-0.10623773853046382</v>
      </c>
      <c r="S230" s="3">
        <f t="shared" si="43"/>
        <v>0.83443109326820175</v>
      </c>
      <c r="T230" s="3">
        <f t="shared" si="44"/>
        <v>1.1291077923666009</v>
      </c>
      <c r="U230" s="3">
        <f t="shared" si="45"/>
        <v>0.97323536337289551</v>
      </c>
      <c r="V230" s="3">
        <f t="shared" si="46"/>
        <v>0.95083411739828216</v>
      </c>
      <c r="W230" s="3">
        <f t="shared" si="47"/>
        <v>0.82953239256966338</v>
      </c>
      <c r="X230" s="3">
        <f t="shared" si="48"/>
        <v>0.4527990560807858</v>
      </c>
      <c r="Y230" s="3">
        <f t="shared" si="49"/>
        <v>0.42840940843213438</v>
      </c>
      <c r="Z230" s="3">
        <f t="shared" si="50"/>
        <v>-0.20045182333286646</v>
      </c>
      <c r="AA230" s="3">
        <f t="shared" si="51"/>
        <v>-5.519725285944907E-2</v>
      </c>
      <c r="AB230" s="3">
        <f t="shared" si="52"/>
        <v>0.22168251009130344</v>
      </c>
    </row>
    <row r="231" spans="1:28" x14ac:dyDescent="0.25">
      <c r="A231" s="3">
        <v>1.2376624736911301E+18</v>
      </c>
      <c r="B231" s="3">
        <v>236.80857</v>
      </c>
      <c r="C231" s="3">
        <v>36.059871999999999</v>
      </c>
      <c r="D231" s="16">
        <v>0.31669540000000002</v>
      </c>
      <c r="E231" s="3">
        <v>2.6532499999999999</v>
      </c>
      <c r="F231" s="3">
        <v>4.4090200000000017</v>
      </c>
      <c r="G231" s="3">
        <v>5.0525400000000005</v>
      </c>
      <c r="H231" s="3">
        <v>5.5060299999999991</v>
      </c>
      <c r="I231" s="3">
        <v>1.7557700000000018</v>
      </c>
      <c r="J231" s="3">
        <v>2.3992900000000006</v>
      </c>
      <c r="K231" s="3">
        <v>2.8527799999999992</v>
      </c>
      <c r="L231" s="3">
        <v>0.64351999999999876</v>
      </c>
      <c r="M231" s="3">
        <v>1.0970099999999974</v>
      </c>
      <c r="N231" s="3">
        <v>0.45348999999999862</v>
      </c>
      <c r="P231" s="3">
        <f t="shared" si="40"/>
        <v>1.6682379988837079</v>
      </c>
      <c r="Q231" s="3">
        <f t="shared" si="41"/>
        <v>-9.768513115152358E-2</v>
      </c>
      <c r="R231" s="3">
        <f t="shared" si="42"/>
        <v>-0.10595023413460714</v>
      </c>
      <c r="S231" s="3">
        <f t="shared" si="43"/>
        <v>0.83443109326820175</v>
      </c>
      <c r="T231" s="3">
        <f t="shared" si="44"/>
        <v>1.1291077923666009</v>
      </c>
      <c r="U231" s="3">
        <f t="shared" si="45"/>
        <v>0.97323536337289551</v>
      </c>
      <c r="V231" s="3">
        <f t="shared" si="46"/>
        <v>0.95083411739828216</v>
      </c>
      <c r="W231" s="3">
        <f t="shared" si="47"/>
        <v>0.82953239256966338</v>
      </c>
      <c r="X231" s="3">
        <f t="shared" si="48"/>
        <v>0.4527990560807858</v>
      </c>
      <c r="Y231" s="3">
        <f t="shared" si="49"/>
        <v>0.42840940843213438</v>
      </c>
      <c r="Z231" s="3">
        <f t="shared" si="50"/>
        <v>-0.20045182333286646</v>
      </c>
      <c r="AA231" s="3">
        <f t="shared" si="51"/>
        <v>-5.519725285944907E-2</v>
      </c>
      <c r="AB231" s="3">
        <f t="shared" si="52"/>
        <v>0.22168251009130344</v>
      </c>
    </row>
    <row r="232" spans="1:28" x14ac:dyDescent="0.25">
      <c r="A232" s="3">
        <v>1.23766247369107E+18</v>
      </c>
      <c r="B232" s="3">
        <v>236.59941000000001</v>
      </c>
      <c r="C232" s="3">
        <v>36.108260999999999</v>
      </c>
      <c r="D232" s="16">
        <v>0.31782389999999999</v>
      </c>
      <c r="E232" s="3">
        <v>1.6332099999999983</v>
      </c>
      <c r="F232" s="3">
        <v>2.90015</v>
      </c>
      <c r="G232" s="3">
        <v>3.4193999999999996</v>
      </c>
      <c r="H232" s="3">
        <v>3.8281600000000005</v>
      </c>
      <c r="I232" s="3">
        <v>1.2669400000000017</v>
      </c>
      <c r="J232" s="3">
        <v>1.7861900000000013</v>
      </c>
      <c r="K232" s="3">
        <v>2.1949500000000022</v>
      </c>
      <c r="L232" s="3">
        <v>0.51924999999999955</v>
      </c>
      <c r="M232" s="3">
        <v>0.92801000000000045</v>
      </c>
      <c r="N232" s="3">
        <v>0.4087600000000009</v>
      </c>
      <c r="P232" s="3">
        <f t="shared" si="40"/>
        <v>1.0247014123829403</v>
      </c>
      <c r="Q232" s="3">
        <f t="shared" si="41"/>
        <v>7.3614751043569765E-2</v>
      </c>
      <c r="R232" s="3">
        <f t="shared" si="42"/>
        <v>-0.10152995197215124</v>
      </c>
      <c r="S232" s="3">
        <f t="shared" si="43"/>
        <v>-0.16965298607315515</v>
      </c>
      <c r="T232" s="3">
        <f t="shared" si="44"/>
        <v>-0.21306188174367274</v>
      </c>
      <c r="U232" s="3">
        <f t="shared" si="45"/>
        <v>-0.34888443172589617</v>
      </c>
      <c r="V232" s="3">
        <f t="shared" si="46"/>
        <v>-0.33340585403999073</v>
      </c>
      <c r="W232" s="3">
        <f t="shared" si="47"/>
        <v>-0.13215659179275702</v>
      </c>
      <c r="X232" s="3">
        <f t="shared" si="48"/>
        <v>-0.3303253749444412</v>
      </c>
      <c r="Y232" s="3">
        <f t="shared" si="49"/>
        <v>-0.28581712708407053</v>
      </c>
      <c r="Z232" s="3">
        <f t="shared" si="50"/>
        <v>-0.57134476544681811</v>
      </c>
      <c r="AA232" s="3">
        <f t="shared" si="51"/>
        <v>-0.39976150773034608</v>
      </c>
      <c r="AB232" s="3">
        <f t="shared" si="52"/>
        <v>-2.565874354009957E-2</v>
      </c>
    </row>
    <row r="233" spans="1:28" x14ac:dyDescent="0.25">
      <c r="A233" s="3">
        <v>1.2376625032189701E+18</v>
      </c>
      <c r="B233" s="3">
        <v>236.42599000000001</v>
      </c>
      <c r="C233" s="3">
        <v>35.854213000000001</v>
      </c>
      <c r="D233" s="16">
        <v>0.31824170000000002</v>
      </c>
      <c r="E233" s="3">
        <v>2.3661199999999987</v>
      </c>
      <c r="F233" s="3">
        <v>3.9738700000000016</v>
      </c>
      <c r="G233" s="3">
        <v>4.5371699999999997</v>
      </c>
      <c r="H233" s="3">
        <v>4.9002100000000013</v>
      </c>
      <c r="I233" s="3">
        <v>1.6077500000000029</v>
      </c>
      <c r="J233" s="3">
        <v>2.171050000000001</v>
      </c>
      <c r="K233" s="3">
        <v>2.5340900000000026</v>
      </c>
      <c r="L233" s="3">
        <v>0.56329999999999814</v>
      </c>
      <c r="M233" s="3">
        <v>0.92633999999999972</v>
      </c>
      <c r="N233" s="3">
        <v>0.36304000000000158</v>
      </c>
      <c r="P233" s="3">
        <f t="shared" si="40"/>
        <v>0.49112847859559977</v>
      </c>
      <c r="Q233" s="3">
        <f t="shared" si="41"/>
        <v>-0.8257299858160142</v>
      </c>
      <c r="R233" s="3">
        <f t="shared" si="42"/>
        <v>-9.989344874886881E-2</v>
      </c>
      <c r="S233" s="3">
        <f t="shared" si="43"/>
        <v>0.55179250879966657</v>
      </c>
      <c r="T233" s="3">
        <f t="shared" si="44"/>
        <v>0.74203327057937918</v>
      </c>
      <c r="U233" s="3">
        <f t="shared" si="45"/>
        <v>0.55601401137608875</v>
      </c>
      <c r="V233" s="3">
        <f t="shared" si="46"/>
        <v>0.48714011279915809</v>
      </c>
      <c r="W233" s="3">
        <f t="shared" si="47"/>
        <v>0.53832849046601916</v>
      </c>
      <c r="X233" s="3">
        <f t="shared" si="48"/>
        <v>0.16126371088881439</v>
      </c>
      <c r="Y233" s="3">
        <f t="shared" si="49"/>
        <v>8.2397741886586245E-2</v>
      </c>
      <c r="Z233" s="3">
        <f t="shared" si="50"/>
        <v>-0.43987430515777692</v>
      </c>
      <c r="AA233" s="3">
        <f t="shared" si="51"/>
        <v>-0.40316637344416062</v>
      </c>
      <c r="AB233" s="3">
        <f t="shared" si="52"/>
        <v>-0.27847435087361522</v>
      </c>
    </row>
    <row r="234" spans="1:28" x14ac:dyDescent="0.25">
      <c r="A234" s="3">
        <v>1.2376625032189701E+18</v>
      </c>
      <c r="B234" s="3">
        <v>236.42599000000001</v>
      </c>
      <c r="C234" s="3">
        <v>35.854213000000001</v>
      </c>
      <c r="D234" s="16">
        <v>0.3183938</v>
      </c>
      <c r="E234" s="3">
        <v>2.3661199999999987</v>
      </c>
      <c r="F234" s="3">
        <v>3.9738700000000016</v>
      </c>
      <c r="G234" s="3">
        <v>4.5371699999999997</v>
      </c>
      <c r="H234" s="3">
        <v>4.9002100000000013</v>
      </c>
      <c r="I234" s="3">
        <v>1.6077500000000029</v>
      </c>
      <c r="J234" s="3">
        <v>2.171050000000001</v>
      </c>
      <c r="K234" s="3">
        <v>2.5340900000000026</v>
      </c>
      <c r="L234" s="3">
        <v>0.56329999999999814</v>
      </c>
      <c r="M234" s="3">
        <v>0.92633999999999972</v>
      </c>
      <c r="N234" s="3">
        <v>0.36304000000000158</v>
      </c>
      <c r="P234" s="3">
        <f t="shared" si="40"/>
        <v>0.49112847859559977</v>
      </c>
      <c r="Q234" s="3">
        <f t="shared" si="41"/>
        <v>-0.8257299858160142</v>
      </c>
      <c r="R234" s="3">
        <f t="shared" si="42"/>
        <v>-9.9297680102958752E-2</v>
      </c>
      <c r="S234" s="3">
        <f t="shared" si="43"/>
        <v>0.55179250879966657</v>
      </c>
      <c r="T234" s="3">
        <f t="shared" si="44"/>
        <v>0.74203327057937918</v>
      </c>
      <c r="U234" s="3">
        <f t="shared" si="45"/>
        <v>0.55601401137608875</v>
      </c>
      <c r="V234" s="3">
        <f t="shared" si="46"/>
        <v>0.48714011279915809</v>
      </c>
      <c r="W234" s="3">
        <f t="shared" si="47"/>
        <v>0.53832849046601916</v>
      </c>
      <c r="X234" s="3">
        <f t="shared" si="48"/>
        <v>0.16126371088881439</v>
      </c>
      <c r="Y234" s="3">
        <f t="shared" si="49"/>
        <v>8.2397741886586245E-2</v>
      </c>
      <c r="Z234" s="3">
        <f t="shared" si="50"/>
        <v>-0.43987430515777692</v>
      </c>
      <c r="AA234" s="3">
        <f t="shared" si="51"/>
        <v>-0.40316637344416062</v>
      </c>
      <c r="AB234" s="3">
        <f t="shared" si="52"/>
        <v>-0.27847435087361522</v>
      </c>
    </row>
    <row r="235" spans="1:28" x14ac:dyDescent="0.25">
      <c r="A235" s="3">
        <v>1.23766247369087E+18</v>
      </c>
      <c r="B235" s="3">
        <v>236.28253000000001</v>
      </c>
      <c r="C235" s="3">
        <v>36.441251999999999</v>
      </c>
      <c r="D235" s="16">
        <v>0.320581</v>
      </c>
      <c r="E235" s="3">
        <v>1.9499700000000004</v>
      </c>
      <c r="F235" s="3">
        <v>3.7154600000000002</v>
      </c>
      <c r="G235" s="3">
        <v>4.2989099999999993</v>
      </c>
      <c r="H235" s="3">
        <v>4.7248599999999996</v>
      </c>
      <c r="I235" s="3">
        <v>1.7654899999999998</v>
      </c>
      <c r="J235" s="3">
        <v>2.3489399999999989</v>
      </c>
      <c r="K235" s="3">
        <v>2.7748899999999992</v>
      </c>
      <c r="L235" s="3">
        <v>0.58344999999999914</v>
      </c>
      <c r="M235" s="3">
        <v>1.0093999999999994</v>
      </c>
      <c r="N235" s="3">
        <v>0.42595000000000027</v>
      </c>
      <c r="P235" s="3">
        <f t="shared" si="40"/>
        <v>4.9735484240061759E-2</v>
      </c>
      <c r="Q235" s="3">
        <f t="shared" si="41"/>
        <v>1.2524223121013724</v>
      </c>
      <c r="R235" s="3">
        <f t="shared" si="42"/>
        <v>-9.0730519140864149E-2</v>
      </c>
      <c r="S235" s="3">
        <f t="shared" si="43"/>
        <v>0.1421521127192156</v>
      </c>
      <c r="T235" s="3">
        <f t="shared" si="44"/>
        <v>0.51217247045290226</v>
      </c>
      <c r="U235" s="3">
        <f t="shared" si="45"/>
        <v>0.36312897862920951</v>
      </c>
      <c r="V235" s="3">
        <f t="shared" si="46"/>
        <v>0.35292740323780741</v>
      </c>
      <c r="W235" s="3">
        <f t="shared" si="47"/>
        <v>0.84865482148769367</v>
      </c>
      <c r="X235" s="3">
        <f t="shared" si="48"/>
        <v>0.38848603193770709</v>
      </c>
      <c r="Y235" s="3">
        <f t="shared" si="49"/>
        <v>0.34384180760614974</v>
      </c>
      <c r="Z235" s="3">
        <f t="shared" si="50"/>
        <v>-0.37973515022419246</v>
      </c>
      <c r="AA235" s="3">
        <f t="shared" si="51"/>
        <v>-0.23382017812121908</v>
      </c>
      <c r="AB235" s="3">
        <f t="shared" si="52"/>
        <v>6.9395943469153273E-2</v>
      </c>
    </row>
    <row r="236" spans="1:28" x14ac:dyDescent="0.25">
      <c r="A236" s="3">
        <v>1.2376623378636401E+18</v>
      </c>
      <c r="B236" s="3">
        <v>235.91333</v>
      </c>
      <c r="C236" s="3">
        <v>35.602728999999997</v>
      </c>
      <c r="D236" s="16">
        <v>0.32255040000000001</v>
      </c>
      <c r="E236" s="3">
        <v>3.1359599999999972</v>
      </c>
      <c r="F236" s="3">
        <v>4.8514199999999974</v>
      </c>
      <c r="G236" s="3">
        <v>5.4347199999999987</v>
      </c>
      <c r="H236" s="3">
        <v>5.8180099999999975</v>
      </c>
      <c r="I236" s="3">
        <v>1.7154600000000002</v>
      </c>
      <c r="J236" s="3">
        <v>2.2987600000000015</v>
      </c>
      <c r="K236" s="3">
        <v>2.6820500000000003</v>
      </c>
      <c r="L236" s="3">
        <v>0.58330000000000126</v>
      </c>
      <c r="M236" s="3">
        <v>0.96659000000000006</v>
      </c>
      <c r="N236" s="3">
        <v>0.3832899999999988</v>
      </c>
      <c r="P236" s="3">
        <f t="shared" si="40"/>
        <v>-1.0862068935381499</v>
      </c>
      <c r="Q236" s="3">
        <f t="shared" si="41"/>
        <v>-1.7159980131352703</v>
      </c>
      <c r="R236" s="3">
        <f t="shared" si="42"/>
        <v>-8.3016470677646712E-2</v>
      </c>
      <c r="S236" s="3">
        <f t="shared" si="43"/>
        <v>1.3095903281402292</v>
      </c>
      <c r="T236" s="3">
        <f t="shared" si="44"/>
        <v>1.5226313323842158</v>
      </c>
      <c r="U236" s="3">
        <f t="shared" si="45"/>
        <v>1.2826318286427765</v>
      </c>
      <c r="V236" s="3">
        <f t="shared" si="46"/>
        <v>1.1896232883646327</v>
      </c>
      <c r="W236" s="3">
        <f t="shared" si="47"/>
        <v>0.75022939774600128</v>
      </c>
      <c r="X236" s="3">
        <f t="shared" si="48"/>
        <v>0.32439015206681504</v>
      </c>
      <c r="Y236" s="3">
        <f t="shared" si="49"/>
        <v>0.24304252578968655</v>
      </c>
      <c r="Z236" s="3">
        <f t="shared" si="50"/>
        <v>-0.38018283624106142</v>
      </c>
      <c r="AA236" s="3">
        <f t="shared" si="51"/>
        <v>-0.32110299321603059</v>
      </c>
      <c r="AB236" s="3">
        <f t="shared" si="52"/>
        <v>-0.16649893423968992</v>
      </c>
    </row>
    <row r="237" spans="1:28" x14ac:dyDescent="0.25">
      <c r="A237" s="3">
        <v>1.23766146544926E+18</v>
      </c>
      <c r="B237" s="3">
        <v>235.71722</v>
      </c>
      <c r="C237" s="3">
        <v>35.614393999999997</v>
      </c>
      <c r="D237" s="16">
        <v>0.32288319999999998</v>
      </c>
      <c r="E237" s="3">
        <v>2.2147499999999987</v>
      </c>
      <c r="F237" s="3">
        <v>3.8974900000000012</v>
      </c>
      <c r="G237" s="3">
        <v>4.4806600000000003</v>
      </c>
      <c r="H237" s="3">
        <v>4.8648300000000013</v>
      </c>
      <c r="I237" s="3">
        <v>1.6827400000000026</v>
      </c>
      <c r="J237" s="3">
        <v>2.2659100000000016</v>
      </c>
      <c r="K237" s="3">
        <v>2.6500800000000027</v>
      </c>
      <c r="L237" s="3">
        <v>0.58316999999999908</v>
      </c>
      <c r="M237" s="3">
        <v>0.96734000000000009</v>
      </c>
      <c r="N237" s="3">
        <v>0.38417000000000101</v>
      </c>
      <c r="P237" s="3">
        <f t="shared" si="40"/>
        <v>-1.6895916706402254</v>
      </c>
      <c r="Q237" s="3">
        <f t="shared" si="41"/>
        <v>-1.6747032327966422</v>
      </c>
      <c r="R237" s="3">
        <f t="shared" si="42"/>
        <v>-8.1712908512236698E-2</v>
      </c>
      <c r="S237" s="3">
        <f t="shared" si="43"/>
        <v>0.40279030585674186</v>
      </c>
      <c r="T237" s="3">
        <f t="shared" si="44"/>
        <v>0.67409175162244916</v>
      </c>
      <c r="U237" s="3">
        <f t="shared" si="45"/>
        <v>0.51026594959263372</v>
      </c>
      <c r="V237" s="3">
        <f t="shared" si="46"/>
        <v>0.46006029720588443</v>
      </c>
      <c r="W237" s="3">
        <f t="shared" si="47"/>
        <v>0.68585842303426892</v>
      </c>
      <c r="X237" s="3">
        <f t="shared" si="48"/>
        <v>0.28243021476592023</v>
      </c>
      <c r="Y237" s="3">
        <f t="shared" si="49"/>
        <v>0.20833170028697084</v>
      </c>
      <c r="Z237" s="3">
        <f t="shared" si="50"/>
        <v>-0.38057083078902648</v>
      </c>
      <c r="AA237" s="3">
        <f t="shared" si="51"/>
        <v>-0.31957386190743187</v>
      </c>
      <c r="AB237" s="3">
        <f t="shared" si="52"/>
        <v>-0.1616328420600299</v>
      </c>
    </row>
    <row r="238" spans="1:28" x14ac:dyDescent="0.25">
      <c r="A238" s="3">
        <v>1.2376625032189E+18</v>
      </c>
      <c r="B238" s="3">
        <v>236.35123999999999</v>
      </c>
      <c r="C238" s="3">
        <v>36.038491999999998</v>
      </c>
      <c r="D238" s="16">
        <v>0.32365179999999999</v>
      </c>
      <c r="E238" s="3">
        <v>3.4041199999999989</v>
      </c>
      <c r="F238" s="3">
        <v>5.0744599999999984</v>
      </c>
      <c r="G238" s="3">
        <v>5.6647199999999991</v>
      </c>
      <c r="H238" s="3">
        <v>6.0345799999999983</v>
      </c>
      <c r="I238" s="3">
        <v>1.6703399999999995</v>
      </c>
      <c r="J238" s="3">
        <v>2.2606000000000002</v>
      </c>
      <c r="K238" s="3">
        <v>2.6304599999999994</v>
      </c>
      <c r="L238" s="3">
        <v>0.59026000000000067</v>
      </c>
      <c r="M238" s="3">
        <v>0.96011999999999986</v>
      </c>
      <c r="N238" s="3">
        <v>0.36985999999999919</v>
      </c>
      <c r="P238" s="3">
        <f t="shared" si="40"/>
        <v>0.26114014506649375</v>
      </c>
      <c r="Q238" s="3">
        <f t="shared" si="41"/>
        <v>-0.17337157809878811</v>
      </c>
      <c r="R238" s="3">
        <f t="shared" si="42"/>
        <v>-7.8702337958347718E-2</v>
      </c>
      <c r="S238" s="3">
        <f t="shared" si="43"/>
        <v>1.5735556498101437</v>
      </c>
      <c r="T238" s="3">
        <f t="shared" si="44"/>
        <v>1.721029818743913</v>
      </c>
      <c r="U238" s="3">
        <f t="shared" si="45"/>
        <v>1.468829921196215</v>
      </c>
      <c r="V238" s="3">
        <f t="shared" si="46"/>
        <v>1.3553857435097798</v>
      </c>
      <c r="W238" s="3">
        <f t="shared" si="47"/>
        <v>0.66146355486722319</v>
      </c>
      <c r="X238" s="3">
        <f t="shared" si="48"/>
        <v>0.2756476495583764</v>
      </c>
      <c r="Y238" s="3">
        <f t="shared" si="49"/>
        <v>0.18702965473290617</v>
      </c>
      <c r="Z238" s="3">
        <f t="shared" si="50"/>
        <v>-0.35941020505804938</v>
      </c>
      <c r="AA238" s="3">
        <f t="shared" si="51"/>
        <v>-0.33429429930487564</v>
      </c>
      <c r="AB238" s="3">
        <f t="shared" si="52"/>
        <v>-0.24076213648135805</v>
      </c>
    </row>
    <row r="239" spans="1:28" x14ac:dyDescent="0.25">
      <c r="A239" s="3">
        <v>1.2376625032189E+18</v>
      </c>
      <c r="B239" s="3">
        <v>236.35028</v>
      </c>
      <c r="C239" s="3">
        <v>36.085205000000002</v>
      </c>
      <c r="D239" s="16">
        <v>0.32386720000000002</v>
      </c>
      <c r="E239" s="3">
        <v>5.1739500000000014</v>
      </c>
      <c r="F239" s="3">
        <v>6.9403699999999979</v>
      </c>
      <c r="G239" s="3">
        <v>7.6069600000000008</v>
      </c>
      <c r="H239" s="3">
        <v>7.9886499999999998</v>
      </c>
      <c r="I239" s="3">
        <v>1.7664199999999965</v>
      </c>
      <c r="J239" s="3">
        <v>2.4330099999999995</v>
      </c>
      <c r="K239" s="3">
        <v>2.8146999999999984</v>
      </c>
      <c r="L239" s="3">
        <v>0.6665900000000029</v>
      </c>
      <c r="M239" s="3">
        <v>1.0482800000000019</v>
      </c>
      <c r="N239" s="3">
        <v>0.38168999999999897</v>
      </c>
      <c r="P239" s="3">
        <f t="shared" si="40"/>
        <v>0.2581864487429345</v>
      </c>
      <c r="Q239" s="3">
        <f t="shared" si="41"/>
        <v>-8.0048336531487949E-3</v>
      </c>
      <c r="R239" s="3">
        <f t="shared" si="42"/>
        <v>-7.785862614816326E-2</v>
      </c>
      <c r="S239" s="3">
        <f t="shared" si="43"/>
        <v>3.3157011795351674</v>
      </c>
      <c r="T239" s="3">
        <f t="shared" si="44"/>
        <v>3.38079362650674</v>
      </c>
      <c r="U239" s="3">
        <f t="shared" si="45"/>
        <v>3.041183761548345</v>
      </c>
      <c r="V239" s="3">
        <f t="shared" si="46"/>
        <v>2.8510289107327411</v>
      </c>
      <c r="W239" s="3">
        <f t="shared" si="47"/>
        <v>0.85048443660021522</v>
      </c>
      <c r="X239" s="3">
        <f t="shared" si="48"/>
        <v>0.49587026112754778</v>
      </c>
      <c r="Y239" s="3">
        <f t="shared" si="49"/>
        <v>0.38706476548113222</v>
      </c>
      <c r="Z239" s="3">
        <f t="shared" si="50"/>
        <v>-0.1315977139374335</v>
      </c>
      <c r="AA239" s="3">
        <f t="shared" si="51"/>
        <v>-0.15455001108345834</v>
      </c>
      <c r="AB239" s="3">
        <f t="shared" si="52"/>
        <v>-0.17534637456632129</v>
      </c>
    </row>
    <row r="240" spans="1:28" x14ac:dyDescent="0.25">
      <c r="A240" s="3">
        <v>1.2376623378635799E+18</v>
      </c>
      <c r="B240" s="3">
        <v>235.86107000000001</v>
      </c>
      <c r="C240" s="3">
        <v>35.709682999999998</v>
      </c>
      <c r="D240" s="16">
        <v>0.32391569999999997</v>
      </c>
      <c r="E240" s="3">
        <v>3.1640100000000011</v>
      </c>
      <c r="F240" s="3">
        <v>4.9245899999999985</v>
      </c>
      <c r="G240" s="3">
        <v>5.5921100000000017</v>
      </c>
      <c r="H240" s="3">
        <v>5.9349500000000006</v>
      </c>
      <c r="I240" s="3">
        <v>1.7605799999999974</v>
      </c>
      <c r="J240" s="3">
        <v>2.4281000000000006</v>
      </c>
      <c r="K240" s="3">
        <v>2.7709399999999995</v>
      </c>
      <c r="L240" s="3">
        <v>0.66752000000000322</v>
      </c>
      <c r="M240" s="3">
        <v>1.0103600000000021</v>
      </c>
      <c r="N240" s="3">
        <v>0.34283999999999892</v>
      </c>
      <c r="P240" s="3">
        <f t="shared" si="40"/>
        <v>-1.2469987371532005</v>
      </c>
      <c r="Q240" s="3">
        <f t="shared" si="41"/>
        <v>-1.3373746152495065</v>
      </c>
      <c r="R240" s="3">
        <f t="shared" si="42"/>
        <v>-7.7668653897495207E-2</v>
      </c>
      <c r="S240" s="3">
        <f t="shared" si="43"/>
        <v>1.337201557528811</v>
      </c>
      <c r="T240" s="3">
        <f t="shared" si="44"/>
        <v>1.5877174929246534</v>
      </c>
      <c r="U240" s="3">
        <f t="shared" si="45"/>
        <v>1.4100479929340208</v>
      </c>
      <c r="V240" s="3">
        <f t="shared" si="46"/>
        <v>1.2791290440310406</v>
      </c>
      <c r="W240" s="3">
        <f t="shared" si="47"/>
        <v>0.83899524062477238</v>
      </c>
      <c r="X240" s="3">
        <f t="shared" si="48"/>
        <v>0.48959862361925716</v>
      </c>
      <c r="Y240" s="3">
        <f t="shared" si="49"/>
        <v>0.33955316948491965</v>
      </c>
      <c r="Z240" s="3">
        <f t="shared" si="50"/>
        <v>-0.12882206063280568</v>
      </c>
      <c r="AA240" s="3">
        <f t="shared" si="51"/>
        <v>-0.23186289004620719</v>
      </c>
      <c r="AB240" s="3">
        <f t="shared" si="52"/>
        <v>-0.39017328499736331</v>
      </c>
    </row>
    <row r="241" spans="1:28" x14ac:dyDescent="0.25">
      <c r="A241" s="3">
        <v>1.2376614659861299E+18</v>
      </c>
      <c r="B241" s="3">
        <v>235.90254999999999</v>
      </c>
      <c r="C241" s="3">
        <v>35.937721000000003</v>
      </c>
      <c r="D241" s="16">
        <v>0.32398379999999999</v>
      </c>
      <c r="E241" s="3">
        <v>1.9032899999999984</v>
      </c>
      <c r="F241" s="3">
        <v>3.5843199999999982</v>
      </c>
      <c r="G241" s="3">
        <v>4.1891199999999991</v>
      </c>
      <c r="H241" s="3">
        <v>4.5132399999999997</v>
      </c>
      <c r="I241" s="3">
        <v>1.6810299999999998</v>
      </c>
      <c r="J241" s="3">
        <v>2.2858300000000007</v>
      </c>
      <c r="K241" s="3">
        <v>2.6099500000000013</v>
      </c>
      <c r="L241" s="3">
        <v>0.60480000000000089</v>
      </c>
      <c r="M241" s="3">
        <v>0.92892000000000152</v>
      </c>
      <c r="N241" s="3">
        <v>0.32412000000000063</v>
      </c>
      <c r="P241" s="3">
        <f t="shared" si="40"/>
        <v>-1.119374441838425</v>
      </c>
      <c r="Q241" s="3">
        <f t="shared" si="41"/>
        <v>-0.53010679537297734</v>
      </c>
      <c r="R241" s="3">
        <f t="shared" si="42"/>
        <v>-7.7401909355835199E-2</v>
      </c>
      <c r="S241" s="3">
        <f t="shared" si="43"/>
        <v>9.6202302100360917E-2</v>
      </c>
      <c r="T241" s="3">
        <f t="shared" si="44"/>
        <v>0.39552084966196349</v>
      </c>
      <c r="U241" s="3">
        <f t="shared" si="45"/>
        <v>0.27424772392728769</v>
      </c>
      <c r="V241" s="3">
        <f t="shared" si="46"/>
        <v>0.19095367299901214</v>
      </c>
      <c r="W241" s="3">
        <f t="shared" si="47"/>
        <v>0.68249429202090561</v>
      </c>
      <c r="X241" s="3">
        <f t="shared" si="48"/>
        <v>0.30787441418856221</v>
      </c>
      <c r="Y241" s="3">
        <f t="shared" si="49"/>
        <v>0.16476130843760797</v>
      </c>
      <c r="Z241" s="3">
        <f t="shared" si="50"/>
        <v>-0.31601450715560331</v>
      </c>
      <c r="AA241" s="3">
        <f t="shared" si="51"/>
        <v>-0.39790616174257748</v>
      </c>
      <c r="AB241" s="3">
        <f t="shared" si="52"/>
        <v>-0.49368833681895236</v>
      </c>
    </row>
    <row r="242" spans="1:28" x14ac:dyDescent="0.25">
      <c r="A242" s="3">
        <v>1.2376623378635799E+18</v>
      </c>
      <c r="B242" s="3">
        <v>235.86107000000001</v>
      </c>
      <c r="C242" s="3">
        <v>35.709682999999998</v>
      </c>
      <c r="D242" s="16">
        <v>0.32401029999999997</v>
      </c>
      <c r="E242" s="3">
        <v>3.1640100000000011</v>
      </c>
      <c r="F242" s="3">
        <v>4.9245899999999985</v>
      </c>
      <c r="G242" s="3">
        <v>5.5921100000000017</v>
      </c>
      <c r="H242" s="3">
        <v>5.9349500000000006</v>
      </c>
      <c r="I242" s="3">
        <v>1.7605799999999974</v>
      </c>
      <c r="J242" s="3">
        <v>2.4281000000000006</v>
      </c>
      <c r="K242" s="3">
        <v>2.7709399999999995</v>
      </c>
      <c r="L242" s="3">
        <v>0.66752000000000322</v>
      </c>
      <c r="M242" s="3">
        <v>1.0103600000000021</v>
      </c>
      <c r="N242" s="3">
        <v>0.34283999999999892</v>
      </c>
      <c r="P242" s="3">
        <f t="shared" si="40"/>
        <v>-1.2469987371532005</v>
      </c>
      <c r="Q242" s="3">
        <f t="shared" si="41"/>
        <v>-1.3373746152495065</v>
      </c>
      <c r="R242" s="3">
        <f t="shared" si="42"/>
        <v>-7.7298110084851573E-2</v>
      </c>
      <c r="S242" s="3">
        <f t="shared" si="43"/>
        <v>1.337201557528811</v>
      </c>
      <c r="T242" s="3">
        <f t="shared" si="44"/>
        <v>1.5877174929246534</v>
      </c>
      <c r="U242" s="3">
        <f t="shared" si="45"/>
        <v>1.4100479929340208</v>
      </c>
      <c r="V242" s="3">
        <f t="shared" si="46"/>
        <v>1.2791290440310406</v>
      </c>
      <c r="W242" s="3">
        <f t="shared" si="47"/>
        <v>0.83899524062477238</v>
      </c>
      <c r="X242" s="3">
        <f t="shared" si="48"/>
        <v>0.48959862361925716</v>
      </c>
      <c r="Y242" s="3">
        <f t="shared" si="49"/>
        <v>0.33955316948491965</v>
      </c>
      <c r="Z242" s="3">
        <f t="shared" si="50"/>
        <v>-0.12882206063280568</v>
      </c>
      <c r="AA242" s="3">
        <f t="shared" si="51"/>
        <v>-0.23186289004620719</v>
      </c>
      <c r="AB242" s="3">
        <f t="shared" si="52"/>
        <v>-0.39017328499736331</v>
      </c>
    </row>
    <row r="243" spans="1:28" x14ac:dyDescent="0.25">
      <c r="A243" s="3">
        <v>1.2376614659862001E+18</v>
      </c>
      <c r="B243" s="3">
        <v>236.15441000000001</v>
      </c>
      <c r="C243" s="3">
        <v>35.809334999999997</v>
      </c>
      <c r="D243" s="16">
        <v>0.3243781</v>
      </c>
      <c r="E243" s="3">
        <v>1.4928000000000026</v>
      </c>
      <c r="F243" s="3">
        <v>3.1190899999999999</v>
      </c>
      <c r="G243" s="3">
        <v>3.7056600000000017</v>
      </c>
      <c r="H243" s="3">
        <v>4.0075600000000016</v>
      </c>
      <c r="I243" s="3">
        <v>1.6262899999999973</v>
      </c>
      <c r="J243" s="3">
        <v>2.2128599999999992</v>
      </c>
      <c r="K243" s="3">
        <v>2.514759999999999</v>
      </c>
      <c r="L243" s="3">
        <v>0.58657000000000181</v>
      </c>
      <c r="M243" s="3">
        <v>0.88847000000000165</v>
      </c>
      <c r="N243" s="3">
        <v>0.30189999999999984</v>
      </c>
      <c r="P243" s="3">
        <f t="shared" si="40"/>
        <v>-0.34445990427818562</v>
      </c>
      <c r="Q243" s="3">
        <f t="shared" si="41"/>
        <v>-0.98460072323881853</v>
      </c>
      <c r="R243" s="3">
        <f t="shared" si="42"/>
        <v>-7.5857454542670413E-2</v>
      </c>
      <c r="S243" s="3">
        <f t="shared" si="43"/>
        <v>-0.30786663022467409</v>
      </c>
      <c r="T243" s="3">
        <f t="shared" si="44"/>
        <v>-1.8310426383235576E-2</v>
      </c>
      <c r="U243" s="3">
        <f t="shared" si="45"/>
        <v>-0.11714066662003705</v>
      </c>
      <c r="V243" s="3">
        <f t="shared" si="46"/>
        <v>-0.19609327864617129</v>
      </c>
      <c r="W243" s="3">
        <f t="shared" si="47"/>
        <v>0.57480275303188855</v>
      </c>
      <c r="X243" s="3">
        <f t="shared" si="48"/>
        <v>0.21466842865290395</v>
      </c>
      <c r="Y243" s="3">
        <f t="shared" si="49"/>
        <v>6.1410558371801434E-2</v>
      </c>
      <c r="Z243" s="3">
        <f t="shared" si="50"/>
        <v>-0.37042328107317829</v>
      </c>
      <c r="AA243" s="3">
        <f t="shared" si="51"/>
        <v>-0.48037731031966618</v>
      </c>
      <c r="AB243" s="3">
        <f t="shared" si="52"/>
        <v>-0.61655716435506358</v>
      </c>
    </row>
    <row r="244" spans="1:28" x14ac:dyDescent="0.25">
      <c r="A244" s="3">
        <v>1.2376623378636401E+18</v>
      </c>
      <c r="B244" s="3">
        <v>235.95001999999999</v>
      </c>
      <c r="C244" s="3">
        <v>35.616621000000002</v>
      </c>
      <c r="D244" s="16">
        <v>0.32504300000000003</v>
      </c>
      <c r="E244" s="3">
        <v>1.1471099999999979</v>
      </c>
      <c r="F244" s="3">
        <v>2.792819999999999</v>
      </c>
      <c r="G244" s="3">
        <v>3.3642700000000012</v>
      </c>
      <c r="H244" s="3">
        <v>3.7715899999999998</v>
      </c>
      <c r="I244" s="3">
        <v>1.6457100000000011</v>
      </c>
      <c r="J244" s="3">
        <v>2.2171600000000034</v>
      </c>
      <c r="K244" s="3">
        <v>2.6244800000000019</v>
      </c>
      <c r="L244" s="3">
        <v>0.57145000000000223</v>
      </c>
      <c r="M244" s="3">
        <v>0.97877000000000081</v>
      </c>
      <c r="N244" s="3">
        <v>0.40731999999999857</v>
      </c>
      <c r="P244" s="3">
        <f t="shared" si="40"/>
        <v>-0.97332031217121084</v>
      </c>
      <c r="Q244" s="3">
        <f t="shared" si="41"/>
        <v>-1.6668195229111455</v>
      </c>
      <c r="R244" s="3">
        <f t="shared" si="42"/>
        <v>-7.3253072079385431E-2</v>
      </c>
      <c r="S244" s="3">
        <f t="shared" si="43"/>
        <v>-0.64814919305311014</v>
      </c>
      <c r="T244" s="3">
        <f t="shared" si="44"/>
        <v>-0.30853403714623023</v>
      </c>
      <c r="U244" s="3">
        <f t="shared" si="45"/>
        <v>-0.39351530495402981</v>
      </c>
      <c r="V244" s="3">
        <f t="shared" si="46"/>
        <v>-0.37670447382833189</v>
      </c>
      <c r="W244" s="3">
        <f t="shared" si="47"/>
        <v>0.61300826430640487</v>
      </c>
      <c r="X244" s="3">
        <f t="shared" si="48"/>
        <v>0.22016090141984535</v>
      </c>
      <c r="Y244" s="3">
        <f t="shared" si="49"/>
        <v>0.18053698233671706</v>
      </c>
      <c r="Z244" s="3">
        <f t="shared" si="50"/>
        <v>-0.41555003157420695</v>
      </c>
      <c r="AA244" s="3">
        <f t="shared" si="51"/>
        <v>-0.29626990076438647</v>
      </c>
      <c r="AB244" s="3">
        <f t="shared" si="52"/>
        <v>-3.3621439834081557E-2</v>
      </c>
    </row>
    <row r="245" spans="1:28" x14ac:dyDescent="0.25">
      <c r="A245" s="3">
        <v>1.23766146598626E+18</v>
      </c>
      <c r="B245" s="3">
        <v>236.24893</v>
      </c>
      <c r="C245" s="3">
        <v>35.770789000000001</v>
      </c>
      <c r="D245" s="16">
        <v>0.32542379999999999</v>
      </c>
      <c r="E245" s="3">
        <v>2.4884799999999991</v>
      </c>
      <c r="F245" s="3">
        <v>4.2610899999999994</v>
      </c>
      <c r="G245" s="3">
        <v>4.8998799999999996</v>
      </c>
      <c r="H245" s="3">
        <v>5.2406299999999995</v>
      </c>
      <c r="I245" s="3">
        <v>1.7726100000000002</v>
      </c>
      <c r="J245" s="3">
        <v>2.4114000000000004</v>
      </c>
      <c r="K245" s="3">
        <v>2.7521500000000003</v>
      </c>
      <c r="L245" s="3">
        <v>0.63879000000000019</v>
      </c>
      <c r="M245" s="3">
        <v>0.97954000000000008</v>
      </c>
      <c r="N245" s="3">
        <v>0.34074999999999989</v>
      </c>
      <c r="P245" s="3">
        <f t="shared" si="40"/>
        <v>-5.3643887085385575E-2</v>
      </c>
      <c r="Q245" s="3">
        <f t="shared" si="41"/>
        <v>-1.1210558113599094</v>
      </c>
      <c r="R245" s="3">
        <f t="shared" si="42"/>
        <v>-7.1761496140118217E-2</v>
      </c>
      <c r="S245" s="3">
        <f t="shared" si="43"/>
        <v>0.67223849910221234</v>
      </c>
      <c r="T245" s="3">
        <f t="shared" si="44"/>
        <v>0.99752113487381766</v>
      </c>
      <c r="U245" s="3">
        <f t="shared" si="45"/>
        <v>0.84964840333286062</v>
      </c>
      <c r="V245" s="3">
        <f t="shared" si="46"/>
        <v>0.74769723050018078</v>
      </c>
      <c r="W245" s="3">
        <f t="shared" si="47"/>
        <v>0.86266219740296246</v>
      </c>
      <c r="X245" s="3">
        <f t="shared" si="48"/>
        <v>0.46826739217557517</v>
      </c>
      <c r="Y245" s="3">
        <f t="shared" si="49"/>
        <v>0.31915228080190283</v>
      </c>
      <c r="Z245" s="3">
        <f t="shared" si="50"/>
        <v>-0.21456885573166321</v>
      </c>
      <c r="AA245" s="3">
        <f t="shared" si="51"/>
        <v>-0.2946999926208933</v>
      </c>
      <c r="AB245" s="3">
        <f t="shared" si="52"/>
        <v>-0.40173025392402151</v>
      </c>
    </row>
    <row r="246" spans="1:28" x14ac:dyDescent="0.25">
      <c r="A246" s="3">
        <v>1.23766146598626E+18</v>
      </c>
      <c r="B246" s="3">
        <v>236.24893</v>
      </c>
      <c r="C246" s="3">
        <v>35.770789000000001</v>
      </c>
      <c r="D246" s="16">
        <v>0.32546160000000002</v>
      </c>
      <c r="E246" s="3">
        <v>2.4884799999999991</v>
      </c>
      <c r="F246" s="3">
        <v>4.2610899999999994</v>
      </c>
      <c r="G246" s="3">
        <v>4.8998799999999996</v>
      </c>
      <c r="H246" s="3">
        <v>5.2406299999999995</v>
      </c>
      <c r="I246" s="3">
        <v>1.7726100000000002</v>
      </c>
      <c r="J246" s="3">
        <v>2.4114000000000004</v>
      </c>
      <c r="K246" s="3">
        <v>2.7521500000000003</v>
      </c>
      <c r="L246" s="3">
        <v>0.63879000000000019</v>
      </c>
      <c r="M246" s="3">
        <v>0.97954000000000008</v>
      </c>
      <c r="N246" s="3">
        <v>0.34074999999999989</v>
      </c>
      <c r="P246" s="3">
        <f t="shared" si="40"/>
        <v>-5.3643887085385575E-2</v>
      </c>
      <c r="Q246" s="3">
        <f t="shared" si="41"/>
        <v>-1.1210558113599094</v>
      </c>
      <c r="R246" s="3">
        <f t="shared" si="42"/>
        <v>-7.1613435293205518E-2</v>
      </c>
      <c r="S246" s="3">
        <f t="shared" si="43"/>
        <v>0.67223849910221234</v>
      </c>
      <c r="T246" s="3">
        <f t="shared" si="44"/>
        <v>0.99752113487381766</v>
      </c>
      <c r="U246" s="3">
        <f t="shared" si="45"/>
        <v>0.84964840333286062</v>
      </c>
      <c r="V246" s="3">
        <f t="shared" si="46"/>
        <v>0.74769723050018078</v>
      </c>
      <c r="W246" s="3">
        <f t="shared" si="47"/>
        <v>0.86266219740296246</v>
      </c>
      <c r="X246" s="3">
        <f t="shared" si="48"/>
        <v>0.46826739217557517</v>
      </c>
      <c r="Y246" s="3">
        <f t="shared" si="49"/>
        <v>0.31915228080190283</v>
      </c>
      <c r="Z246" s="3">
        <f t="shared" si="50"/>
        <v>-0.21456885573166321</v>
      </c>
      <c r="AA246" s="3">
        <f t="shared" si="51"/>
        <v>-0.2946999926208933</v>
      </c>
      <c r="AB246" s="3">
        <f t="shared" si="52"/>
        <v>-0.40173025392402151</v>
      </c>
    </row>
    <row r="247" spans="1:28" x14ac:dyDescent="0.25">
      <c r="A247" s="3">
        <v>1.2376623378635799E+18</v>
      </c>
      <c r="B247" s="3">
        <v>235.86398</v>
      </c>
      <c r="C247" s="3">
        <v>35.713728000000003</v>
      </c>
      <c r="D247" s="16">
        <v>0.3258491</v>
      </c>
      <c r="E247" s="3">
        <v>1.7343399999999995</v>
      </c>
      <c r="F247" s="3">
        <v>3.627559999999999</v>
      </c>
      <c r="G247" s="3">
        <v>4.2792899999999996</v>
      </c>
      <c r="H247" s="3">
        <v>4.6788500000000006</v>
      </c>
      <c r="I247" s="3">
        <v>1.8932199999999995</v>
      </c>
      <c r="J247" s="3">
        <v>2.54495</v>
      </c>
      <c r="K247" s="3">
        <v>2.9445100000000011</v>
      </c>
      <c r="L247" s="3">
        <v>0.65173000000000059</v>
      </c>
      <c r="M247" s="3">
        <v>1.0512900000000016</v>
      </c>
      <c r="N247" s="3">
        <v>0.39956000000000103</v>
      </c>
      <c r="P247" s="3">
        <f t="shared" si="40"/>
        <v>-1.2380453451723816</v>
      </c>
      <c r="Q247" s="3">
        <f t="shared" si="41"/>
        <v>-1.3230550793326659</v>
      </c>
      <c r="R247" s="3">
        <f t="shared" si="42"/>
        <v>-7.0095615764670618E-2</v>
      </c>
      <c r="S247" s="3">
        <f t="shared" si="43"/>
        <v>-7.010490664117941E-2</v>
      </c>
      <c r="T247" s="3">
        <f t="shared" si="44"/>
        <v>0.43398368390780923</v>
      </c>
      <c r="U247" s="3">
        <f t="shared" si="45"/>
        <v>0.34724547177747733</v>
      </c>
      <c r="V247" s="3">
        <f t="shared" si="46"/>
        <v>0.31771139658301673</v>
      </c>
      <c r="W247" s="3">
        <f t="shared" si="47"/>
        <v>1.0999416368889816</v>
      </c>
      <c r="X247" s="3">
        <f t="shared" si="48"/>
        <v>0.63885337776262274</v>
      </c>
      <c r="Y247" s="3">
        <f t="shared" si="49"/>
        <v>0.52800352864997657</v>
      </c>
      <c r="Z247" s="3">
        <f t="shared" si="50"/>
        <v>-0.17594847534255312</v>
      </c>
      <c r="AA247" s="3">
        <f t="shared" si="51"/>
        <v>-0.14841309743161615</v>
      </c>
      <c r="AB247" s="3">
        <f t="shared" si="52"/>
        <v>-7.6531525418234894E-2</v>
      </c>
    </row>
    <row r="248" spans="1:28" x14ac:dyDescent="0.25">
      <c r="A248" s="3">
        <v>1.2376624731543301E+18</v>
      </c>
      <c r="B248" s="3">
        <v>236.6069</v>
      </c>
      <c r="C248" s="3">
        <v>35.702178000000004</v>
      </c>
      <c r="D248" s="16">
        <v>0.32744319999999999</v>
      </c>
      <c r="E248" s="3">
        <v>1.9183100000000017</v>
      </c>
      <c r="F248" s="3">
        <v>3.6335000000000015</v>
      </c>
      <c r="G248" s="3">
        <v>4.2798200000000008</v>
      </c>
      <c r="H248" s="3">
        <v>4.6527299999999983</v>
      </c>
      <c r="I248" s="3">
        <v>1.7151899999999998</v>
      </c>
      <c r="J248" s="3">
        <v>2.3615099999999991</v>
      </c>
      <c r="K248" s="3">
        <v>2.7344199999999965</v>
      </c>
      <c r="L248" s="3">
        <v>0.64631999999999934</v>
      </c>
      <c r="M248" s="3">
        <v>1.0192299999999967</v>
      </c>
      <c r="N248" s="3">
        <v>0.37290999999999741</v>
      </c>
      <c r="P248" s="3">
        <f t="shared" si="40"/>
        <v>1.0477463972408692</v>
      </c>
      <c r="Q248" s="3">
        <f t="shared" si="41"/>
        <v>-1.3639427529641375</v>
      </c>
      <c r="R248" s="3">
        <f t="shared" si="42"/>
        <v>-6.3851599995799507E-2</v>
      </c>
      <c r="S248" s="3">
        <f t="shared" si="43"/>
        <v>0.11098735256084338</v>
      </c>
      <c r="T248" s="3">
        <f t="shared" si="44"/>
        <v>0.43926743125795764</v>
      </c>
      <c r="U248" s="3">
        <f t="shared" si="45"/>
        <v>0.3476745369472754</v>
      </c>
      <c r="V248" s="3">
        <f t="shared" si="46"/>
        <v>0.29771917546101634</v>
      </c>
      <c r="W248" s="3">
        <f t="shared" si="47"/>
        <v>0.74969821916494395</v>
      </c>
      <c r="X248" s="3">
        <f t="shared" si="48"/>
        <v>0.40454193488663431</v>
      </c>
      <c r="Y248" s="3">
        <f t="shared" si="49"/>
        <v>0.29990226715900864</v>
      </c>
      <c r="Z248" s="3">
        <f t="shared" si="50"/>
        <v>-0.19209501768452586</v>
      </c>
      <c r="AA248" s="3">
        <f t="shared" si="51"/>
        <v>-0.21377836376985776</v>
      </c>
      <c r="AB248" s="3">
        <f t="shared" si="52"/>
        <v>-0.22389670335872497</v>
      </c>
    </row>
    <row r="249" spans="1:28" x14ac:dyDescent="0.25">
      <c r="A249" s="3">
        <v>1.23766247369107E+18</v>
      </c>
      <c r="B249" s="3">
        <v>236.48567</v>
      </c>
      <c r="C249" s="3">
        <v>36.077297000000002</v>
      </c>
      <c r="D249" s="16">
        <v>0.33320499999999997</v>
      </c>
      <c r="E249" s="3">
        <v>2.2564099999999989</v>
      </c>
      <c r="F249" s="3">
        <v>4.1092499999999994</v>
      </c>
      <c r="G249" s="3">
        <v>4.7067799999999984</v>
      </c>
      <c r="H249" s="3">
        <v>5.0870800000000003</v>
      </c>
      <c r="I249" s="3">
        <v>1.8528400000000005</v>
      </c>
      <c r="J249" s="3">
        <v>2.4503699999999995</v>
      </c>
      <c r="K249" s="3">
        <v>2.8306700000000014</v>
      </c>
      <c r="L249" s="3">
        <v>0.59752999999999901</v>
      </c>
      <c r="M249" s="3">
        <v>0.97783000000000087</v>
      </c>
      <c r="N249" s="3">
        <v>0.38030000000000186</v>
      </c>
      <c r="P249" s="3">
        <f t="shared" si="40"/>
        <v>0.67474993337833689</v>
      </c>
      <c r="Q249" s="3">
        <f t="shared" si="41"/>
        <v>-3.5999614871997543E-2</v>
      </c>
      <c r="R249" s="3">
        <f t="shared" si="42"/>
        <v>-4.1282896616411949E-2</v>
      </c>
      <c r="S249" s="3">
        <f t="shared" si="43"/>
        <v>0.4437986415547156</v>
      </c>
      <c r="T249" s="3">
        <f t="shared" si="44"/>
        <v>0.8624564551354017</v>
      </c>
      <c r="U249" s="3">
        <f t="shared" si="45"/>
        <v>0.69332296128038617</v>
      </c>
      <c r="V249" s="3">
        <f t="shared" si="46"/>
        <v>0.6301702185061967</v>
      </c>
      <c r="W249" s="3">
        <f t="shared" si="47"/>
        <v>1.0205009290998657</v>
      </c>
      <c r="X249" s="3">
        <f t="shared" si="48"/>
        <v>0.51804452327499195</v>
      </c>
      <c r="Y249" s="3">
        <f t="shared" si="49"/>
        <v>0.40440389226494555</v>
      </c>
      <c r="Z249" s="3">
        <f t="shared" si="50"/>
        <v>-0.33771235610683165</v>
      </c>
      <c r="AA249" s="3">
        <f t="shared" si="51"/>
        <v>-0.29818641200449669</v>
      </c>
      <c r="AB249" s="3">
        <f t="shared" si="52"/>
        <v>-0.18303258835006719</v>
      </c>
    </row>
    <row r="250" spans="1:28" x14ac:dyDescent="0.25">
      <c r="A250" s="3">
        <v>1.2376614659859999E+18</v>
      </c>
      <c r="B250" s="3">
        <v>235.74043</v>
      </c>
      <c r="C250" s="3">
        <v>36.151716</v>
      </c>
      <c r="D250" s="16">
        <v>0.33321319999999999</v>
      </c>
      <c r="E250" s="3">
        <v>1.7527000000000008</v>
      </c>
      <c r="F250" s="3">
        <v>3.5256900000000009</v>
      </c>
      <c r="G250" s="3">
        <v>4.1278399999999991</v>
      </c>
      <c r="H250" s="3">
        <v>4.4974099999999986</v>
      </c>
      <c r="I250" s="3">
        <v>1.7729900000000001</v>
      </c>
      <c r="J250" s="3">
        <v>2.3751399999999983</v>
      </c>
      <c r="K250" s="3">
        <v>2.7447099999999978</v>
      </c>
      <c r="L250" s="3">
        <v>0.60214999999999819</v>
      </c>
      <c r="M250" s="3">
        <v>0.9717199999999977</v>
      </c>
      <c r="N250" s="3">
        <v>0.36956999999999951</v>
      </c>
      <c r="P250" s="3">
        <f t="shared" si="40"/>
        <v>-1.6181799084835662</v>
      </c>
      <c r="Q250" s="3">
        <f t="shared" si="41"/>
        <v>0.22744798547263451</v>
      </c>
      <c r="R250" s="3">
        <f t="shared" si="42"/>
        <v>-4.125077759671128E-2</v>
      </c>
      <c r="S250" s="3">
        <f t="shared" si="43"/>
        <v>-5.2032101950472628E-2</v>
      </c>
      <c r="T250" s="3">
        <f t="shared" si="44"/>
        <v>0.34336830637256044</v>
      </c>
      <c r="U250" s="3">
        <f t="shared" si="45"/>
        <v>0.22463807561565863</v>
      </c>
      <c r="V250" s="3">
        <f t="shared" si="46"/>
        <v>0.17883740728839731</v>
      </c>
      <c r="W250" s="3">
        <f t="shared" si="47"/>
        <v>0.86340978207259722</v>
      </c>
      <c r="X250" s="3">
        <f t="shared" si="48"/>
        <v>0.42195179623857232</v>
      </c>
      <c r="Y250" s="3">
        <f t="shared" si="49"/>
        <v>0.31107444089760777</v>
      </c>
      <c r="Z250" s="3">
        <f t="shared" si="50"/>
        <v>-0.32392362678707498</v>
      </c>
      <c r="AA250" s="3">
        <f t="shared" si="51"/>
        <v>-0.31064373506522042</v>
      </c>
      <c r="AB250" s="3">
        <f t="shared" si="52"/>
        <v>-0.24236573504055839</v>
      </c>
    </row>
    <row r="251" spans="1:28" x14ac:dyDescent="0.25">
      <c r="A251" s="3">
        <v>1.2376624736910001E+18</v>
      </c>
      <c r="B251" s="3">
        <v>236.46100000000001</v>
      </c>
      <c r="C251" s="3">
        <v>36.078052</v>
      </c>
      <c r="D251" s="16">
        <v>0.33422950000000001</v>
      </c>
      <c r="E251" s="3">
        <v>1.8351000000000006</v>
      </c>
      <c r="F251" s="3">
        <v>3.5315499999999993</v>
      </c>
      <c r="G251" s="3">
        <v>4.1288199999999975</v>
      </c>
      <c r="H251" s="3">
        <v>4.5177699999999987</v>
      </c>
      <c r="I251" s="3">
        <v>1.6964499999999987</v>
      </c>
      <c r="J251" s="3">
        <v>2.2937199999999969</v>
      </c>
      <c r="K251" s="3">
        <v>2.6826699999999981</v>
      </c>
      <c r="L251" s="3">
        <v>0.59726999999999819</v>
      </c>
      <c r="M251" s="3">
        <v>0.98621999999999943</v>
      </c>
      <c r="N251" s="3">
        <v>0.38895000000000124</v>
      </c>
      <c r="P251" s="3">
        <f t="shared" si="40"/>
        <v>0.59884609139628842</v>
      </c>
      <c r="Q251" s="3">
        <f t="shared" si="41"/>
        <v>-3.3326870838085637E-2</v>
      </c>
      <c r="R251" s="3">
        <f t="shared" si="42"/>
        <v>-3.7269977630646468E-2</v>
      </c>
      <c r="S251" s="3">
        <f t="shared" si="43"/>
        <v>2.9078960495830933E-2</v>
      </c>
      <c r="T251" s="3">
        <f t="shared" si="44"/>
        <v>0.34858089214223181</v>
      </c>
      <c r="U251" s="3">
        <f t="shared" si="45"/>
        <v>0.22543144140131982</v>
      </c>
      <c r="V251" s="3">
        <f t="shared" si="46"/>
        <v>0.19442093033755098</v>
      </c>
      <c r="W251" s="3">
        <f t="shared" si="47"/>
        <v>0.71283049098346407</v>
      </c>
      <c r="X251" s="3">
        <f t="shared" si="48"/>
        <v>0.3179524630562609</v>
      </c>
      <c r="Y251" s="3">
        <f t="shared" si="49"/>
        <v>0.24371567911504188</v>
      </c>
      <c r="Z251" s="3">
        <f t="shared" si="50"/>
        <v>-0.33848834520275128</v>
      </c>
      <c r="AA251" s="3">
        <f t="shared" si="51"/>
        <v>-0.28108052976564235</v>
      </c>
      <c r="AB251" s="3">
        <f t="shared" si="52"/>
        <v>-0.13520111408421448</v>
      </c>
    </row>
    <row r="252" spans="1:28" x14ac:dyDescent="0.25">
      <c r="A252" s="3">
        <v>1.2376624736910001E+18</v>
      </c>
      <c r="B252" s="3">
        <v>236.46100000000001</v>
      </c>
      <c r="C252" s="3">
        <v>36.078052</v>
      </c>
      <c r="D252" s="16">
        <v>0.33430650000000001</v>
      </c>
      <c r="E252" s="3">
        <v>1.8351000000000006</v>
      </c>
      <c r="F252" s="3">
        <v>3.5315499999999993</v>
      </c>
      <c r="G252" s="3">
        <v>4.1288199999999975</v>
      </c>
      <c r="H252" s="3">
        <v>4.5177699999999987</v>
      </c>
      <c r="I252" s="3">
        <v>1.6964499999999987</v>
      </c>
      <c r="J252" s="3">
        <v>2.2937199999999969</v>
      </c>
      <c r="K252" s="3">
        <v>2.6826699999999981</v>
      </c>
      <c r="L252" s="3">
        <v>0.59726999999999819</v>
      </c>
      <c r="M252" s="3">
        <v>0.98621999999999943</v>
      </c>
      <c r="N252" s="3">
        <v>0.38895000000000124</v>
      </c>
      <c r="P252" s="3">
        <f t="shared" si="40"/>
        <v>0.59884609139628842</v>
      </c>
      <c r="Q252" s="3">
        <f t="shared" si="41"/>
        <v>-3.3326870838085637E-2</v>
      </c>
      <c r="R252" s="3">
        <f t="shared" si="42"/>
        <v>-3.6968372201750518E-2</v>
      </c>
      <c r="S252" s="3">
        <f t="shared" si="43"/>
        <v>2.9078960495830933E-2</v>
      </c>
      <c r="T252" s="3">
        <f t="shared" si="44"/>
        <v>0.34858089214223181</v>
      </c>
      <c r="U252" s="3">
        <f t="shared" si="45"/>
        <v>0.22543144140131982</v>
      </c>
      <c r="V252" s="3">
        <f t="shared" si="46"/>
        <v>0.19442093033755098</v>
      </c>
      <c r="W252" s="3">
        <f t="shared" si="47"/>
        <v>0.71283049098346407</v>
      </c>
      <c r="X252" s="3">
        <f t="shared" si="48"/>
        <v>0.3179524630562609</v>
      </c>
      <c r="Y252" s="3">
        <f t="shared" si="49"/>
        <v>0.24371567911504188</v>
      </c>
      <c r="Z252" s="3">
        <f t="shared" si="50"/>
        <v>-0.33848834520275128</v>
      </c>
      <c r="AA252" s="3">
        <f t="shared" si="51"/>
        <v>-0.28108052976564235</v>
      </c>
      <c r="AB252" s="3">
        <f t="shared" si="52"/>
        <v>-0.13520111408421448</v>
      </c>
    </row>
    <row r="253" spans="1:28" x14ac:dyDescent="0.25">
      <c r="A253" s="3">
        <v>1.2376624736910001E+18</v>
      </c>
      <c r="B253" s="3">
        <v>236.57029</v>
      </c>
      <c r="C253" s="3">
        <v>36.179943999999999</v>
      </c>
      <c r="D253" s="16">
        <v>0.3350359</v>
      </c>
      <c r="E253" s="3">
        <v>2.7389200000000002</v>
      </c>
      <c r="F253" s="3">
        <v>4.6036399999999986</v>
      </c>
      <c r="G253" s="3">
        <v>5.2395600000000009</v>
      </c>
      <c r="H253" s="3">
        <v>5.6875700000000009</v>
      </c>
      <c r="I253" s="3">
        <v>1.8647199999999984</v>
      </c>
      <c r="J253" s="3">
        <v>2.5006400000000006</v>
      </c>
      <c r="K253" s="3">
        <v>2.9486500000000007</v>
      </c>
      <c r="L253" s="3">
        <v>0.63592000000000226</v>
      </c>
      <c r="M253" s="3">
        <v>1.0839300000000023</v>
      </c>
      <c r="N253" s="3">
        <v>0.44801000000000002</v>
      </c>
      <c r="P253" s="3">
        <f t="shared" si="40"/>
        <v>0.9351059572342193</v>
      </c>
      <c r="Q253" s="3">
        <f t="shared" si="41"/>
        <v>0.32737675181628345</v>
      </c>
      <c r="R253" s="3">
        <f t="shared" si="42"/>
        <v>-3.4111346229845012E-2</v>
      </c>
      <c r="S253" s="3">
        <f t="shared" si="43"/>
        <v>0.91876100491595503</v>
      </c>
      <c r="T253" s="3">
        <f t="shared" si="44"/>
        <v>1.3022261272631372</v>
      </c>
      <c r="U253" s="3">
        <f t="shared" si="45"/>
        <v>1.1246386993265653</v>
      </c>
      <c r="V253" s="3">
        <f t="shared" si="46"/>
        <v>1.0897846465899994</v>
      </c>
      <c r="W253" s="3">
        <f t="shared" si="47"/>
        <v>1.043872786666348</v>
      </c>
      <c r="X253" s="3">
        <f t="shared" si="48"/>
        <v>0.58225536187821991</v>
      </c>
      <c r="Y253" s="3">
        <f t="shared" si="49"/>
        <v>0.53249845569349352</v>
      </c>
      <c r="Z253" s="3">
        <f t="shared" si="50"/>
        <v>-0.22313458152120438</v>
      </c>
      <c r="AA253" s="3">
        <f t="shared" si="51"/>
        <v>-8.1865302881400107E-2</v>
      </c>
      <c r="AB253" s="3">
        <f t="shared" si="52"/>
        <v>0.1913800269725954</v>
      </c>
    </row>
    <row r="254" spans="1:28" x14ac:dyDescent="0.25">
      <c r="A254" s="3">
        <v>1.2376624736911301E+18</v>
      </c>
      <c r="B254" s="3">
        <v>236.63802999999999</v>
      </c>
      <c r="C254" s="3">
        <v>35.971592000000001</v>
      </c>
      <c r="D254" s="16">
        <v>0.33570280000000002</v>
      </c>
      <c r="E254" s="3">
        <v>1.5289900000000003</v>
      </c>
      <c r="F254" s="3">
        <v>3.1993699999999983</v>
      </c>
      <c r="G254" s="3">
        <v>3.8126099999999994</v>
      </c>
      <c r="H254" s="3">
        <v>4.153220000000001</v>
      </c>
      <c r="I254" s="3">
        <v>1.670379999999998</v>
      </c>
      <c r="J254" s="3">
        <v>2.2836199999999991</v>
      </c>
      <c r="K254" s="3">
        <v>2.6242300000000007</v>
      </c>
      <c r="L254" s="3">
        <v>0.61324000000000112</v>
      </c>
      <c r="M254" s="3">
        <v>0.95385000000000275</v>
      </c>
      <c r="N254" s="3">
        <v>0.34061000000000163</v>
      </c>
      <c r="P254" s="3">
        <f t="shared" si="40"/>
        <v>1.1435261540670449</v>
      </c>
      <c r="Q254" s="3">
        <f t="shared" si="41"/>
        <v>-0.41020147991224054</v>
      </c>
      <c r="R254" s="3">
        <f t="shared" si="42"/>
        <v>-3.149912985931598E-2</v>
      </c>
      <c r="S254" s="3">
        <f t="shared" si="43"/>
        <v>-0.27224273034686408</v>
      </c>
      <c r="T254" s="3">
        <f t="shared" si="44"/>
        <v>5.3100219621768453E-2</v>
      </c>
      <c r="U254" s="3">
        <f t="shared" si="45"/>
        <v>-3.0558553582690225E-2</v>
      </c>
      <c r="V254" s="3">
        <f t="shared" si="46"/>
        <v>-8.4605264533219593E-2</v>
      </c>
      <c r="W254" s="3">
        <f t="shared" si="47"/>
        <v>0.66154224799033978</v>
      </c>
      <c r="X254" s="3">
        <f t="shared" si="48"/>
        <v>0.30505153865020468</v>
      </c>
      <c r="Y254" s="3">
        <f t="shared" si="49"/>
        <v>0.18026554954423282</v>
      </c>
      <c r="Z254" s="3">
        <f t="shared" si="50"/>
        <v>-0.29082470727275261</v>
      </c>
      <c r="AA254" s="3">
        <f t="shared" si="51"/>
        <v>-0.34707783704475476</v>
      </c>
      <c r="AB254" s="3">
        <f t="shared" si="52"/>
        <v>-0.40250440495259215</v>
      </c>
    </row>
    <row r="255" spans="1:28" x14ac:dyDescent="0.25">
      <c r="A255" s="3">
        <v>1.2376624736911301E+18</v>
      </c>
      <c r="B255" s="3">
        <v>236.63802999999999</v>
      </c>
      <c r="C255" s="3">
        <v>35.971592000000001</v>
      </c>
      <c r="D255" s="16">
        <v>0.33570309999999998</v>
      </c>
      <c r="E255" s="3">
        <v>1.5289900000000003</v>
      </c>
      <c r="F255" s="3">
        <v>3.1993699999999983</v>
      </c>
      <c r="G255" s="3">
        <v>3.8126099999999994</v>
      </c>
      <c r="H255" s="3">
        <v>4.153220000000001</v>
      </c>
      <c r="I255" s="3">
        <v>1.670379999999998</v>
      </c>
      <c r="J255" s="3">
        <v>2.2836199999999991</v>
      </c>
      <c r="K255" s="3">
        <v>2.6242300000000007</v>
      </c>
      <c r="L255" s="3">
        <v>0.61324000000000112</v>
      </c>
      <c r="M255" s="3">
        <v>0.95385000000000275</v>
      </c>
      <c r="N255" s="3">
        <v>0.34061000000000163</v>
      </c>
      <c r="P255" s="3">
        <f t="shared" si="40"/>
        <v>1.1435261540670449</v>
      </c>
      <c r="Q255" s="3">
        <f t="shared" si="41"/>
        <v>-0.41020147991224054</v>
      </c>
      <c r="R255" s="3">
        <f t="shared" si="42"/>
        <v>-3.1497954773229551E-2</v>
      </c>
      <c r="S255" s="3">
        <f t="shared" si="43"/>
        <v>-0.27224273034686408</v>
      </c>
      <c r="T255" s="3">
        <f t="shared" si="44"/>
        <v>5.3100219621768453E-2</v>
      </c>
      <c r="U255" s="3">
        <f t="shared" si="45"/>
        <v>-3.0558553582690225E-2</v>
      </c>
      <c r="V255" s="3">
        <f t="shared" si="46"/>
        <v>-8.4605264533219593E-2</v>
      </c>
      <c r="W255" s="3">
        <f t="shared" si="47"/>
        <v>0.66154224799033978</v>
      </c>
      <c r="X255" s="3">
        <f t="shared" si="48"/>
        <v>0.30505153865020468</v>
      </c>
      <c r="Y255" s="3">
        <f t="shared" si="49"/>
        <v>0.18026554954423282</v>
      </c>
      <c r="Z255" s="3">
        <f t="shared" si="50"/>
        <v>-0.29082470727275261</v>
      </c>
      <c r="AA255" s="3">
        <f t="shared" si="51"/>
        <v>-0.34707783704475476</v>
      </c>
      <c r="AB255" s="3">
        <f t="shared" si="52"/>
        <v>-0.40250440495259215</v>
      </c>
    </row>
    <row r="256" spans="1:28" x14ac:dyDescent="0.25">
      <c r="A256" s="3">
        <v>1.2376625032189E+18</v>
      </c>
      <c r="B256" s="3">
        <v>236.37397000000001</v>
      </c>
      <c r="C256" s="3">
        <v>35.988281999999998</v>
      </c>
      <c r="D256" s="16">
        <v>0.33589970000000002</v>
      </c>
      <c r="E256" s="3">
        <v>2.2245699999999999</v>
      </c>
      <c r="F256" s="3">
        <v>4.1587500000000013</v>
      </c>
      <c r="G256" s="3">
        <v>4.7982300000000002</v>
      </c>
      <c r="H256" s="3">
        <v>5.1551699999999983</v>
      </c>
      <c r="I256" s="3">
        <v>1.9341800000000013</v>
      </c>
      <c r="J256" s="3">
        <v>2.5736600000000003</v>
      </c>
      <c r="K256" s="3">
        <v>2.9305999999999983</v>
      </c>
      <c r="L256" s="3">
        <v>0.63947999999999894</v>
      </c>
      <c r="M256" s="3">
        <v>0.99641999999999697</v>
      </c>
      <c r="N256" s="3">
        <v>0.35693999999999804</v>
      </c>
      <c r="P256" s="3">
        <f t="shared" si="40"/>
        <v>0.3310750590614171</v>
      </c>
      <c r="Q256" s="3">
        <f t="shared" si="41"/>
        <v>-0.35111790650019281</v>
      </c>
      <c r="R256" s="3">
        <f t="shared" si="42"/>
        <v>-3.072788169113912E-2</v>
      </c>
      <c r="S256" s="3">
        <f t="shared" si="43"/>
        <v>0.41245669703663029</v>
      </c>
      <c r="T256" s="3">
        <f t="shared" si="44"/>
        <v>0.90648768305328797</v>
      </c>
      <c r="U256" s="3">
        <f t="shared" si="45"/>
        <v>0.76735694199348292</v>
      </c>
      <c r="V256" s="3">
        <f t="shared" si="46"/>
        <v>0.68228623444022585</v>
      </c>
      <c r="W256" s="3">
        <f t="shared" si="47"/>
        <v>1.1805233949633358</v>
      </c>
      <c r="X256" s="3">
        <f t="shared" si="48"/>
        <v>0.67552521337628202</v>
      </c>
      <c r="Y256" s="3">
        <f t="shared" si="49"/>
        <v>0.51290100807622274</v>
      </c>
      <c r="Z256" s="3">
        <f t="shared" si="50"/>
        <v>-0.2125095000540406</v>
      </c>
      <c r="AA256" s="3">
        <f t="shared" si="51"/>
        <v>-0.26028434396870526</v>
      </c>
      <c r="AB256" s="3">
        <f t="shared" si="52"/>
        <v>-0.31220521711892063</v>
      </c>
    </row>
    <row r="257" spans="1:28" x14ac:dyDescent="0.25">
      <c r="A257" s="3">
        <v>1.23766146598607E+18</v>
      </c>
      <c r="B257" s="3">
        <v>235.76340999999999</v>
      </c>
      <c r="C257" s="3">
        <v>35.987408000000002</v>
      </c>
      <c r="D257" s="16">
        <v>0.34294599999999997</v>
      </c>
      <c r="E257" s="3">
        <v>4.5909699999999987</v>
      </c>
      <c r="F257" s="3">
        <v>6.3025999999999982</v>
      </c>
      <c r="G257" s="3">
        <v>6.9059099999999987</v>
      </c>
      <c r="H257" s="3">
        <v>7.3522099999999995</v>
      </c>
      <c r="I257" s="3">
        <v>1.7116299999999995</v>
      </c>
      <c r="J257" s="3">
        <v>2.31494</v>
      </c>
      <c r="K257" s="3">
        <v>2.7612400000000008</v>
      </c>
      <c r="L257" s="3">
        <v>0.60331000000000046</v>
      </c>
      <c r="M257" s="3">
        <v>1.0496100000000013</v>
      </c>
      <c r="N257" s="3">
        <v>0.44630000000000081</v>
      </c>
      <c r="P257" s="3">
        <f t="shared" si="40"/>
        <v>-1.5474758027378153</v>
      </c>
      <c r="Q257" s="3">
        <f t="shared" si="41"/>
        <v>-0.354211917474543</v>
      </c>
      <c r="R257" s="3">
        <f t="shared" si="42"/>
        <v>-3.127851384259684E-3</v>
      </c>
      <c r="S257" s="3">
        <f t="shared" si="43"/>
        <v>2.7418404127275657</v>
      </c>
      <c r="T257" s="3">
        <f t="shared" si="44"/>
        <v>2.8134846117756447</v>
      </c>
      <c r="U257" s="3">
        <f t="shared" si="45"/>
        <v>2.4736438798762226</v>
      </c>
      <c r="V257" s="3">
        <f t="shared" si="46"/>
        <v>2.3638983896422063</v>
      </c>
      <c r="W257" s="3">
        <f t="shared" si="47"/>
        <v>0.74269453120730955</v>
      </c>
      <c r="X257" s="3">
        <f t="shared" si="48"/>
        <v>0.34505717750147014</v>
      </c>
      <c r="Y257" s="3">
        <f t="shared" si="49"/>
        <v>0.32902157713658303</v>
      </c>
      <c r="Z257" s="3">
        <f t="shared" si="50"/>
        <v>-0.32046152158989921</v>
      </c>
      <c r="AA257" s="3">
        <f t="shared" si="51"/>
        <v>-0.15183835156287792</v>
      </c>
      <c r="AB257" s="3">
        <f t="shared" si="52"/>
        <v>0.18192432512351142</v>
      </c>
    </row>
    <row r="258" spans="1:28" x14ac:dyDescent="0.25">
      <c r="A258" s="3">
        <v>1.23766247315439E+18</v>
      </c>
      <c r="B258" s="3">
        <v>236.75125</v>
      </c>
      <c r="C258" s="3">
        <v>35.593806999999998</v>
      </c>
      <c r="D258" s="16">
        <v>0.36033280000000001</v>
      </c>
      <c r="E258" s="3">
        <v>2.0010499999999993</v>
      </c>
      <c r="F258" s="3">
        <v>3.8098300000000016</v>
      </c>
      <c r="G258" s="3">
        <v>4.4193500000000014</v>
      </c>
      <c r="H258" s="3">
        <v>4.8191600000000001</v>
      </c>
      <c r="I258" s="3">
        <v>1.8087800000000023</v>
      </c>
      <c r="J258" s="3">
        <v>2.4183000000000021</v>
      </c>
      <c r="K258" s="3">
        <v>2.8181100000000008</v>
      </c>
      <c r="L258" s="3">
        <v>0.60951999999999984</v>
      </c>
      <c r="M258" s="3">
        <v>1.0093299999999985</v>
      </c>
      <c r="N258" s="3">
        <v>0.39980999999999867</v>
      </c>
      <c r="P258" s="3">
        <f t="shared" si="40"/>
        <v>1.4918777142297242</v>
      </c>
      <c r="Q258" s="3">
        <f t="shared" si="41"/>
        <v>-1.7475824134937057</v>
      </c>
      <c r="R258" s="3">
        <f t="shared" si="42"/>
        <v>6.4975437851176751E-2</v>
      </c>
      <c r="S258" s="3">
        <f t="shared" si="43"/>
        <v>0.19243309657549115</v>
      </c>
      <c r="T258" s="3">
        <f t="shared" si="44"/>
        <v>0.59611644981877754</v>
      </c>
      <c r="U258" s="3">
        <f t="shared" si="45"/>
        <v>0.46063201457328118</v>
      </c>
      <c r="V258" s="3">
        <f t="shared" si="46"/>
        <v>0.42510452620122524</v>
      </c>
      <c r="W258" s="3">
        <f t="shared" si="47"/>
        <v>0.9338204539837589</v>
      </c>
      <c r="X258" s="3">
        <f t="shared" si="48"/>
        <v>0.47708089498763745</v>
      </c>
      <c r="Y258" s="3">
        <f t="shared" si="49"/>
        <v>0.39076710877060206</v>
      </c>
      <c r="Z258" s="3">
        <f t="shared" si="50"/>
        <v>-0.30192732049126381</v>
      </c>
      <c r="AA258" s="3">
        <f t="shared" si="51"/>
        <v>-0.23396289704335679</v>
      </c>
      <c r="AB258" s="3">
        <f t="shared" si="52"/>
        <v>-7.5149112867211626E-2</v>
      </c>
    </row>
    <row r="259" spans="1:28" x14ac:dyDescent="0.25">
      <c r="A259" s="3">
        <v>1.23766146598607E+18</v>
      </c>
      <c r="B259" s="3">
        <v>235.68163999999999</v>
      </c>
      <c r="C259" s="3">
        <v>35.946770999999998</v>
      </c>
      <c r="D259" s="16">
        <v>0.363485</v>
      </c>
      <c r="E259" s="3">
        <v>3.5731900000000003</v>
      </c>
      <c r="F259" s="3">
        <v>5.2799499999999995</v>
      </c>
      <c r="G259" s="3">
        <v>5.8582199999999993</v>
      </c>
      <c r="H259" s="3">
        <v>6.1846099999999993</v>
      </c>
      <c r="I259" s="3">
        <v>1.7067599999999992</v>
      </c>
      <c r="J259" s="3">
        <v>2.285029999999999</v>
      </c>
      <c r="K259" s="3">
        <v>2.611419999999999</v>
      </c>
      <c r="L259" s="3">
        <v>0.57826999999999984</v>
      </c>
      <c r="M259" s="3">
        <v>0.9046599999999998</v>
      </c>
      <c r="N259" s="3">
        <v>0.32638999999999996</v>
      </c>
      <c r="P259" s="3">
        <f t="shared" ref="P259:P322" si="53">(B259-B$476)/B$477</f>
        <v>-1.7990630406330739</v>
      </c>
      <c r="Q259" s="3">
        <f t="shared" ref="Q259:Q322" si="54">(C259-C$476)/C$477</f>
        <v>-0.498069267549201</v>
      </c>
      <c r="R259" s="3">
        <f t="shared" ref="R259:R322" si="55">(D259-D$476)/D$477</f>
        <v>7.7322459058526111E-2</v>
      </c>
      <c r="S259" s="3">
        <f t="shared" ref="S259:S322" si="56">(E259-E$476)/E$477</f>
        <v>1.7399809814581617</v>
      </c>
      <c r="T259" s="3">
        <f t="shared" ref="T259:T322" si="57">(F259-F$476)/F$477</f>
        <v>1.9038172333872694</v>
      </c>
      <c r="U259" s="3">
        <f t="shared" ref="U259:U322" si="58">(G259-G$476)/G$477</f>
        <v>1.6254791860183468</v>
      </c>
      <c r="V259" s="3">
        <f t="shared" ref="V259:V322" si="59">(H259-H$476)/H$477</f>
        <v>1.4702185511259156</v>
      </c>
      <c r="W259" s="3">
        <f t="shared" ref="W259:W322" si="60">(I259-I$476)/I$477</f>
        <v>0.73311364346751173</v>
      </c>
      <c r="X259" s="3">
        <f t="shared" ref="X259:X322" si="61">(J259-J$476)/J$477</f>
        <v>0.30685255879006035</v>
      </c>
      <c r="Y259" s="3">
        <f t="shared" ref="Y259:Y322" si="62">(K259-K$476)/K$477</f>
        <v>0.16635733325740509</v>
      </c>
      <c r="Z259" s="3">
        <f t="shared" ref="Z259:Z322" si="63">(L259-L$476)/L$477</f>
        <v>-0.39519524067361728</v>
      </c>
      <c r="AA259" s="3">
        <f t="shared" ref="AA259:AA322" si="64">(M259-M$476)/M$477</f>
        <v>-0.4473684624713864</v>
      </c>
      <c r="AB259" s="3">
        <f t="shared" ref="AB259:AB322" si="65">(N259-N$476)/N$477</f>
        <v>-0.48113603085554646</v>
      </c>
    </row>
    <row r="260" spans="1:28" x14ac:dyDescent="0.25">
      <c r="A260" s="3">
        <v>1.23766146598607E+18</v>
      </c>
      <c r="B260" s="3">
        <v>235.79597000000001</v>
      </c>
      <c r="C260" s="3">
        <v>36.101492999999998</v>
      </c>
      <c r="D260" s="16">
        <v>0.3656392</v>
      </c>
      <c r="E260" s="3">
        <v>2.4451299999999989</v>
      </c>
      <c r="F260" s="3">
        <v>4.2081699999999991</v>
      </c>
      <c r="G260" s="3">
        <v>4.8421400000000006</v>
      </c>
      <c r="H260" s="3">
        <v>5.2629599999999996</v>
      </c>
      <c r="I260" s="3">
        <v>1.7630400000000002</v>
      </c>
      <c r="J260" s="3">
        <v>2.3970100000000016</v>
      </c>
      <c r="K260" s="3">
        <v>2.8178300000000007</v>
      </c>
      <c r="L260" s="3">
        <v>0.63397000000000148</v>
      </c>
      <c r="M260" s="3">
        <v>1.0547900000000006</v>
      </c>
      <c r="N260" s="3">
        <v>0.42081999999999908</v>
      </c>
      <c r="P260" s="3">
        <f t="shared" si="53"/>
        <v>-1.4472962690962166</v>
      </c>
      <c r="Q260" s="3">
        <f t="shared" si="54"/>
        <v>4.9655636313020328E-2</v>
      </c>
      <c r="R260" s="3">
        <f t="shared" si="55"/>
        <v>8.5760360551093845E-2</v>
      </c>
      <c r="S260" s="3">
        <f t="shared" si="56"/>
        <v>0.62956659913804625</v>
      </c>
      <c r="T260" s="3">
        <f t="shared" si="57"/>
        <v>0.95044774939069721</v>
      </c>
      <c r="U260" s="3">
        <f t="shared" si="58"/>
        <v>0.80290458653270691</v>
      </c>
      <c r="V260" s="3">
        <f t="shared" si="59"/>
        <v>0.76478858952216511</v>
      </c>
      <c r="W260" s="3">
        <f t="shared" si="60"/>
        <v>0.84383486769662608</v>
      </c>
      <c r="X260" s="3">
        <f t="shared" si="61"/>
        <v>0.4498867681950629</v>
      </c>
      <c r="Y260" s="3">
        <f t="shared" si="62"/>
        <v>0.39046310404302109</v>
      </c>
      <c r="Z260" s="3">
        <f t="shared" si="63"/>
        <v>-0.22895449974058557</v>
      </c>
      <c r="AA260" s="3">
        <f t="shared" si="64"/>
        <v>-0.14127715132482443</v>
      </c>
      <c r="AB260" s="3">
        <f t="shared" si="65"/>
        <v>4.1028837921881722E-2</v>
      </c>
    </row>
    <row r="261" spans="1:28" x14ac:dyDescent="0.25">
      <c r="A261" s="3">
        <v>1.23766146598607E+18</v>
      </c>
      <c r="B261" s="3">
        <v>235.80125000000001</v>
      </c>
      <c r="C261" s="3">
        <v>36.126528999999998</v>
      </c>
      <c r="D261" s="16">
        <v>0.36632550000000003</v>
      </c>
      <c r="E261" s="3">
        <v>2.1095599999999983</v>
      </c>
      <c r="F261" s="3">
        <v>3.3571399999999976</v>
      </c>
      <c r="G261" s="3">
        <v>4.0871199999999988</v>
      </c>
      <c r="H261" s="3">
        <v>4.4585399999999993</v>
      </c>
      <c r="I261" s="3">
        <v>1.2475799999999992</v>
      </c>
      <c r="J261" s="3">
        <v>1.9775600000000004</v>
      </c>
      <c r="K261" s="3">
        <v>2.348980000000001</v>
      </c>
      <c r="L261" s="3">
        <v>0.72998000000000118</v>
      </c>
      <c r="M261" s="3">
        <v>1.1014000000000017</v>
      </c>
      <c r="N261" s="3">
        <v>0.37142000000000053</v>
      </c>
      <c r="P261" s="3">
        <f t="shared" si="53"/>
        <v>-1.4310509393165096</v>
      </c>
      <c r="Q261" s="3">
        <f t="shared" si="54"/>
        <v>0.1382845364894312</v>
      </c>
      <c r="R261" s="3">
        <f t="shared" si="55"/>
        <v>8.8448565821890188E-2</v>
      </c>
      <c r="S261" s="3">
        <f t="shared" si="56"/>
        <v>0.29924573475568944</v>
      </c>
      <c r="T261" s="3">
        <f t="shared" si="57"/>
        <v>0.19343975151277079</v>
      </c>
      <c r="U261" s="3">
        <f t="shared" si="58"/>
        <v>0.19167291766445838</v>
      </c>
      <c r="V261" s="3">
        <f t="shared" si="59"/>
        <v>0.14908634928640382</v>
      </c>
      <c r="W261" s="3">
        <f t="shared" si="60"/>
        <v>-0.1702440633825916</v>
      </c>
      <c r="X261" s="3">
        <f t="shared" si="61"/>
        <v>-8.5884790430826474E-2</v>
      </c>
      <c r="Y261" s="3">
        <f t="shared" si="62"/>
        <v>-0.11858195497948322</v>
      </c>
      <c r="Z261" s="3">
        <f t="shared" si="63"/>
        <v>5.7594396794061711E-2</v>
      </c>
      <c r="AA261" s="3">
        <f t="shared" si="64"/>
        <v>-4.624673759977594E-2</v>
      </c>
      <c r="AB261" s="3">
        <f t="shared" si="65"/>
        <v>-0.23213588216288411</v>
      </c>
    </row>
    <row r="262" spans="1:28" x14ac:dyDescent="0.25">
      <c r="A262" s="3">
        <v>1.23766250375584E+18</v>
      </c>
      <c r="B262" s="3">
        <v>236.69497000000001</v>
      </c>
      <c r="C262" s="3">
        <v>36.273215</v>
      </c>
      <c r="D262" s="16">
        <v>0.3701702</v>
      </c>
      <c r="E262" s="3">
        <v>3.4089999999999989</v>
      </c>
      <c r="F262" s="3">
        <v>5.3898399999999995</v>
      </c>
      <c r="G262" s="3">
        <v>5.9414400000000001</v>
      </c>
      <c r="H262" s="3">
        <v>6.3510999999999989</v>
      </c>
      <c r="I262" s="3">
        <v>1.9808400000000006</v>
      </c>
      <c r="J262" s="3">
        <v>2.5324400000000011</v>
      </c>
      <c r="K262" s="3">
        <v>2.9420999999999999</v>
      </c>
      <c r="L262" s="3">
        <v>0.55160000000000053</v>
      </c>
      <c r="M262" s="3">
        <v>0.96125999999999934</v>
      </c>
      <c r="N262" s="3">
        <v>0.4096599999999988</v>
      </c>
      <c r="P262" s="3">
        <f t="shared" si="53"/>
        <v>1.3187172672596763</v>
      </c>
      <c r="Q262" s="3">
        <f t="shared" si="54"/>
        <v>0.65756153166746278</v>
      </c>
      <c r="R262" s="3">
        <f t="shared" si="55"/>
        <v>0.10350807741249228</v>
      </c>
      <c r="S262" s="3">
        <f t="shared" si="56"/>
        <v>1.5783593146734685</v>
      </c>
      <c r="T262" s="3">
        <f t="shared" si="57"/>
        <v>2.001566559364973</v>
      </c>
      <c r="U262" s="3">
        <f t="shared" si="58"/>
        <v>1.6928505132457261</v>
      </c>
      <c r="V262" s="3">
        <f t="shared" si="59"/>
        <v>1.5976498258043814</v>
      </c>
      <c r="W262" s="3">
        <f t="shared" si="60"/>
        <v>1.2723189230822112</v>
      </c>
      <c r="X262" s="3">
        <f t="shared" si="61"/>
        <v>0.62287411396858472</v>
      </c>
      <c r="Y262" s="3">
        <f t="shared" si="62"/>
        <v>0.52538691653043978</v>
      </c>
      <c r="Z262" s="3">
        <f t="shared" si="63"/>
        <v>-0.4747938144740429</v>
      </c>
      <c r="AA262" s="3">
        <f t="shared" si="64"/>
        <v>-0.3319700197158067</v>
      </c>
      <c r="AB262" s="3">
        <f t="shared" si="65"/>
        <v>-2.0682058356380473E-2</v>
      </c>
    </row>
    <row r="263" spans="1:28" x14ac:dyDescent="0.25">
      <c r="A263" s="3">
        <v>1.2376624736906701E+18</v>
      </c>
      <c r="B263" s="3">
        <v>235.74728999999999</v>
      </c>
      <c r="C263" s="3">
        <v>36.616</v>
      </c>
      <c r="D263" s="16">
        <v>0.3710869</v>
      </c>
      <c r="E263" s="3">
        <v>0.91483000000000203</v>
      </c>
      <c r="F263" s="3">
        <v>2.7612100000000019</v>
      </c>
      <c r="G263" s="3">
        <v>3.39574</v>
      </c>
      <c r="H263" s="3">
        <v>3.7995000000000019</v>
      </c>
      <c r="I263" s="3">
        <v>1.8463799999999999</v>
      </c>
      <c r="J263" s="3">
        <v>2.480909999999998</v>
      </c>
      <c r="K263" s="3">
        <v>2.8846699999999998</v>
      </c>
      <c r="L263" s="3">
        <v>0.63452999999999804</v>
      </c>
      <c r="M263" s="3">
        <v>1.0382899999999999</v>
      </c>
      <c r="N263" s="3">
        <v>0.4037600000000019</v>
      </c>
      <c r="P263" s="3">
        <f t="shared" si="53"/>
        <v>-1.5970732868379924</v>
      </c>
      <c r="Q263" s="3">
        <f t="shared" si="54"/>
        <v>1.8710404239414227</v>
      </c>
      <c r="R263" s="3">
        <f t="shared" si="55"/>
        <v>0.10709874879780319</v>
      </c>
      <c r="S263" s="3">
        <f t="shared" si="56"/>
        <v>-0.87679576568693407</v>
      </c>
      <c r="T263" s="3">
        <f t="shared" si="57"/>
        <v>-0.33665175663075952</v>
      </c>
      <c r="U263" s="3">
        <f t="shared" si="58"/>
        <v>-0.36803854855117557</v>
      </c>
      <c r="V263" s="3">
        <f t="shared" si="59"/>
        <v>-0.35534218854827748</v>
      </c>
      <c r="W263" s="3">
        <f t="shared" si="60"/>
        <v>1.0077919897160681</v>
      </c>
      <c r="X263" s="3">
        <f t="shared" si="61"/>
        <v>0.55705385311271705</v>
      </c>
      <c r="Y263" s="3">
        <f t="shared" si="62"/>
        <v>0.46303337544125883</v>
      </c>
      <c r="Z263" s="3">
        <f t="shared" si="63"/>
        <v>-0.22728313861092805</v>
      </c>
      <c r="AA263" s="3">
        <f t="shared" si="64"/>
        <v>-0.17491804011399675</v>
      </c>
      <c r="AB263" s="3">
        <f t="shared" si="65"/>
        <v>-5.3306994560820165E-2</v>
      </c>
    </row>
    <row r="264" spans="1:28" x14ac:dyDescent="0.25">
      <c r="A264" s="3">
        <v>1.2376624736906701E+18</v>
      </c>
      <c r="B264" s="3">
        <v>235.74728999999999</v>
      </c>
      <c r="C264" s="3">
        <v>36.616</v>
      </c>
      <c r="D264" s="16">
        <v>0.37119350000000001</v>
      </c>
      <c r="E264" s="3">
        <v>0.91483000000000203</v>
      </c>
      <c r="F264" s="3">
        <v>2.7612100000000019</v>
      </c>
      <c r="G264" s="3">
        <v>3.39574</v>
      </c>
      <c r="H264" s="3">
        <v>3.7995000000000019</v>
      </c>
      <c r="I264" s="3">
        <v>1.8463799999999999</v>
      </c>
      <c r="J264" s="3">
        <v>2.480909999999998</v>
      </c>
      <c r="K264" s="3">
        <v>2.8846699999999998</v>
      </c>
      <c r="L264" s="3">
        <v>0.63452999999999804</v>
      </c>
      <c r="M264" s="3">
        <v>1.0382899999999999</v>
      </c>
      <c r="N264" s="3">
        <v>0.4037600000000019</v>
      </c>
      <c r="P264" s="3">
        <f t="shared" si="53"/>
        <v>-1.5970732868379924</v>
      </c>
      <c r="Q264" s="3">
        <f t="shared" si="54"/>
        <v>1.8710404239414227</v>
      </c>
      <c r="R264" s="3">
        <f t="shared" si="55"/>
        <v>0.10751629605391119</v>
      </c>
      <c r="S264" s="3">
        <f t="shared" si="56"/>
        <v>-0.87679576568693407</v>
      </c>
      <c r="T264" s="3">
        <f t="shared" si="57"/>
        <v>-0.33665175663075952</v>
      </c>
      <c r="U264" s="3">
        <f t="shared" si="58"/>
        <v>-0.36803854855117557</v>
      </c>
      <c r="V264" s="3">
        <f t="shared" si="59"/>
        <v>-0.35534218854827748</v>
      </c>
      <c r="W264" s="3">
        <f t="shared" si="60"/>
        <v>1.0077919897160681</v>
      </c>
      <c r="X264" s="3">
        <f t="shared" si="61"/>
        <v>0.55705385311271705</v>
      </c>
      <c r="Y264" s="3">
        <f t="shared" si="62"/>
        <v>0.46303337544125883</v>
      </c>
      <c r="Z264" s="3">
        <f t="shared" si="63"/>
        <v>-0.22728313861092805</v>
      </c>
      <c r="AA264" s="3">
        <f t="shared" si="64"/>
        <v>-0.17491804011399675</v>
      </c>
      <c r="AB264" s="3">
        <f t="shared" si="65"/>
        <v>-5.3306994560820165E-2</v>
      </c>
    </row>
    <row r="265" spans="1:28" x14ac:dyDescent="0.25">
      <c r="A265" s="3">
        <v>1.2376625032188401E+18</v>
      </c>
      <c r="B265" s="3">
        <v>236.14241000000001</v>
      </c>
      <c r="C265" s="3">
        <v>36.196641999999997</v>
      </c>
      <c r="D265" s="16">
        <v>0.37121100000000001</v>
      </c>
      <c r="E265" s="3">
        <v>2.4653700000000001</v>
      </c>
      <c r="F265" s="3">
        <v>4.2705500000000001</v>
      </c>
      <c r="G265" s="3">
        <v>4.8856999999999999</v>
      </c>
      <c r="H265" s="3">
        <v>5.307269999999999</v>
      </c>
      <c r="I265" s="3">
        <v>1.80518</v>
      </c>
      <c r="J265" s="3">
        <v>2.4203299999999999</v>
      </c>
      <c r="K265" s="3">
        <v>2.841899999999999</v>
      </c>
      <c r="L265" s="3">
        <v>0.61514999999999986</v>
      </c>
      <c r="M265" s="3">
        <v>1.036719999999999</v>
      </c>
      <c r="N265" s="3">
        <v>0.42156999999999911</v>
      </c>
      <c r="P265" s="3">
        <f t="shared" si="53"/>
        <v>-0.381381108322982</v>
      </c>
      <c r="Q265" s="3">
        <f t="shared" si="54"/>
        <v>0.3864886456949197</v>
      </c>
      <c r="R265" s="3">
        <f t="shared" si="55"/>
        <v>0.10758484274229665</v>
      </c>
      <c r="S265" s="3">
        <f t="shared" si="56"/>
        <v>0.64948999603019764</v>
      </c>
      <c r="T265" s="3">
        <f t="shared" si="57"/>
        <v>1.0059359917647919</v>
      </c>
      <c r="U265" s="3">
        <f t="shared" si="58"/>
        <v>0.83816888614847929</v>
      </c>
      <c r="V265" s="3">
        <f t="shared" si="59"/>
        <v>0.79870341792629007</v>
      </c>
      <c r="W265" s="3">
        <f t="shared" si="60"/>
        <v>0.92673807290300092</v>
      </c>
      <c r="X265" s="3">
        <f t="shared" si="61"/>
        <v>0.47967385306132765</v>
      </c>
      <c r="Y265" s="3">
        <f t="shared" si="62"/>
        <v>0.41659665330327661</v>
      </c>
      <c r="Z265" s="3">
        <f t="shared" si="63"/>
        <v>-0.28512417199121093</v>
      </c>
      <c r="AA265" s="3">
        <f t="shared" si="64"/>
        <v>-0.17811902165333193</v>
      </c>
      <c r="AB265" s="3">
        <f t="shared" si="65"/>
        <v>4.5176075574990794E-2</v>
      </c>
    </row>
    <row r="266" spans="1:28" x14ac:dyDescent="0.25">
      <c r="A266" s="3">
        <v>1.2376614659863301E+18</v>
      </c>
      <c r="B266" s="3">
        <v>236.45468</v>
      </c>
      <c r="C266" s="3">
        <v>35.680591999999997</v>
      </c>
      <c r="D266" s="16">
        <v>0.38168560000000001</v>
      </c>
      <c r="E266" s="3">
        <v>2.3205899999999993</v>
      </c>
      <c r="F266" s="3">
        <v>3.97485</v>
      </c>
      <c r="G266" s="3">
        <v>4.64649</v>
      </c>
      <c r="H266" s="3">
        <v>4.9880199999999988</v>
      </c>
      <c r="I266" s="3">
        <v>1.6542600000000007</v>
      </c>
      <c r="J266" s="3">
        <v>2.3259000000000007</v>
      </c>
      <c r="K266" s="3">
        <v>2.6674299999999995</v>
      </c>
      <c r="L266" s="3">
        <v>0.67164000000000001</v>
      </c>
      <c r="M266" s="3">
        <v>1.0131699999999988</v>
      </c>
      <c r="N266" s="3">
        <v>0.34152999999999878</v>
      </c>
      <c r="P266" s="3">
        <f t="shared" si="53"/>
        <v>0.57940092393264542</v>
      </c>
      <c r="Q266" s="3">
        <f t="shared" si="54"/>
        <v>-1.4403584519259747</v>
      </c>
      <c r="R266" s="3">
        <f t="shared" si="55"/>
        <v>0.14861336515156695</v>
      </c>
      <c r="S266" s="3">
        <f t="shared" si="56"/>
        <v>0.50697470936786848</v>
      </c>
      <c r="T266" s="3">
        <f t="shared" si="57"/>
        <v>0.74290499994017634</v>
      </c>
      <c r="U266" s="3">
        <f t="shared" si="58"/>
        <v>0.64451477432366233</v>
      </c>
      <c r="V266" s="3">
        <f t="shared" si="59"/>
        <v>0.5543497964409132</v>
      </c>
      <c r="W266" s="3">
        <f t="shared" si="60"/>
        <v>0.62982891937319352</v>
      </c>
      <c r="X266" s="3">
        <f t="shared" si="61"/>
        <v>0.35905659646091731</v>
      </c>
      <c r="Y266" s="3">
        <f t="shared" si="62"/>
        <v>0.22716913608528344</v>
      </c>
      <c r="Z266" s="3">
        <f t="shared" si="63"/>
        <v>-0.11652561803597379</v>
      </c>
      <c r="AA266" s="3">
        <f t="shared" si="64"/>
        <v>-0.22613374474333095</v>
      </c>
      <c r="AB266" s="3">
        <f t="shared" si="65"/>
        <v>-0.39741712676479435</v>
      </c>
    </row>
    <row r="267" spans="1:28" x14ac:dyDescent="0.25">
      <c r="A267" s="3">
        <v>1.23766233786371E+18</v>
      </c>
      <c r="B267" s="3">
        <v>236.17215999999999</v>
      </c>
      <c r="C267" s="3">
        <v>35.598390999999999</v>
      </c>
      <c r="D267" s="16">
        <v>0.3828143</v>
      </c>
      <c r="E267" s="3">
        <v>2.7113700000000023</v>
      </c>
      <c r="F267" s="3">
        <v>4.4756600000000013</v>
      </c>
      <c r="G267" s="3">
        <v>5.1251400000000018</v>
      </c>
      <c r="H267" s="3">
        <v>5.5541499999999999</v>
      </c>
      <c r="I267" s="3">
        <v>1.764289999999999</v>
      </c>
      <c r="J267" s="3">
        <v>2.4137699999999995</v>
      </c>
      <c r="K267" s="3">
        <v>2.8427799999999976</v>
      </c>
      <c r="L267" s="3">
        <v>0.6494800000000005</v>
      </c>
      <c r="M267" s="3">
        <v>1.0784899999999986</v>
      </c>
      <c r="N267" s="3">
        <v>0.42900999999999812</v>
      </c>
      <c r="P267" s="3">
        <f t="shared" si="53"/>
        <v>-0.28984728996199355</v>
      </c>
      <c r="Q267" s="3">
        <f t="shared" si="54"/>
        <v>-1.7313547861407428</v>
      </c>
      <c r="R267" s="3">
        <f t="shared" si="55"/>
        <v>0.15303443070474729</v>
      </c>
      <c r="S267" s="3">
        <f t="shared" si="56"/>
        <v>0.89164195430435911</v>
      </c>
      <c r="T267" s="3">
        <f t="shared" si="57"/>
        <v>1.1883853889009</v>
      </c>
      <c r="U267" s="3">
        <f t="shared" si="58"/>
        <v>1.0320091960658513</v>
      </c>
      <c r="V267" s="3">
        <f t="shared" si="59"/>
        <v>0.98766511588184214</v>
      </c>
      <c r="W267" s="3">
        <f t="shared" si="60"/>
        <v>0.84629402779410767</v>
      </c>
      <c r="X267" s="3">
        <f t="shared" si="61"/>
        <v>0.47129463879362948</v>
      </c>
      <c r="Y267" s="3">
        <f t="shared" si="62"/>
        <v>0.41755209673281513</v>
      </c>
      <c r="Z267" s="3">
        <f t="shared" si="63"/>
        <v>-0.18266376559568281</v>
      </c>
      <c r="AA267" s="3">
        <f t="shared" si="64"/>
        <v>-9.2956601973110023E-2</v>
      </c>
      <c r="AB267" s="3">
        <f t="shared" si="65"/>
        <v>8.6316673093825708E-2</v>
      </c>
    </row>
    <row r="268" spans="1:28" x14ac:dyDescent="0.25">
      <c r="A268" s="3">
        <v>1.23766247422781E+18</v>
      </c>
      <c r="B268" s="3">
        <v>236.58484999999999</v>
      </c>
      <c r="C268" s="3">
        <v>36.554713</v>
      </c>
      <c r="D268" s="16">
        <v>0.40805190000000002</v>
      </c>
      <c r="E268" s="3">
        <v>4.879529999999999</v>
      </c>
      <c r="F268" s="3">
        <v>6.57883</v>
      </c>
      <c r="G268" s="3">
        <v>7.2083300000000001</v>
      </c>
      <c r="H268" s="3">
        <v>7.5798699999999997</v>
      </c>
      <c r="I268" s="3">
        <v>1.6993000000000009</v>
      </c>
      <c r="J268" s="3">
        <v>2.3288000000000011</v>
      </c>
      <c r="K268" s="3">
        <v>2.7003400000000006</v>
      </c>
      <c r="L268" s="3">
        <v>0.62950000000000017</v>
      </c>
      <c r="M268" s="3">
        <v>1.0010399999999997</v>
      </c>
      <c r="N268" s="3">
        <v>0.37153999999999954</v>
      </c>
      <c r="P268" s="3">
        <f t="shared" si="53"/>
        <v>0.97990368480853607</v>
      </c>
      <c r="Q268" s="3">
        <f t="shared" si="54"/>
        <v>1.6540808694953575</v>
      </c>
      <c r="R268" s="3">
        <f t="shared" si="55"/>
        <v>0.25188893943598301</v>
      </c>
      <c r="S268" s="3">
        <f t="shared" si="56"/>
        <v>3.0258866284982631</v>
      </c>
      <c r="T268" s="3">
        <f t="shared" si="57"/>
        <v>3.0591966539525606</v>
      </c>
      <c r="U268" s="3">
        <f t="shared" si="58"/>
        <v>2.7184700848762704</v>
      </c>
      <c r="V268" s="3">
        <f t="shared" si="59"/>
        <v>2.5381491193755217</v>
      </c>
      <c r="W268" s="3">
        <f t="shared" si="60"/>
        <v>0.71843737600573165</v>
      </c>
      <c r="X268" s="3">
        <f t="shared" si="61"/>
        <v>0.36276082228047929</v>
      </c>
      <c r="Y268" s="3">
        <f t="shared" si="62"/>
        <v>0.26290054888773878</v>
      </c>
      <c r="Z268" s="3">
        <f t="shared" si="63"/>
        <v>-0.24229554304347331</v>
      </c>
      <c r="AA268" s="3">
        <f t="shared" si="64"/>
        <v>-0.2508648951077318</v>
      </c>
      <c r="AB268" s="3">
        <f t="shared" si="65"/>
        <v>-0.23147232413839214</v>
      </c>
    </row>
    <row r="269" spans="1:28" x14ac:dyDescent="0.25">
      <c r="A269" s="3">
        <v>1.2376614659861299E+18</v>
      </c>
      <c r="B269" s="3">
        <v>236.04415</v>
      </c>
      <c r="C269" s="3">
        <v>35.959890999999999</v>
      </c>
      <c r="D269" s="16">
        <v>0.4091612</v>
      </c>
      <c r="E269" s="3">
        <v>4.7844300000000004</v>
      </c>
      <c r="F269" s="3">
        <v>6.5961199999999991</v>
      </c>
      <c r="G269" s="3">
        <v>7.2815599999999989</v>
      </c>
      <c r="H269" s="3">
        <v>7.6907499999999978</v>
      </c>
      <c r="I269" s="3">
        <v>1.8116899999999987</v>
      </c>
      <c r="J269" s="3">
        <v>2.4971299999999985</v>
      </c>
      <c r="K269" s="3">
        <v>2.9063199999999973</v>
      </c>
      <c r="L269" s="3">
        <v>0.68543999999999983</v>
      </c>
      <c r="M269" s="3">
        <v>1.0946299999999987</v>
      </c>
      <c r="N269" s="3">
        <v>0.40918999999999883</v>
      </c>
      <c r="P269" s="3">
        <f t="shared" si="53"/>
        <v>-0.68370423410981029</v>
      </c>
      <c r="Q269" s="3">
        <f t="shared" si="54"/>
        <v>-0.45162370235050442</v>
      </c>
      <c r="R269" s="3">
        <f t="shared" si="55"/>
        <v>0.25623401608889601</v>
      </c>
      <c r="S269" s="3">
        <f t="shared" si="56"/>
        <v>2.9322742251166685</v>
      </c>
      <c r="T269" s="3">
        <f t="shared" si="57"/>
        <v>3.0745764505323621</v>
      </c>
      <c r="U269" s="3">
        <f t="shared" si="58"/>
        <v>2.7777539384314358</v>
      </c>
      <c r="V269" s="3">
        <f t="shared" si="59"/>
        <v>2.6230165572777864</v>
      </c>
      <c r="W269" s="3">
        <f t="shared" si="60"/>
        <v>0.93954537869069421</v>
      </c>
      <c r="X269" s="3">
        <f t="shared" si="61"/>
        <v>0.57777197131729963</v>
      </c>
      <c r="Y269" s="3">
        <f t="shared" si="62"/>
        <v>0.48653945527027864</v>
      </c>
      <c r="Z269" s="3">
        <f t="shared" si="63"/>
        <v>-7.5338504483447061E-2</v>
      </c>
      <c r="AA269" s="3">
        <f t="shared" si="64"/>
        <v>-6.0049696212066274E-2</v>
      </c>
      <c r="AB269" s="3">
        <f t="shared" si="65"/>
        <v>-2.3280993952328563E-2</v>
      </c>
    </row>
    <row r="270" spans="1:28" x14ac:dyDescent="0.25">
      <c r="A270" s="3">
        <v>1.23766146598627E+18</v>
      </c>
      <c r="B270" s="3">
        <v>236.26492999999999</v>
      </c>
      <c r="C270" s="3">
        <v>35.732382000000001</v>
      </c>
      <c r="D270" s="16">
        <v>0.41451919999999998</v>
      </c>
      <c r="E270" s="3">
        <v>1.4612400000000001</v>
      </c>
      <c r="F270" s="3">
        <v>3.2112400000000001</v>
      </c>
      <c r="G270" s="3">
        <v>3.8986399999999968</v>
      </c>
      <c r="H270" s="3">
        <v>4.2899899999999995</v>
      </c>
      <c r="I270" s="3">
        <v>1.75</v>
      </c>
      <c r="J270" s="3">
        <v>2.4373999999999967</v>
      </c>
      <c r="K270" s="3">
        <v>2.8287499999999994</v>
      </c>
      <c r="L270" s="3">
        <v>0.68739999999999668</v>
      </c>
      <c r="M270" s="3">
        <v>1.0787499999999994</v>
      </c>
      <c r="N270" s="3">
        <v>0.39135000000000275</v>
      </c>
      <c r="P270" s="3">
        <f t="shared" si="53"/>
        <v>-4.4156150256862269E-3</v>
      </c>
      <c r="Q270" s="3">
        <f t="shared" si="54"/>
        <v>-1.2570188313741029</v>
      </c>
      <c r="R270" s="3">
        <f t="shared" si="55"/>
        <v>0.27722105359570959</v>
      </c>
      <c r="S270" s="3">
        <f t="shared" si="56"/>
        <v>-0.33893295462765405</v>
      </c>
      <c r="T270" s="3">
        <f t="shared" si="57"/>
        <v>6.3658819124503205E-2</v>
      </c>
      <c r="U270" s="3">
        <f t="shared" si="58"/>
        <v>3.9087628601534967E-2</v>
      </c>
      <c r="V270" s="3">
        <f t="shared" si="59"/>
        <v>2.0078352727718858E-2</v>
      </c>
      <c r="W270" s="3">
        <f t="shared" si="60"/>
        <v>0.81818090955967437</v>
      </c>
      <c r="X270" s="3">
        <f t="shared" si="61"/>
        <v>0.50147769262681152</v>
      </c>
      <c r="Y270" s="3">
        <f t="shared" si="62"/>
        <v>0.40231928841867448</v>
      </c>
      <c r="Z270" s="3">
        <f t="shared" si="63"/>
        <v>-6.9488740529619245E-2</v>
      </c>
      <c r="AA270" s="3">
        <f t="shared" si="64"/>
        <v>-9.2426503119460809E-2</v>
      </c>
      <c r="AB270" s="3">
        <f t="shared" si="65"/>
        <v>-0.1219299535942576</v>
      </c>
    </row>
    <row r="271" spans="1:28" x14ac:dyDescent="0.25">
      <c r="A271" s="3">
        <v>1.23766146598627E+18</v>
      </c>
      <c r="B271" s="3">
        <v>236.26492999999999</v>
      </c>
      <c r="C271" s="3">
        <v>35.732382000000001</v>
      </c>
      <c r="D271" s="16">
        <v>0.41459449999999998</v>
      </c>
      <c r="E271" s="3">
        <v>1.4612400000000001</v>
      </c>
      <c r="F271" s="3">
        <v>3.2112400000000001</v>
      </c>
      <c r="G271" s="3">
        <v>3.8986399999999968</v>
      </c>
      <c r="H271" s="3">
        <v>4.2899899999999995</v>
      </c>
      <c r="I271" s="3">
        <v>1.75</v>
      </c>
      <c r="J271" s="3">
        <v>2.4373999999999967</v>
      </c>
      <c r="K271" s="3">
        <v>2.8287499999999994</v>
      </c>
      <c r="L271" s="3">
        <v>0.68739999999999668</v>
      </c>
      <c r="M271" s="3">
        <v>1.0787499999999994</v>
      </c>
      <c r="N271" s="3">
        <v>0.39135000000000275</v>
      </c>
      <c r="P271" s="3">
        <f t="shared" si="53"/>
        <v>-4.4156150256862269E-3</v>
      </c>
      <c r="Q271" s="3">
        <f t="shared" si="54"/>
        <v>-1.2570188313741029</v>
      </c>
      <c r="R271" s="3">
        <f t="shared" si="55"/>
        <v>0.27751600020344808</v>
      </c>
      <c r="S271" s="3">
        <f t="shared" si="56"/>
        <v>-0.33893295462765405</v>
      </c>
      <c r="T271" s="3">
        <f t="shared" si="57"/>
        <v>6.3658819124503205E-2</v>
      </c>
      <c r="U271" s="3">
        <f t="shared" si="58"/>
        <v>3.9087628601534967E-2</v>
      </c>
      <c r="V271" s="3">
        <f t="shared" si="59"/>
        <v>2.0078352727718858E-2</v>
      </c>
      <c r="W271" s="3">
        <f t="shared" si="60"/>
        <v>0.81818090955967437</v>
      </c>
      <c r="X271" s="3">
        <f t="shared" si="61"/>
        <v>0.50147769262681152</v>
      </c>
      <c r="Y271" s="3">
        <f t="shared" si="62"/>
        <v>0.40231928841867448</v>
      </c>
      <c r="Z271" s="3">
        <f t="shared" si="63"/>
        <v>-6.9488740529619245E-2</v>
      </c>
      <c r="AA271" s="3">
        <f t="shared" si="64"/>
        <v>-9.2426503119460809E-2</v>
      </c>
      <c r="AB271" s="3">
        <f t="shared" si="65"/>
        <v>-0.1219299535942576</v>
      </c>
    </row>
    <row r="272" spans="1:28" x14ac:dyDescent="0.25">
      <c r="A272" s="3">
        <v>1.2376614654493299E+18</v>
      </c>
      <c r="B272" s="3">
        <v>235.78387000000001</v>
      </c>
      <c r="C272" s="3">
        <v>35.609974000000001</v>
      </c>
      <c r="D272" s="16">
        <v>0.42717250000000001</v>
      </c>
      <c r="E272" s="3">
        <v>2.5945500000000017</v>
      </c>
      <c r="F272" s="3">
        <v>4.3041200000000011</v>
      </c>
      <c r="G272" s="3">
        <v>5.0770100000000014</v>
      </c>
      <c r="H272" s="3">
        <v>5.51905</v>
      </c>
      <c r="I272" s="3">
        <v>1.7095699999999994</v>
      </c>
      <c r="J272" s="3">
        <v>2.4824599999999997</v>
      </c>
      <c r="K272" s="3">
        <v>2.9244999999999983</v>
      </c>
      <c r="L272" s="3">
        <v>0.7728900000000003</v>
      </c>
      <c r="M272" s="3">
        <v>1.214929999999999</v>
      </c>
      <c r="N272" s="3">
        <v>0.44203999999999866</v>
      </c>
      <c r="P272" s="3">
        <f t="shared" si="53"/>
        <v>-1.4845251498413963</v>
      </c>
      <c r="Q272" s="3">
        <f t="shared" si="54"/>
        <v>-1.6903502905846031</v>
      </c>
      <c r="R272" s="3">
        <f t="shared" si="55"/>
        <v>0.32678344286128741</v>
      </c>
      <c r="S272" s="3">
        <f t="shared" si="56"/>
        <v>0.77664930485075168</v>
      </c>
      <c r="T272" s="3">
        <f t="shared" si="57"/>
        <v>1.0357971699709216</v>
      </c>
      <c r="U272" s="3">
        <f t="shared" si="58"/>
        <v>0.99304522130673367</v>
      </c>
      <c r="V272" s="3">
        <f t="shared" si="59"/>
        <v>0.96079961200044295</v>
      </c>
      <c r="W272" s="3">
        <f t="shared" si="60"/>
        <v>0.73864183536665584</v>
      </c>
      <c r="X272" s="3">
        <f t="shared" si="61"/>
        <v>0.55903369794731239</v>
      </c>
      <c r="Y272" s="3">
        <f t="shared" si="62"/>
        <v>0.50627804793963904</v>
      </c>
      <c r="Z272" s="3">
        <f t="shared" si="63"/>
        <v>0.18566244335485224</v>
      </c>
      <c r="AA272" s="3">
        <f t="shared" si="64"/>
        <v>0.18522296568716309</v>
      </c>
      <c r="AB272" s="3">
        <f t="shared" si="65"/>
        <v>0.15836801525384089</v>
      </c>
    </row>
    <row r="273" spans="1:28" x14ac:dyDescent="0.25">
      <c r="A273" s="3">
        <v>1.2376623378635799E+18</v>
      </c>
      <c r="B273" s="3">
        <v>235.85176000000001</v>
      </c>
      <c r="C273" s="3">
        <v>35.664484999999999</v>
      </c>
      <c r="D273" s="16">
        <v>0.42906169999999999</v>
      </c>
      <c r="E273" s="3">
        <v>2.7760699999999972</v>
      </c>
      <c r="F273" s="3">
        <v>4.5939199999999971</v>
      </c>
      <c r="G273" s="3">
        <v>5.300849999999997</v>
      </c>
      <c r="H273" s="3">
        <v>5.7213399999999979</v>
      </c>
      <c r="I273" s="3">
        <v>1.81785</v>
      </c>
      <c r="J273" s="3">
        <v>2.5247799999999998</v>
      </c>
      <c r="K273" s="3">
        <v>2.9452700000000007</v>
      </c>
      <c r="L273" s="3">
        <v>0.70692999999999984</v>
      </c>
      <c r="M273" s="3">
        <v>1.1274200000000008</v>
      </c>
      <c r="N273" s="3">
        <v>0.42049000000000092</v>
      </c>
      <c r="P273" s="3">
        <f t="shared" si="53"/>
        <v>-1.2756434379579518</v>
      </c>
      <c r="Q273" s="3">
        <f t="shared" si="54"/>
        <v>-1.497378171335676</v>
      </c>
      <c r="R273" s="3">
        <f t="shared" si="55"/>
        <v>0.33418335164401824</v>
      </c>
      <c r="S273" s="3">
        <f t="shared" si="56"/>
        <v>0.95532988804556584</v>
      </c>
      <c r="T273" s="3">
        <f t="shared" si="57"/>
        <v>1.2935799952356242</v>
      </c>
      <c r="U273" s="3">
        <f t="shared" si="58"/>
        <v>1.1742564432074327</v>
      </c>
      <c r="V273" s="3">
        <f t="shared" si="59"/>
        <v>1.1156321698399929</v>
      </c>
      <c r="W273" s="3">
        <f t="shared" si="60"/>
        <v>0.9516641196510971</v>
      </c>
      <c r="X273" s="3">
        <f t="shared" si="61"/>
        <v>0.61308984852794812</v>
      </c>
      <c r="Y273" s="3">
        <f t="shared" si="62"/>
        <v>0.52882868433912433</v>
      </c>
      <c r="Z273" s="3">
        <f t="shared" si="63"/>
        <v>-1.1200021132446215E-2</v>
      </c>
      <c r="AA273" s="3">
        <f t="shared" si="64"/>
        <v>6.8039245998724228E-3</v>
      </c>
      <c r="AB273" s="3">
        <f t="shared" si="65"/>
        <v>3.9204053354523948E-2</v>
      </c>
    </row>
    <row r="274" spans="1:28" x14ac:dyDescent="0.25">
      <c r="A274" s="3">
        <v>1.2376614659862001E+18</v>
      </c>
      <c r="B274" s="3">
        <v>236.07709</v>
      </c>
      <c r="C274" s="3">
        <v>35.854717999999998</v>
      </c>
      <c r="D274" s="16">
        <v>0.42921300000000001</v>
      </c>
      <c r="E274" s="3">
        <v>1.6373999999999995</v>
      </c>
      <c r="F274" s="3">
        <v>3.3500700000000023</v>
      </c>
      <c r="G274" s="3">
        <v>4.0759700000000016</v>
      </c>
      <c r="H274" s="3">
        <v>4.5432800000000029</v>
      </c>
      <c r="I274" s="3">
        <v>1.7126700000000028</v>
      </c>
      <c r="J274" s="3">
        <v>2.4385700000000021</v>
      </c>
      <c r="K274" s="3">
        <v>2.9058800000000033</v>
      </c>
      <c r="L274" s="3">
        <v>0.72589999999999932</v>
      </c>
      <c r="M274" s="3">
        <v>1.1932100000000005</v>
      </c>
      <c r="N274" s="3">
        <v>0.46731000000000122</v>
      </c>
      <c r="P274" s="3">
        <f t="shared" si="53"/>
        <v>-0.58235552900685916</v>
      </c>
      <c r="Q274" s="3">
        <f t="shared" si="54"/>
        <v>-0.82394225636287433</v>
      </c>
      <c r="R274" s="3">
        <f t="shared" si="55"/>
        <v>0.33477598672703079</v>
      </c>
      <c r="S274" s="3">
        <f t="shared" si="56"/>
        <v>-0.16552852792206155</v>
      </c>
      <c r="T274" s="3">
        <f t="shared" si="57"/>
        <v>0.1871508468384428</v>
      </c>
      <c r="U274" s="3">
        <f t="shared" si="58"/>
        <v>0.1826463579602397</v>
      </c>
      <c r="V274" s="3">
        <f t="shared" si="59"/>
        <v>0.21394625808725487</v>
      </c>
      <c r="W274" s="3">
        <f t="shared" si="60"/>
        <v>0.74474055240842252</v>
      </c>
      <c r="X274" s="3">
        <f t="shared" si="61"/>
        <v>0.50297215614712432</v>
      </c>
      <c r="Y274" s="3">
        <f t="shared" si="62"/>
        <v>0.48606173355551519</v>
      </c>
      <c r="Z274" s="3">
        <f t="shared" si="63"/>
        <v>4.5417337135048093E-2</v>
      </c>
      <c r="AA274" s="3">
        <f t="shared" si="64"/>
        <v>0.14093932299014847</v>
      </c>
      <c r="AB274" s="3">
        <f t="shared" si="65"/>
        <v>0.2981022759126048</v>
      </c>
    </row>
    <row r="275" spans="1:28" x14ac:dyDescent="0.25">
      <c r="A275" s="3">
        <v>1.2376614659861299E+18</v>
      </c>
      <c r="B275" s="3">
        <v>235.90709000000001</v>
      </c>
      <c r="C275" s="3">
        <v>36.014389999999999</v>
      </c>
      <c r="D275" s="16">
        <v>0.4303167</v>
      </c>
      <c r="E275" s="3">
        <v>1.1731899999999982</v>
      </c>
      <c r="F275" s="3">
        <v>2.3807699999999983</v>
      </c>
      <c r="G275" s="3">
        <v>2.8631999999999991</v>
      </c>
      <c r="H275" s="3">
        <v>3.3049900000000001</v>
      </c>
      <c r="I275" s="3">
        <v>1.2075800000000001</v>
      </c>
      <c r="J275" s="3">
        <v>1.6900100000000009</v>
      </c>
      <c r="K275" s="3">
        <v>2.1318000000000019</v>
      </c>
      <c r="L275" s="3">
        <v>0.4824300000000008</v>
      </c>
      <c r="M275" s="3">
        <v>0.92422000000000182</v>
      </c>
      <c r="N275" s="3">
        <v>0.44179000000000102</v>
      </c>
      <c r="P275" s="3">
        <f t="shared" si="53"/>
        <v>-1.1054059196414161</v>
      </c>
      <c r="Q275" s="3">
        <f t="shared" si="54"/>
        <v>-0.25869406380144738</v>
      </c>
      <c r="R275" s="3">
        <f t="shared" si="55"/>
        <v>0.3390991284396605</v>
      </c>
      <c r="S275" s="3">
        <f t="shared" si="56"/>
        <v>-0.6224771480458331</v>
      </c>
      <c r="T275" s="3">
        <f t="shared" si="57"/>
        <v>-0.67506065257177283</v>
      </c>
      <c r="U275" s="3">
        <f t="shared" si="58"/>
        <v>-0.79915999293555862</v>
      </c>
      <c r="V275" s="3">
        <f t="shared" si="59"/>
        <v>-0.73383963368761673</v>
      </c>
      <c r="W275" s="3">
        <f t="shared" si="60"/>
        <v>-0.24893718650207278</v>
      </c>
      <c r="X275" s="3">
        <f t="shared" si="61"/>
        <v>-0.45317794022907126</v>
      </c>
      <c r="Y275" s="3">
        <f t="shared" si="62"/>
        <v>-0.3543810504652613</v>
      </c>
      <c r="Z275" s="3">
        <f t="shared" si="63"/>
        <v>-0.68123675972247055</v>
      </c>
      <c r="AA275" s="3">
        <f t="shared" si="64"/>
        <v>-0.40748871794312863</v>
      </c>
      <c r="AB275" s="3">
        <f t="shared" si="65"/>
        <v>0.15698560270281764</v>
      </c>
    </row>
    <row r="276" spans="1:28" x14ac:dyDescent="0.25">
      <c r="A276" s="3">
        <v>1.2376623378635799E+18</v>
      </c>
      <c r="B276" s="3">
        <v>235.80287999999999</v>
      </c>
      <c r="C276" s="3">
        <v>35.648170999999998</v>
      </c>
      <c r="D276" s="16">
        <v>0.4320888</v>
      </c>
      <c r="E276" s="3">
        <v>2.3400199999999991</v>
      </c>
      <c r="F276" s="3">
        <v>4.1237400000000015</v>
      </c>
      <c r="G276" s="3">
        <v>4.973510000000001</v>
      </c>
      <c r="H276" s="3">
        <v>5.2908800000000014</v>
      </c>
      <c r="I276" s="3">
        <v>1.7837200000000024</v>
      </c>
      <c r="J276" s="3">
        <v>2.6334900000000019</v>
      </c>
      <c r="K276" s="3">
        <v>2.9508600000000023</v>
      </c>
      <c r="L276" s="3">
        <v>0.84976999999999947</v>
      </c>
      <c r="M276" s="3">
        <v>1.1671399999999998</v>
      </c>
      <c r="N276" s="3">
        <v>0.31737000000000037</v>
      </c>
      <c r="P276" s="3">
        <f t="shared" si="53"/>
        <v>-1.4260358091004945</v>
      </c>
      <c r="Q276" s="3">
        <f t="shared" si="54"/>
        <v>-1.5551306828182641</v>
      </c>
      <c r="R276" s="3">
        <f t="shared" si="55"/>
        <v>0.34604036195325222</v>
      </c>
      <c r="S276" s="3">
        <f t="shared" si="56"/>
        <v>0.52610077664131116</v>
      </c>
      <c r="T276" s="3">
        <f t="shared" si="57"/>
        <v>0.87534559639863896</v>
      </c>
      <c r="U276" s="3">
        <f t="shared" si="58"/>
        <v>0.90925607965768629</v>
      </c>
      <c r="V276" s="3">
        <f t="shared" si="59"/>
        <v>0.78615852879192905</v>
      </c>
      <c r="W276" s="3">
        <f t="shared" si="60"/>
        <v>0.88451921234940312</v>
      </c>
      <c r="X276" s="3">
        <f t="shared" si="61"/>
        <v>0.75194722399158231</v>
      </c>
      <c r="Y276" s="3">
        <f t="shared" si="62"/>
        <v>0.53489792157904448</v>
      </c>
      <c r="Z276" s="3">
        <f t="shared" si="63"/>
        <v>0.41511644987066842</v>
      </c>
      <c r="AA276" s="3">
        <f t="shared" si="64"/>
        <v>8.7786718703256827E-2</v>
      </c>
      <c r="AB276" s="3">
        <f t="shared" si="65"/>
        <v>-0.53101347569693402</v>
      </c>
    </row>
    <row r="277" spans="1:28" x14ac:dyDescent="0.25">
      <c r="A277" s="3">
        <v>1.2376614659862001E+18</v>
      </c>
      <c r="B277" s="3">
        <v>236.13230999999999</v>
      </c>
      <c r="C277" s="3">
        <v>35.823276</v>
      </c>
      <c r="D277" s="16">
        <v>0.43414989999999998</v>
      </c>
      <c r="E277" s="3">
        <v>1.5897800000000011</v>
      </c>
      <c r="F277" s="3">
        <v>3.2658500000000004</v>
      </c>
      <c r="G277" s="3">
        <v>3.9835199999999986</v>
      </c>
      <c r="H277" s="3">
        <v>4.4353699999999989</v>
      </c>
      <c r="I277" s="3">
        <v>1.6760699999999993</v>
      </c>
      <c r="J277" s="3">
        <v>2.3937399999999975</v>
      </c>
      <c r="K277" s="3">
        <v>2.8455899999999978</v>
      </c>
      <c r="L277" s="3">
        <v>0.71766999999999825</v>
      </c>
      <c r="M277" s="3">
        <v>1.1695199999999986</v>
      </c>
      <c r="N277" s="3">
        <v>0.45185000000000031</v>
      </c>
      <c r="P277" s="3">
        <f t="shared" si="53"/>
        <v>-0.41245645506075407</v>
      </c>
      <c r="Q277" s="3">
        <f t="shared" si="54"/>
        <v>-0.93524877015687358</v>
      </c>
      <c r="R277" s="3">
        <f t="shared" si="55"/>
        <v>0.35411359506360934</v>
      </c>
      <c r="S277" s="3">
        <f t="shared" si="56"/>
        <v>-0.21240363464163506</v>
      </c>
      <c r="T277" s="3">
        <f t="shared" si="57"/>
        <v>0.11223549299512314</v>
      </c>
      <c r="U277" s="3">
        <f t="shared" si="58"/>
        <v>0.10780282032299657</v>
      </c>
      <c r="V277" s="3">
        <f t="shared" si="59"/>
        <v>0.13135205512879611</v>
      </c>
      <c r="W277" s="3">
        <f t="shared" si="60"/>
        <v>0.67273634475408872</v>
      </c>
      <c r="X277" s="3">
        <f t="shared" si="61"/>
        <v>0.44570993425369004</v>
      </c>
      <c r="Y277" s="3">
        <f t="shared" si="62"/>
        <v>0.42060300132032358</v>
      </c>
      <c r="Z277" s="3">
        <f t="shared" si="63"/>
        <v>2.0854297675820296E-2</v>
      </c>
      <c r="AA277" s="3">
        <f t="shared" si="64"/>
        <v>9.2639162055874025E-2</v>
      </c>
      <c r="AB277" s="3">
        <f t="shared" si="65"/>
        <v>0.21261388375651463</v>
      </c>
    </row>
    <row r="278" spans="1:28" x14ac:dyDescent="0.25">
      <c r="A278" s="3">
        <v>1.2376614659862001E+18</v>
      </c>
      <c r="B278" s="3">
        <v>236.13230999999999</v>
      </c>
      <c r="C278" s="3">
        <v>35.823276</v>
      </c>
      <c r="D278" s="16">
        <v>0.4342068</v>
      </c>
      <c r="E278" s="3">
        <v>1.5897800000000011</v>
      </c>
      <c r="F278" s="3">
        <v>3.2658500000000004</v>
      </c>
      <c r="G278" s="3">
        <v>3.9835199999999986</v>
      </c>
      <c r="H278" s="3">
        <v>4.4353699999999989</v>
      </c>
      <c r="I278" s="3">
        <v>1.6760699999999993</v>
      </c>
      <c r="J278" s="3">
        <v>2.3937399999999975</v>
      </c>
      <c r="K278" s="3">
        <v>2.8455899999999978</v>
      </c>
      <c r="L278" s="3">
        <v>0.71766999999999825</v>
      </c>
      <c r="M278" s="3">
        <v>1.1695199999999986</v>
      </c>
      <c r="N278" s="3">
        <v>0.45185000000000031</v>
      </c>
      <c r="P278" s="3">
        <f t="shared" si="53"/>
        <v>-0.41245645506075407</v>
      </c>
      <c r="Q278" s="3">
        <f t="shared" si="54"/>
        <v>-0.93524877015687358</v>
      </c>
      <c r="R278" s="3">
        <f t="shared" si="55"/>
        <v>0.35433646972470267</v>
      </c>
      <c r="S278" s="3">
        <f t="shared" si="56"/>
        <v>-0.21240363464163506</v>
      </c>
      <c r="T278" s="3">
        <f t="shared" si="57"/>
        <v>0.11223549299512314</v>
      </c>
      <c r="U278" s="3">
        <f t="shared" si="58"/>
        <v>0.10780282032299657</v>
      </c>
      <c r="V278" s="3">
        <f t="shared" si="59"/>
        <v>0.13135205512879611</v>
      </c>
      <c r="W278" s="3">
        <f t="shared" si="60"/>
        <v>0.67273634475408872</v>
      </c>
      <c r="X278" s="3">
        <f t="shared" si="61"/>
        <v>0.44570993425369004</v>
      </c>
      <c r="Y278" s="3">
        <f t="shared" si="62"/>
        <v>0.42060300132032358</v>
      </c>
      <c r="Z278" s="3">
        <f t="shared" si="63"/>
        <v>2.0854297675820296E-2</v>
      </c>
      <c r="AA278" s="3">
        <f t="shared" si="64"/>
        <v>9.2639162055874025E-2</v>
      </c>
      <c r="AB278" s="3">
        <f t="shared" si="65"/>
        <v>0.21261388375651463</v>
      </c>
    </row>
    <row r="279" spans="1:28" x14ac:dyDescent="0.25">
      <c r="A279" s="3">
        <v>1.2376625032186399E+18</v>
      </c>
      <c r="B279" s="3">
        <v>235.82968</v>
      </c>
      <c r="C279" s="3">
        <v>36.437640000000002</v>
      </c>
      <c r="D279" s="16">
        <v>0.43452550000000001</v>
      </c>
      <c r="E279" s="3">
        <v>4.9469399999999979</v>
      </c>
      <c r="F279" s="3">
        <v>6.8541999999999987</v>
      </c>
      <c r="G279" s="3">
        <v>7.6249299999999991</v>
      </c>
      <c r="H279" s="3">
        <v>8.0661899999999989</v>
      </c>
      <c r="I279" s="3">
        <v>1.9072600000000008</v>
      </c>
      <c r="J279" s="3">
        <v>2.6779900000000012</v>
      </c>
      <c r="K279" s="3">
        <v>3.119250000000001</v>
      </c>
      <c r="L279" s="3">
        <v>0.77073000000000036</v>
      </c>
      <c r="M279" s="3">
        <v>1.2119900000000001</v>
      </c>
      <c r="N279" s="3">
        <v>0.44125999999999976</v>
      </c>
      <c r="P279" s="3">
        <f t="shared" si="53"/>
        <v>-1.343578453400426</v>
      </c>
      <c r="Q279" s="3">
        <f t="shared" si="54"/>
        <v>1.2396356214384503</v>
      </c>
      <c r="R279" s="3">
        <f t="shared" si="55"/>
        <v>0.35558480284404231</v>
      </c>
      <c r="S279" s="3">
        <f t="shared" si="56"/>
        <v>3.0922421712107053</v>
      </c>
      <c r="T279" s="3">
        <f t="shared" si="57"/>
        <v>3.3041437091393853</v>
      </c>
      <c r="U279" s="3">
        <f t="shared" si="58"/>
        <v>3.0557314994752365</v>
      </c>
      <c r="V279" s="3">
        <f t="shared" si="59"/>
        <v>2.9103779469425324</v>
      </c>
      <c r="W279" s="3">
        <f t="shared" si="60"/>
        <v>1.1275629231039228</v>
      </c>
      <c r="X279" s="3">
        <f t="shared" si="61"/>
        <v>0.80878793053312881</v>
      </c>
      <c r="Y279" s="3">
        <f t="shared" si="62"/>
        <v>0.71772419328385173</v>
      </c>
      <c r="Z279" s="3">
        <f t="shared" si="63"/>
        <v>0.17921576471184816</v>
      </c>
      <c r="AA279" s="3">
        <f t="shared" si="64"/>
        <v>0.17922877095745865</v>
      </c>
      <c r="AB279" s="3">
        <f t="shared" si="65"/>
        <v>0.15405488809461376</v>
      </c>
    </row>
    <row r="280" spans="1:28" x14ac:dyDescent="0.25">
      <c r="A280" s="3">
        <v>1.2376623378635799E+18</v>
      </c>
      <c r="B280" s="3">
        <v>235.87531000000001</v>
      </c>
      <c r="C280" s="3">
        <v>35.724463999999998</v>
      </c>
      <c r="D280" s="16">
        <v>0.44769350000000002</v>
      </c>
      <c r="E280" s="3">
        <v>5.2291899999999991</v>
      </c>
      <c r="F280" s="3">
        <v>6.9578600000000002</v>
      </c>
      <c r="G280" s="3">
        <v>7.7301900000000003</v>
      </c>
      <c r="H280" s="3">
        <v>8.1302500000000002</v>
      </c>
      <c r="I280" s="3">
        <v>1.728670000000001</v>
      </c>
      <c r="J280" s="3">
        <v>2.5010000000000012</v>
      </c>
      <c r="K280" s="3">
        <v>2.9010600000000011</v>
      </c>
      <c r="L280" s="3">
        <v>0.77233000000000018</v>
      </c>
      <c r="M280" s="3">
        <v>1.17239</v>
      </c>
      <c r="N280" s="3">
        <v>0.40005999999999986</v>
      </c>
      <c r="P280" s="3">
        <f t="shared" si="53"/>
        <v>-1.2031855750200411</v>
      </c>
      <c r="Q280" s="3">
        <f t="shared" si="54"/>
        <v>-1.2850490131761936</v>
      </c>
      <c r="R280" s="3">
        <f t="shared" si="55"/>
        <v>0.40716324813887667</v>
      </c>
      <c r="S280" s="3">
        <f t="shared" si="56"/>
        <v>3.3700770908159154</v>
      </c>
      <c r="T280" s="3">
        <f t="shared" si="57"/>
        <v>3.3963513270377281</v>
      </c>
      <c r="U280" s="3">
        <f t="shared" si="58"/>
        <v>3.1409454613107806</v>
      </c>
      <c r="V280" s="3">
        <f t="shared" si="59"/>
        <v>2.9594094050235147</v>
      </c>
      <c r="W280" s="3">
        <f t="shared" si="60"/>
        <v>0.77621780165621213</v>
      </c>
      <c r="X280" s="3">
        <f t="shared" si="61"/>
        <v>0.58271519680754558</v>
      </c>
      <c r="Y280" s="3">
        <f t="shared" si="62"/>
        <v>0.48082850931644167</v>
      </c>
      <c r="Z280" s="3">
        <f t="shared" si="63"/>
        <v>0.18399108222518412</v>
      </c>
      <c r="AA280" s="3">
        <f t="shared" si="64"/>
        <v>9.8490637863448013E-2</v>
      </c>
      <c r="AB280" s="3">
        <f t="shared" si="65"/>
        <v>-7.3766700316168721E-2</v>
      </c>
    </row>
    <row r="281" spans="1:28" x14ac:dyDescent="0.25">
      <c r="A281" s="3">
        <v>1.2376614659861299E+18</v>
      </c>
      <c r="B281" s="3">
        <v>235.91544999999999</v>
      </c>
      <c r="C281" s="3">
        <v>35.993147</v>
      </c>
      <c r="D281" s="16">
        <v>0.44975949999999998</v>
      </c>
      <c r="E281" s="3">
        <v>1.2729299999999988</v>
      </c>
      <c r="F281" s="3">
        <v>2.7098099999999974</v>
      </c>
      <c r="G281" s="3">
        <v>3.2682599999999979</v>
      </c>
      <c r="H281" s="3">
        <v>3.6395499999999998</v>
      </c>
      <c r="I281" s="3">
        <v>1.4368799999999986</v>
      </c>
      <c r="J281" s="3">
        <v>1.9953299999999992</v>
      </c>
      <c r="K281" s="3">
        <v>2.3666200000000011</v>
      </c>
      <c r="L281" s="3">
        <v>0.55845000000000056</v>
      </c>
      <c r="M281" s="3">
        <v>0.92974000000000245</v>
      </c>
      <c r="N281" s="3">
        <v>0.3712900000000019</v>
      </c>
      <c r="P281" s="3">
        <f t="shared" si="53"/>
        <v>-1.0796841474902645</v>
      </c>
      <c r="Q281" s="3">
        <f t="shared" si="54"/>
        <v>-0.33389552275844309</v>
      </c>
      <c r="R281" s="3">
        <f t="shared" si="55"/>
        <v>0.41525567432198157</v>
      </c>
      <c r="S281" s="3">
        <f t="shared" si="56"/>
        <v>-0.52429732561386233</v>
      </c>
      <c r="T281" s="3">
        <f t="shared" si="57"/>
        <v>-0.38237307208489013</v>
      </c>
      <c r="U281" s="3">
        <f t="shared" si="58"/>
        <v>-0.47124086524123066</v>
      </c>
      <c r="V281" s="3">
        <f t="shared" si="59"/>
        <v>-0.47776775395653587</v>
      </c>
      <c r="W281" s="3">
        <f t="shared" si="60"/>
        <v>0.20217114178035978</v>
      </c>
      <c r="X281" s="3">
        <f t="shared" si="61"/>
        <v>-6.3186827391652919E-2</v>
      </c>
      <c r="Y281" s="3">
        <f t="shared" si="62"/>
        <v>-9.9429657141886896E-2</v>
      </c>
      <c r="Z281" s="3">
        <f t="shared" si="63"/>
        <v>-0.45434948637007094</v>
      </c>
      <c r="AA281" s="3">
        <f t="shared" si="64"/>
        <v>-0.39623431151184102</v>
      </c>
      <c r="AB281" s="3">
        <f t="shared" si="65"/>
        <v>-0.23285473668941542</v>
      </c>
    </row>
    <row r="282" spans="1:28" x14ac:dyDescent="0.25">
      <c r="A282" s="3">
        <v>1.23766247369087E+18</v>
      </c>
      <c r="B282" s="3">
        <v>236.18389999999999</v>
      </c>
      <c r="C282" s="3">
        <v>36.330131000000002</v>
      </c>
      <c r="D282" s="16">
        <v>0.45221420000000001</v>
      </c>
      <c r="E282" s="3">
        <v>-1.9610000000000127E-2</v>
      </c>
      <c r="F282" s="3">
        <v>1.8127099999999992</v>
      </c>
      <c r="G282" s="3">
        <v>2.6504300000000001</v>
      </c>
      <c r="H282" s="3">
        <v>3.2502700000000004</v>
      </c>
      <c r="I282" s="3">
        <v>1.8323199999999993</v>
      </c>
      <c r="J282" s="3">
        <v>2.6700400000000002</v>
      </c>
      <c r="K282" s="3">
        <v>3.2698800000000006</v>
      </c>
      <c r="L282" s="3">
        <v>0.83772000000000091</v>
      </c>
      <c r="M282" s="3">
        <v>1.4375600000000013</v>
      </c>
      <c r="N282" s="3">
        <v>0.59984000000000037</v>
      </c>
      <c r="P282" s="3">
        <f t="shared" si="53"/>
        <v>-0.25372604533815929</v>
      </c>
      <c r="Q282" s="3">
        <f t="shared" si="54"/>
        <v>0.8590474911833873</v>
      </c>
      <c r="R282" s="3">
        <f t="shared" si="55"/>
        <v>0.42487062037796813</v>
      </c>
      <c r="S282" s="3">
        <f t="shared" si="56"/>
        <v>-1.7966188384093158</v>
      </c>
      <c r="T282" s="3">
        <f t="shared" si="57"/>
        <v>-1.1803612451179033</v>
      </c>
      <c r="U282" s="3">
        <f t="shared" si="58"/>
        <v>-0.97140941968597094</v>
      </c>
      <c r="V282" s="3">
        <f t="shared" si="59"/>
        <v>-0.77572226537964406</v>
      </c>
      <c r="W282" s="3">
        <f t="shared" si="60"/>
        <v>0.98013135693956865</v>
      </c>
      <c r="X282" s="3">
        <f t="shared" si="61"/>
        <v>0.79863324251053647</v>
      </c>
      <c r="Y282" s="3">
        <f t="shared" si="62"/>
        <v>0.88126787941067197</v>
      </c>
      <c r="Z282" s="3">
        <f t="shared" si="63"/>
        <v>0.37915233984835722</v>
      </c>
      <c r="AA282" s="3">
        <f t="shared" si="64"/>
        <v>0.63913030333160092</v>
      </c>
      <c r="AB282" s="3">
        <f t="shared" si="65"/>
        <v>1.0309468174679659</v>
      </c>
    </row>
    <row r="283" spans="1:28" x14ac:dyDescent="0.25">
      <c r="A283" s="3">
        <v>1.2376625037558999E+18</v>
      </c>
      <c r="B283" s="3">
        <v>236.84650999999999</v>
      </c>
      <c r="C283" s="3">
        <v>36.171221000000003</v>
      </c>
      <c r="D283" s="16">
        <v>0.45268340000000001</v>
      </c>
      <c r="E283" s="3">
        <v>3.5034999999999989</v>
      </c>
      <c r="F283" s="3">
        <v>5.6902499999999989</v>
      </c>
      <c r="G283" s="3">
        <v>6.4008399999999988</v>
      </c>
      <c r="H283" s="3">
        <v>6.7363999999999997</v>
      </c>
      <c r="I283" s="3">
        <v>2.18675</v>
      </c>
      <c r="J283" s="3">
        <v>2.8973399999999998</v>
      </c>
      <c r="K283" s="3">
        <v>3.2329000000000008</v>
      </c>
      <c r="L283" s="3">
        <v>0.71058999999999983</v>
      </c>
      <c r="M283" s="3">
        <v>1.0461500000000008</v>
      </c>
      <c r="N283" s="3">
        <v>0.33556000000000097</v>
      </c>
      <c r="P283" s="3">
        <f t="shared" si="53"/>
        <v>1.7849705390053097</v>
      </c>
      <c r="Q283" s="3">
        <f t="shared" si="54"/>
        <v>0.2964968230641466</v>
      </c>
      <c r="R283" s="3">
        <f t="shared" si="55"/>
        <v>0.42670845501742261</v>
      </c>
      <c r="S283" s="3">
        <f t="shared" si="56"/>
        <v>1.6713811035226882</v>
      </c>
      <c r="T283" s="3">
        <f t="shared" si="57"/>
        <v>2.2687871892399563</v>
      </c>
      <c r="U283" s="3">
        <f t="shared" si="58"/>
        <v>2.0647609641981139</v>
      </c>
      <c r="V283" s="3">
        <f t="shared" si="59"/>
        <v>1.8925580493229901</v>
      </c>
      <c r="W283" s="3">
        <f t="shared" si="60"/>
        <v>1.6774114476205277</v>
      </c>
      <c r="X283" s="3">
        <f t="shared" si="61"/>
        <v>1.0889679076092706</v>
      </c>
      <c r="Y283" s="3">
        <f t="shared" si="62"/>
        <v>0.84111754074659573</v>
      </c>
      <c r="Z283" s="3">
        <f t="shared" si="63"/>
        <v>-2.7648232068898832E-4</v>
      </c>
      <c r="AA283" s="3">
        <f t="shared" si="64"/>
        <v>-0.15889274399988076</v>
      </c>
      <c r="AB283" s="3">
        <f t="shared" si="65"/>
        <v>-0.43042913848352921</v>
      </c>
    </row>
    <row r="284" spans="1:28" x14ac:dyDescent="0.25">
      <c r="A284" s="3">
        <v>1.2376624736911301E+18</v>
      </c>
      <c r="B284" s="3">
        <v>236.85522</v>
      </c>
      <c r="C284" s="3">
        <v>36.073076999999998</v>
      </c>
      <c r="D284" s="16">
        <v>0.45321679999999998</v>
      </c>
      <c r="E284" s="3">
        <v>2.8410000000000011</v>
      </c>
      <c r="F284" s="3">
        <v>3.8013399999999997</v>
      </c>
      <c r="G284" s="3">
        <v>4.5282599999999995</v>
      </c>
      <c r="H284" s="3">
        <v>4.9054400000000022</v>
      </c>
      <c r="I284" s="3">
        <v>0.96033999999999864</v>
      </c>
      <c r="J284" s="3">
        <v>1.6872599999999984</v>
      </c>
      <c r="K284" s="3">
        <v>2.0644400000000012</v>
      </c>
      <c r="L284" s="3">
        <v>0.72691999999999979</v>
      </c>
      <c r="M284" s="3">
        <v>1.1041000000000025</v>
      </c>
      <c r="N284" s="3">
        <v>0.37718000000000274</v>
      </c>
      <c r="P284" s="3">
        <f t="shared" si="53"/>
        <v>1.8117691796078472</v>
      </c>
      <c r="Q284" s="3">
        <f t="shared" si="54"/>
        <v>-5.0938660995370998E-2</v>
      </c>
      <c r="R284" s="3">
        <f t="shared" si="55"/>
        <v>0.42879775807941095</v>
      </c>
      <c r="S284" s="3">
        <f t="shared" si="56"/>
        <v>1.0192442240241923</v>
      </c>
      <c r="T284" s="3">
        <f t="shared" si="57"/>
        <v>0.58856442709104173</v>
      </c>
      <c r="U284" s="3">
        <f t="shared" si="58"/>
        <v>0.54880085918195332</v>
      </c>
      <c r="V284" s="3">
        <f t="shared" si="59"/>
        <v>0.49114314941738441</v>
      </c>
      <c r="W284" s="3">
        <f t="shared" si="60"/>
        <v>-0.73533938050359926</v>
      </c>
      <c r="X284" s="3">
        <f t="shared" si="61"/>
        <v>-0.45669056816141723</v>
      </c>
      <c r="Y284" s="3">
        <f t="shared" si="62"/>
        <v>-0.42751590207186529</v>
      </c>
      <c r="Z284" s="3">
        <f t="shared" si="63"/>
        <v>4.8461602049801503E-2</v>
      </c>
      <c r="AA284" s="3">
        <f t="shared" si="64"/>
        <v>-4.0741864888819021E-2</v>
      </c>
      <c r="AB284" s="3">
        <f t="shared" si="65"/>
        <v>-0.20028509698699543</v>
      </c>
    </row>
    <row r="285" spans="1:28" x14ac:dyDescent="0.25">
      <c r="A285" s="3">
        <v>1.23766247422787E+18</v>
      </c>
      <c r="B285" s="3">
        <v>236.71001999999999</v>
      </c>
      <c r="C285" s="3">
        <v>36.484735999999998</v>
      </c>
      <c r="D285" s="16">
        <v>0.45355210000000001</v>
      </c>
      <c r="E285" s="3">
        <v>0.82239000000000217</v>
      </c>
      <c r="F285" s="3">
        <v>2.7314500000000024</v>
      </c>
      <c r="G285" s="3">
        <v>3.4808100000000017</v>
      </c>
      <c r="H285" s="3">
        <v>3.854140000000001</v>
      </c>
      <c r="I285" s="3">
        <v>1.9090600000000002</v>
      </c>
      <c r="J285" s="3">
        <v>2.6584199999999996</v>
      </c>
      <c r="K285" s="3">
        <v>3.0317499999999988</v>
      </c>
      <c r="L285" s="3">
        <v>0.74935999999999936</v>
      </c>
      <c r="M285" s="3">
        <v>1.1226899999999986</v>
      </c>
      <c r="N285" s="3">
        <v>0.37332999999999927</v>
      </c>
      <c r="P285" s="3">
        <f t="shared" si="53"/>
        <v>1.3650226106657761</v>
      </c>
      <c r="Q285" s="3">
        <f t="shared" si="54"/>
        <v>1.4063582082217985</v>
      </c>
      <c r="R285" s="3">
        <f t="shared" si="55"/>
        <v>0.43011111262887636</v>
      </c>
      <c r="S285" s="3">
        <f t="shared" si="56"/>
        <v>-0.9677897779749961</v>
      </c>
      <c r="T285" s="3">
        <f t="shared" si="57"/>
        <v>-0.36312386456684487</v>
      </c>
      <c r="U285" s="3">
        <f t="shared" si="58"/>
        <v>-0.29916954101412641</v>
      </c>
      <c r="V285" s="3">
        <f t="shared" si="59"/>
        <v>-0.31352078877392892</v>
      </c>
      <c r="W285" s="3">
        <f t="shared" si="60"/>
        <v>1.1311041136442983</v>
      </c>
      <c r="X285" s="3">
        <f t="shared" si="61"/>
        <v>0.78379079284732711</v>
      </c>
      <c r="Y285" s="3">
        <f t="shared" si="62"/>
        <v>0.62272271591482065</v>
      </c>
      <c r="Z285" s="3">
        <f t="shared" si="63"/>
        <v>0.11543543017434459</v>
      </c>
      <c r="AA285" s="3">
        <f t="shared" si="64"/>
        <v>-2.8397968530275964E-3</v>
      </c>
      <c r="AB285" s="3">
        <f t="shared" si="65"/>
        <v>-0.22157425027297367</v>
      </c>
    </row>
    <row r="286" spans="1:28" x14ac:dyDescent="0.25">
      <c r="A286" s="3">
        <v>1.2376614659864E+18</v>
      </c>
      <c r="B286" s="3">
        <v>236.63032999999999</v>
      </c>
      <c r="C286" s="3">
        <v>35.652290999999998</v>
      </c>
      <c r="D286" s="16">
        <v>0.45419219999999999</v>
      </c>
      <c r="E286" s="3">
        <v>1.3971500000000034</v>
      </c>
      <c r="F286" s="3">
        <v>3.0092300000000023</v>
      </c>
      <c r="G286" s="3">
        <v>3.8341300000000018</v>
      </c>
      <c r="H286" s="3">
        <v>4.063760000000002</v>
      </c>
      <c r="I286" s="3">
        <v>1.6120799999999988</v>
      </c>
      <c r="J286" s="3">
        <v>2.4369799999999984</v>
      </c>
      <c r="K286" s="3">
        <v>2.6666099999999986</v>
      </c>
      <c r="L286" s="3">
        <v>0.82489999999999952</v>
      </c>
      <c r="M286" s="3">
        <v>1.0545299999999997</v>
      </c>
      <c r="N286" s="3">
        <v>0.22963000000000022</v>
      </c>
      <c r="P286" s="3">
        <f t="shared" si="53"/>
        <v>1.1198350481383021</v>
      </c>
      <c r="Q286" s="3">
        <f t="shared" si="54"/>
        <v>-1.5405456425272095</v>
      </c>
      <c r="R286" s="3">
        <f t="shared" si="55"/>
        <v>0.43261835464233489</v>
      </c>
      <c r="S286" s="3">
        <f t="shared" si="56"/>
        <v>-0.40202043026094697</v>
      </c>
      <c r="T286" s="3">
        <f t="shared" si="57"/>
        <v>-0.11603306676825967</v>
      </c>
      <c r="U286" s="3">
        <f t="shared" si="58"/>
        <v>-1.3136888575079617E-2</v>
      </c>
      <c r="V286" s="3">
        <f t="shared" si="59"/>
        <v>-0.15307785647709288</v>
      </c>
      <c r="W286" s="3">
        <f t="shared" si="60"/>
        <v>0.5468470210436952</v>
      </c>
      <c r="X286" s="3">
        <f t="shared" si="61"/>
        <v>0.50094121854260132</v>
      </c>
      <c r="Y286" s="3">
        <f t="shared" si="62"/>
        <v>0.22627883652593839</v>
      </c>
      <c r="Z286" s="3">
        <f t="shared" si="63"/>
        <v>0.34089010827274441</v>
      </c>
      <c r="AA286" s="3">
        <f t="shared" si="64"/>
        <v>-0.14180725017847365</v>
      </c>
      <c r="AB286" s="3">
        <f t="shared" si="65"/>
        <v>-1.0161849846086364</v>
      </c>
    </row>
    <row r="287" spans="1:28" x14ac:dyDescent="0.25">
      <c r="A287" s="3">
        <v>1.2376624736911301E+18</v>
      </c>
      <c r="B287" s="3">
        <v>236.76074</v>
      </c>
      <c r="C287" s="3">
        <v>35.896242999999998</v>
      </c>
      <c r="D287" s="16">
        <v>0.45424239999999999</v>
      </c>
      <c r="E287" s="3">
        <v>2.5752600000000001</v>
      </c>
      <c r="F287" s="3">
        <v>4.2720300000000009</v>
      </c>
      <c r="G287" s="3">
        <v>5.1330099999999987</v>
      </c>
      <c r="H287" s="3">
        <v>5.4905700000000017</v>
      </c>
      <c r="I287" s="3">
        <v>1.6967700000000008</v>
      </c>
      <c r="J287" s="3">
        <v>2.5577499999999986</v>
      </c>
      <c r="K287" s="3">
        <v>2.9153100000000016</v>
      </c>
      <c r="L287" s="3">
        <v>0.86097999999999786</v>
      </c>
      <c r="M287" s="3">
        <v>1.2185400000000008</v>
      </c>
      <c r="N287" s="3">
        <v>0.35756000000000299</v>
      </c>
      <c r="P287" s="3">
        <f t="shared" si="53"/>
        <v>1.5210762330951482</v>
      </c>
      <c r="Q287" s="3">
        <f t="shared" si="54"/>
        <v>-0.67694133449734251</v>
      </c>
      <c r="R287" s="3">
        <f t="shared" si="55"/>
        <v>0.4328149857141606</v>
      </c>
      <c r="S287" s="3">
        <f t="shared" si="56"/>
        <v>0.75766104763486175</v>
      </c>
      <c r="T287" s="3">
        <f t="shared" si="57"/>
        <v>1.0072524810035495</v>
      </c>
      <c r="U287" s="3">
        <f t="shared" si="58"/>
        <v>1.0383804090588731</v>
      </c>
      <c r="V287" s="3">
        <f t="shared" si="59"/>
        <v>0.93900104930693284</v>
      </c>
      <c r="W287" s="3">
        <f t="shared" si="60"/>
        <v>0.71346003596842411</v>
      </c>
      <c r="X287" s="3">
        <f t="shared" si="61"/>
        <v>0.65520306413861662</v>
      </c>
      <c r="Y287" s="3">
        <f t="shared" si="62"/>
        <v>0.49630017848796981</v>
      </c>
      <c r="Z287" s="3">
        <f t="shared" si="63"/>
        <v>0.44857351819847746</v>
      </c>
      <c r="AA287" s="3">
        <f t="shared" si="64"/>
        <v>0.19258318438588862</v>
      </c>
      <c r="AB287" s="3">
        <f t="shared" si="65"/>
        <v>-0.30877683399232325</v>
      </c>
    </row>
    <row r="288" spans="1:28" x14ac:dyDescent="0.25">
      <c r="A288" s="3">
        <v>1.2376624736909399E+18</v>
      </c>
      <c r="B288" s="3">
        <v>236.30473000000001</v>
      </c>
      <c r="C288" s="3">
        <v>36.326898999999997</v>
      </c>
      <c r="D288" s="16">
        <v>0.45480150000000003</v>
      </c>
      <c r="E288" s="3">
        <v>0.9015500000000003</v>
      </c>
      <c r="F288" s="3">
        <v>2.4344900000000003</v>
      </c>
      <c r="G288" s="3">
        <v>3.1966399999999986</v>
      </c>
      <c r="H288" s="3">
        <v>3.7712499999999984</v>
      </c>
      <c r="I288" s="3">
        <v>1.53294</v>
      </c>
      <c r="J288" s="3">
        <v>2.2950899999999983</v>
      </c>
      <c r="K288" s="3">
        <v>2.8696999999999981</v>
      </c>
      <c r="L288" s="3">
        <v>0.76214999999999833</v>
      </c>
      <c r="M288" s="3">
        <v>1.3367599999999982</v>
      </c>
      <c r="N288" s="3">
        <v>0.57460999999999984</v>
      </c>
      <c r="P288" s="3">
        <f t="shared" si="53"/>
        <v>0.11803971172292629</v>
      </c>
      <c r="Q288" s="3">
        <f t="shared" si="54"/>
        <v>0.84760602268320651</v>
      </c>
      <c r="R288" s="3">
        <f t="shared" si="55"/>
        <v>0.43500495448423526</v>
      </c>
      <c r="S288" s="3">
        <f t="shared" si="56"/>
        <v>-0.88986803400352454</v>
      </c>
      <c r="T288" s="3">
        <f t="shared" si="57"/>
        <v>-0.62727565128391738</v>
      </c>
      <c r="U288" s="3">
        <f t="shared" si="58"/>
        <v>-0.52922133214852252</v>
      </c>
      <c r="V288" s="3">
        <f t="shared" si="59"/>
        <v>-0.37696470947846611</v>
      </c>
      <c r="W288" s="3">
        <f t="shared" si="60"/>
        <v>0.39115267695180056</v>
      </c>
      <c r="X288" s="3">
        <f t="shared" si="61"/>
        <v>0.31970239042619347</v>
      </c>
      <c r="Y288" s="3">
        <f t="shared" si="62"/>
        <v>0.44677997982737855</v>
      </c>
      <c r="Z288" s="3">
        <f t="shared" si="63"/>
        <v>0.15360812454657513</v>
      </c>
      <c r="AA288" s="3">
        <f t="shared" si="64"/>
        <v>0.4336150554559316</v>
      </c>
      <c r="AB288" s="3">
        <f t="shared" si="65"/>
        <v>0.89143374281737908</v>
      </c>
    </row>
    <row r="289" spans="1:28" x14ac:dyDescent="0.25">
      <c r="A289" s="3">
        <v>1.2376624736909399E+18</v>
      </c>
      <c r="B289" s="3">
        <v>236.30473000000001</v>
      </c>
      <c r="C289" s="3">
        <v>36.326898999999997</v>
      </c>
      <c r="D289" s="16">
        <v>0.45481579999999999</v>
      </c>
      <c r="E289" s="3">
        <v>0.9015500000000003</v>
      </c>
      <c r="F289" s="3">
        <v>2.4344900000000003</v>
      </c>
      <c r="G289" s="3">
        <v>3.1966399999999986</v>
      </c>
      <c r="H289" s="3">
        <v>3.7712499999999984</v>
      </c>
      <c r="I289" s="3">
        <v>1.53294</v>
      </c>
      <c r="J289" s="3">
        <v>2.2950899999999983</v>
      </c>
      <c r="K289" s="3">
        <v>2.8696999999999981</v>
      </c>
      <c r="L289" s="3">
        <v>0.76214999999999833</v>
      </c>
      <c r="M289" s="3">
        <v>1.3367599999999982</v>
      </c>
      <c r="N289" s="3">
        <v>0.57460999999999984</v>
      </c>
      <c r="P289" s="3">
        <f t="shared" si="53"/>
        <v>0.11803971172292629</v>
      </c>
      <c r="Q289" s="3">
        <f t="shared" si="54"/>
        <v>0.84760602268320651</v>
      </c>
      <c r="R289" s="3">
        <f t="shared" si="55"/>
        <v>0.43506096692103013</v>
      </c>
      <c r="S289" s="3">
        <f t="shared" si="56"/>
        <v>-0.88986803400352454</v>
      </c>
      <c r="T289" s="3">
        <f t="shared" si="57"/>
        <v>-0.62727565128391738</v>
      </c>
      <c r="U289" s="3">
        <f t="shared" si="58"/>
        <v>-0.52922133214852252</v>
      </c>
      <c r="V289" s="3">
        <f t="shared" si="59"/>
        <v>-0.37696470947846611</v>
      </c>
      <c r="W289" s="3">
        <f t="shared" si="60"/>
        <v>0.39115267695180056</v>
      </c>
      <c r="X289" s="3">
        <f t="shared" si="61"/>
        <v>0.31970239042619347</v>
      </c>
      <c r="Y289" s="3">
        <f t="shared" si="62"/>
        <v>0.44677997982737855</v>
      </c>
      <c r="Z289" s="3">
        <f t="shared" si="63"/>
        <v>0.15360812454657513</v>
      </c>
      <c r="AA289" s="3">
        <f t="shared" si="64"/>
        <v>0.4336150554559316</v>
      </c>
      <c r="AB289" s="3">
        <f t="shared" si="65"/>
        <v>0.89143374281737908</v>
      </c>
    </row>
    <row r="290" spans="1:28" x14ac:dyDescent="0.25">
      <c r="A290" s="3">
        <v>1.2376624736911301E+18</v>
      </c>
      <c r="B290" s="3">
        <v>236.83976999999999</v>
      </c>
      <c r="C290" s="3">
        <v>36.102243000000001</v>
      </c>
      <c r="D290" s="16">
        <v>0.45706819999999998</v>
      </c>
      <c r="E290" s="3">
        <v>3.2871999999999986</v>
      </c>
      <c r="F290" s="3">
        <v>4.8459700000000012</v>
      </c>
      <c r="G290" s="3">
        <v>5.7600699999999989</v>
      </c>
      <c r="H290" s="3">
        <v>6.2309599999999996</v>
      </c>
      <c r="I290" s="3">
        <v>1.5587700000000027</v>
      </c>
      <c r="J290" s="3">
        <v>2.4728700000000003</v>
      </c>
      <c r="K290" s="3">
        <v>2.943760000000001</v>
      </c>
      <c r="L290" s="3">
        <v>0.91409999999999769</v>
      </c>
      <c r="M290" s="3">
        <v>1.3849899999999984</v>
      </c>
      <c r="N290" s="3">
        <v>0.4708900000000007</v>
      </c>
      <c r="P290" s="3">
        <f t="shared" si="53"/>
        <v>1.7642331294001259</v>
      </c>
      <c r="Q290" s="3">
        <f t="shared" si="54"/>
        <v>5.2310680055336407E-2</v>
      </c>
      <c r="R290" s="3">
        <f t="shared" si="55"/>
        <v>0.44388351325928072</v>
      </c>
      <c r="S290" s="3">
        <f t="shared" si="56"/>
        <v>1.4584645646011405</v>
      </c>
      <c r="T290" s="3">
        <f t="shared" si="57"/>
        <v>1.5177834497144722</v>
      </c>
      <c r="U290" s="3">
        <f t="shared" si="58"/>
        <v>1.546021173913477</v>
      </c>
      <c r="V290" s="3">
        <f t="shared" si="59"/>
        <v>1.5056947934308405</v>
      </c>
      <c r="W290" s="3">
        <f t="shared" si="60"/>
        <v>0.44196876120621187</v>
      </c>
      <c r="X290" s="3">
        <f t="shared" si="61"/>
        <v>0.54678420635779779</v>
      </c>
      <c r="Y290" s="3">
        <f t="shared" si="62"/>
        <v>0.52718923027252773</v>
      </c>
      <c r="Z290" s="3">
        <f t="shared" si="63"/>
        <v>0.60711405964124865</v>
      </c>
      <c r="AA290" s="3">
        <f t="shared" si="64"/>
        <v>0.53194839280755135</v>
      </c>
      <c r="AB290" s="3">
        <f t="shared" si="65"/>
        <v>0.31789842364344173</v>
      </c>
    </row>
    <row r="291" spans="1:28" x14ac:dyDescent="0.25">
      <c r="A291" s="3">
        <v>1.2376624736911301E+18</v>
      </c>
      <c r="B291" s="3">
        <v>236.83976999999999</v>
      </c>
      <c r="C291" s="3">
        <v>36.102243000000001</v>
      </c>
      <c r="D291" s="16">
        <v>0.45709860000000002</v>
      </c>
      <c r="E291" s="3">
        <v>3.2871999999999986</v>
      </c>
      <c r="F291" s="3">
        <v>4.8459700000000012</v>
      </c>
      <c r="G291" s="3">
        <v>5.7600699999999989</v>
      </c>
      <c r="H291" s="3">
        <v>6.2309599999999996</v>
      </c>
      <c r="I291" s="3">
        <v>1.5587700000000027</v>
      </c>
      <c r="J291" s="3">
        <v>2.4728700000000003</v>
      </c>
      <c r="K291" s="3">
        <v>2.943760000000001</v>
      </c>
      <c r="L291" s="3">
        <v>0.91409999999999769</v>
      </c>
      <c r="M291" s="3">
        <v>1.3849899999999984</v>
      </c>
      <c r="N291" s="3">
        <v>0.4708900000000007</v>
      </c>
      <c r="P291" s="3">
        <f t="shared" si="53"/>
        <v>1.7642331294001259</v>
      </c>
      <c r="Q291" s="3">
        <f t="shared" si="54"/>
        <v>5.2310680055336407E-2</v>
      </c>
      <c r="R291" s="3">
        <f t="shared" si="55"/>
        <v>0.44400258864939046</v>
      </c>
      <c r="S291" s="3">
        <f t="shared" si="56"/>
        <v>1.4584645646011405</v>
      </c>
      <c r="T291" s="3">
        <f t="shared" si="57"/>
        <v>1.5177834497144722</v>
      </c>
      <c r="U291" s="3">
        <f t="shared" si="58"/>
        <v>1.546021173913477</v>
      </c>
      <c r="V291" s="3">
        <f t="shared" si="59"/>
        <v>1.5056947934308405</v>
      </c>
      <c r="W291" s="3">
        <f t="shared" si="60"/>
        <v>0.44196876120621187</v>
      </c>
      <c r="X291" s="3">
        <f t="shared" si="61"/>
        <v>0.54678420635779779</v>
      </c>
      <c r="Y291" s="3">
        <f t="shared" si="62"/>
        <v>0.52718923027252773</v>
      </c>
      <c r="Z291" s="3">
        <f t="shared" si="63"/>
        <v>0.60711405964124865</v>
      </c>
      <c r="AA291" s="3">
        <f t="shared" si="64"/>
        <v>0.53194839280755135</v>
      </c>
      <c r="AB291" s="3">
        <f t="shared" si="65"/>
        <v>0.31789842364344173</v>
      </c>
    </row>
    <row r="292" spans="1:28" x14ac:dyDescent="0.25">
      <c r="A292" s="3">
        <v>1.2376623378635799E+18</v>
      </c>
      <c r="B292" s="3">
        <v>235.91431</v>
      </c>
      <c r="C292" s="3">
        <v>35.727079000000003</v>
      </c>
      <c r="D292" s="16">
        <v>0.45992169999999999</v>
      </c>
      <c r="E292" s="3">
        <v>2.9440899999999992</v>
      </c>
      <c r="F292" s="3">
        <v>4.6720600000000019</v>
      </c>
      <c r="G292" s="3">
        <v>5.5614600000000003</v>
      </c>
      <c r="H292" s="3">
        <v>6.0790299999999995</v>
      </c>
      <c r="I292" s="3">
        <v>1.7279700000000027</v>
      </c>
      <c r="J292" s="3">
        <v>2.6173700000000011</v>
      </c>
      <c r="K292" s="3">
        <v>3.1349400000000003</v>
      </c>
      <c r="L292" s="3">
        <v>0.88939999999999841</v>
      </c>
      <c r="M292" s="3">
        <v>1.4069699999999976</v>
      </c>
      <c r="N292" s="3">
        <v>0.5175699999999992</v>
      </c>
      <c r="P292" s="3">
        <f t="shared" si="53"/>
        <v>-1.0831916618744966</v>
      </c>
      <c r="Q292" s="3">
        <f t="shared" si="54"/>
        <v>-1.2757917606613418</v>
      </c>
      <c r="R292" s="3">
        <f t="shared" si="55"/>
        <v>0.4550605404197311</v>
      </c>
      <c r="S292" s="3">
        <f t="shared" si="56"/>
        <v>1.1207216442619266</v>
      </c>
      <c r="T292" s="3">
        <f t="shared" si="57"/>
        <v>1.3630870689629717</v>
      </c>
      <c r="U292" s="3">
        <f t="shared" si="58"/>
        <v>1.3852350732089638</v>
      </c>
      <c r="V292" s="3">
        <f t="shared" si="59"/>
        <v>1.3894077277698433</v>
      </c>
      <c r="W292" s="3">
        <f t="shared" si="60"/>
        <v>0.77484067200162443</v>
      </c>
      <c r="X292" s="3">
        <f t="shared" si="61"/>
        <v>0.73135683771181181</v>
      </c>
      <c r="Y292" s="3">
        <f t="shared" si="62"/>
        <v>0.73475931534008032</v>
      </c>
      <c r="Z292" s="3">
        <f t="shared" si="63"/>
        <v>0.53339509552911868</v>
      </c>
      <c r="AA292" s="3">
        <f t="shared" si="64"/>
        <v>0.57676213435821511</v>
      </c>
      <c r="AB292" s="3">
        <f t="shared" si="65"/>
        <v>0.57602249517293225</v>
      </c>
    </row>
    <row r="293" spans="1:28" x14ac:dyDescent="0.25">
      <c r="A293" s="3">
        <v>1.23766247369107E+18</v>
      </c>
      <c r="B293" s="3">
        <v>236.67248000000001</v>
      </c>
      <c r="C293" s="3">
        <v>36.199789000000003</v>
      </c>
      <c r="D293" s="16">
        <v>0.46114119999999997</v>
      </c>
      <c r="E293" s="3">
        <v>1.6944900000000018</v>
      </c>
      <c r="F293" s="3">
        <v>3.4126499999999993</v>
      </c>
      <c r="G293" s="3">
        <v>4.2579899999999995</v>
      </c>
      <c r="H293" s="3">
        <v>4.7532300000000021</v>
      </c>
      <c r="I293" s="3">
        <v>1.7181599999999975</v>
      </c>
      <c r="J293" s="3">
        <v>2.5634999999999977</v>
      </c>
      <c r="K293" s="3">
        <v>3.0587400000000002</v>
      </c>
      <c r="L293" s="3">
        <v>0.8453400000000002</v>
      </c>
      <c r="M293" s="3">
        <v>1.3405800000000028</v>
      </c>
      <c r="N293" s="3">
        <v>0.49524000000000257</v>
      </c>
      <c r="P293" s="3">
        <f t="shared" si="53"/>
        <v>1.2495207773457084</v>
      </c>
      <c r="Q293" s="3">
        <f t="shared" si="54"/>
        <v>0.3976292092376445</v>
      </c>
      <c r="R293" s="3">
        <f t="shared" si="55"/>
        <v>0.45983726536179137</v>
      </c>
      <c r="S293" s="3">
        <f t="shared" si="56"/>
        <v>-0.10933155516648305</v>
      </c>
      <c r="T293" s="3">
        <f t="shared" si="57"/>
        <v>0.24281699316371719</v>
      </c>
      <c r="U293" s="3">
        <f t="shared" si="58"/>
        <v>0.33000190929318057</v>
      </c>
      <c r="V293" s="3">
        <f t="shared" si="59"/>
        <v>0.37464177204451293</v>
      </c>
      <c r="W293" s="3">
        <f t="shared" si="60"/>
        <v>0.75554118355656097</v>
      </c>
      <c r="X293" s="3">
        <f t="shared" si="61"/>
        <v>0.6625476498153321</v>
      </c>
      <c r="Y293" s="3">
        <f t="shared" si="62"/>
        <v>0.65202660019128034</v>
      </c>
      <c r="Z293" s="3">
        <f t="shared" si="63"/>
        <v>0.40189478950562019</v>
      </c>
      <c r="AA293" s="3">
        <f t="shared" si="64"/>
        <v>0.44140343092107026</v>
      </c>
      <c r="AB293" s="3">
        <f t="shared" si="65"/>
        <v>0.45254540611438815</v>
      </c>
    </row>
    <row r="294" spans="1:28" x14ac:dyDescent="0.25">
      <c r="A294" s="3">
        <v>1.23766247369107E+18</v>
      </c>
      <c r="B294" s="3">
        <v>236.64713</v>
      </c>
      <c r="C294" s="3">
        <v>36.217866999999998</v>
      </c>
      <c r="D294" s="16">
        <v>0.46114240000000001</v>
      </c>
      <c r="E294" s="3">
        <v>1.2464499999999994</v>
      </c>
      <c r="F294" s="3">
        <v>2.9668199999999985</v>
      </c>
      <c r="G294" s="3">
        <v>3.8460999999999999</v>
      </c>
      <c r="H294" s="3">
        <v>4.2323599999999999</v>
      </c>
      <c r="I294" s="3">
        <v>1.7203699999999991</v>
      </c>
      <c r="J294" s="3">
        <v>2.5996500000000005</v>
      </c>
      <c r="K294" s="3">
        <v>2.9859100000000005</v>
      </c>
      <c r="L294" s="3">
        <v>0.87928000000000139</v>
      </c>
      <c r="M294" s="3">
        <v>1.2655400000000014</v>
      </c>
      <c r="N294" s="3">
        <v>0.38626000000000005</v>
      </c>
      <c r="P294" s="3">
        <f t="shared" si="53"/>
        <v>1.1715247338010695</v>
      </c>
      <c r="Q294" s="3">
        <f t="shared" si="54"/>
        <v>0.46162638360211011</v>
      </c>
      <c r="R294" s="3">
        <f t="shared" si="55"/>
        <v>0.45984196570613795</v>
      </c>
      <c r="S294" s="3">
        <f t="shared" si="56"/>
        <v>-0.5503631136427225</v>
      </c>
      <c r="T294" s="3">
        <f t="shared" si="57"/>
        <v>-0.1537575996166971</v>
      </c>
      <c r="U294" s="3">
        <f t="shared" si="58"/>
        <v>-3.4464921930609693E-3</v>
      </c>
      <c r="V294" s="3">
        <f t="shared" si="59"/>
        <v>-2.4031589969860361E-2</v>
      </c>
      <c r="W294" s="3">
        <f t="shared" si="60"/>
        <v>0.75988897860891558</v>
      </c>
      <c r="X294" s="3">
        <f t="shared" si="61"/>
        <v>0.70872274063504215</v>
      </c>
      <c r="Y294" s="3">
        <f t="shared" si="62"/>
        <v>0.57295279908515073</v>
      </c>
      <c r="Z294" s="3">
        <f t="shared" si="63"/>
        <v>0.50319121225727415</v>
      </c>
      <c r="AA294" s="3">
        <f t="shared" si="64"/>
        <v>0.28840874639140729</v>
      </c>
      <c r="AB294" s="3">
        <f t="shared" si="65"/>
        <v>-0.1500758731333717</v>
      </c>
    </row>
    <row r="295" spans="1:28" x14ac:dyDescent="0.25">
      <c r="A295" s="3">
        <v>1.2376625037557701E+18</v>
      </c>
      <c r="B295" s="3">
        <v>236.59676999999999</v>
      </c>
      <c r="C295" s="3">
        <v>36.404626</v>
      </c>
      <c r="D295" s="16">
        <v>0.46420030000000001</v>
      </c>
      <c r="E295" s="3">
        <v>4.0200999999999993</v>
      </c>
      <c r="F295" s="3">
        <v>5.6507499999999986</v>
      </c>
      <c r="G295" s="3">
        <v>6.5203399999999974</v>
      </c>
      <c r="H295" s="3">
        <v>7.1173399999999987</v>
      </c>
      <c r="I295" s="3">
        <v>1.6306499999999993</v>
      </c>
      <c r="J295" s="3">
        <v>2.500239999999998</v>
      </c>
      <c r="K295" s="3">
        <v>3.0972399999999993</v>
      </c>
      <c r="L295" s="3">
        <v>0.86958999999999875</v>
      </c>
      <c r="M295" s="3">
        <v>1.4665900000000001</v>
      </c>
      <c r="N295" s="3">
        <v>0.59700000000000131</v>
      </c>
      <c r="P295" s="3">
        <f t="shared" si="53"/>
        <v>1.0165787474930432</v>
      </c>
      <c r="Q295" s="3">
        <f t="shared" si="54"/>
        <v>1.1227641359605727</v>
      </c>
      <c r="R295" s="3">
        <f t="shared" si="55"/>
        <v>0.4718196181869303</v>
      </c>
      <c r="S295" s="3">
        <f t="shared" si="56"/>
        <v>2.1799002158984231</v>
      </c>
      <c r="T295" s="3">
        <f t="shared" si="57"/>
        <v>2.2336511588812402</v>
      </c>
      <c r="U295" s="3">
        <f t="shared" si="58"/>
        <v>2.1615030166334863</v>
      </c>
      <c r="V295" s="3">
        <f t="shared" si="59"/>
        <v>2.1841291333281245</v>
      </c>
      <c r="W295" s="3">
        <f t="shared" si="60"/>
        <v>0.58338030345191594</v>
      </c>
      <c r="X295" s="3">
        <f t="shared" si="61"/>
        <v>0.58174443417896671</v>
      </c>
      <c r="Y295" s="3">
        <f t="shared" si="62"/>
        <v>0.69382725023365199</v>
      </c>
      <c r="Z295" s="3">
        <f t="shared" si="63"/>
        <v>0.47427069556712215</v>
      </c>
      <c r="AA295" s="3">
        <f t="shared" si="64"/>
        <v>0.69831787918309141</v>
      </c>
      <c r="AB295" s="3">
        <f t="shared" si="65"/>
        <v>1.0152426108881987</v>
      </c>
    </row>
    <row r="296" spans="1:28" x14ac:dyDescent="0.25">
      <c r="A296" s="3">
        <v>1.2376625037557701E+18</v>
      </c>
      <c r="B296" s="3">
        <v>236.59676999999999</v>
      </c>
      <c r="C296" s="3">
        <v>36.404626</v>
      </c>
      <c r="D296" s="16">
        <v>0.46448339999999999</v>
      </c>
      <c r="E296" s="3">
        <v>4.0200999999999993</v>
      </c>
      <c r="F296" s="3">
        <v>5.6507499999999986</v>
      </c>
      <c r="G296" s="3">
        <v>6.5203399999999974</v>
      </c>
      <c r="H296" s="3">
        <v>7.1173399999999987</v>
      </c>
      <c r="I296" s="3">
        <v>1.6306499999999993</v>
      </c>
      <c r="J296" s="3">
        <v>2.500239999999998</v>
      </c>
      <c r="K296" s="3">
        <v>3.0972399999999993</v>
      </c>
      <c r="L296" s="3">
        <v>0.86958999999999875</v>
      </c>
      <c r="M296" s="3">
        <v>1.4665900000000001</v>
      </c>
      <c r="N296" s="3">
        <v>0.59700000000000131</v>
      </c>
      <c r="P296" s="3">
        <f t="shared" si="53"/>
        <v>1.0165787474930432</v>
      </c>
      <c r="Q296" s="3">
        <f t="shared" si="54"/>
        <v>1.1227641359605727</v>
      </c>
      <c r="R296" s="3">
        <f t="shared" si="55"/>
        <v>0.4729285077573257</v>
      </c>
      <c r="S296" s="3">
        <f t="shared" si="56"/>
        <v>2.1799002158984231</v>
      </c>
      <c r="T296" s="3">
        <f t="shared" si="57"/>
        <v>2.2336511588812402</v>
      </c>
      <c r="U296" s="3">
        <f t="shared" si="58"/>
        <v>2.1615030166334863</v>
      </c>
      <c r="V296" s="3">
        <f t="shared" si="59"/>
        <v>2.1841291333281245</v>
      </c>
      <c r="W296" s="3">
        <f t="shared" si="60"/>
        <v>0.58338030345191594</v>
      </c>
      <c r="X296" s="3">
        <f t="shared" si="61"/>
        <v>0.58174443417896671</v>
      </c>
      <c r="Y296" s="3">
        <f t="shared" si="62"/>
        <v>0.69382725023365199</v>
      </c>
      <c r="Z296" s="3">
        <f t="shared" si="63"/>
        <v>0.47427069556712215</v>
      </c>
      <c r="AA296" s="3">
        <f t="shared" si="64"/>
        <v>0.69831787918309141</v>
      </c>
      <c r="AB296" s="3">
        <f t="shared" si="65"/>
        <v>1.0152426108881987</v>
      </c>
    </row>
    <row r="297" spans="1:28" x14ac:dyDescent="0.25">
      <c r="A297" s="3">
        <v>1.2376624736908001E+18</v>
      </c>
      <c r="B297" s="3">
        <v>235.99757</v>
      </c>
      <c r="C297" s="3">
        <v>36.522393999999998</v>
      </c>
      <c r="D297" s="16">
        <v>0.46479520000000002</v>
      </c>
      <c r="E297" s="3">
        <v>3.1723800000000004</v>
      </c>
      <c r="F297" s="3">
        <v>4.6572999999999993</v>
      </c>
      <c r="G297" s="3">
        <v>5.4384699999999988</v>
      </c>
      <c r="H297" s="3">
        <v>5.8481799999999993</v>
      </c>
      <c r="I297" s="3">
        <v>1.4849199999999989</v>
      </c>
      <c r="J297" s="3">
        <v>2.2660899999999984</v>
      </c>
      <c r="K297" s="3">
        <v>2.6757999999999988</v>
      </c>
      <c r="L297" s="3">
        <v>0.78116999999999948</v>
      </c>
      <c r="M297" s="3">
        <v>1.1908799999999999</v>
      </c>
      <c r="N297" s="3">
        <v>0.40971000000000046</v>
      </c>
      <c r="P297" s="3">
        <f t="shared" si="53"/>
        <v>-0.82702004114370742</v>
      </c>
      <c r="Q297" s="3">
        <f t="shared" si="54"/>
        <v>1.5396697245520155</v>
      </c>
      <c r="R297" s="3">
        <f t="shared" si="55"/>
        <v>0.47414981389667343</v>
      </c>
      <c r="S297" s="3">
        <f t="shared" si="56"/>
        <v>1.3454406302554556</v>
      </c>
      <c r="T297" s="3">
        <f t="shared" si="57"/>
        <v>1.3499577573656367</v>
      </c>
      <c r="U297" s="3">
        <f t="shared" si="58"/>
        <v>1.2856676671083218</v>
      </c>
      <c r="V297" s="3">
        <f t="shared" si="59"/>
        <v>1.2127153753191018</v>
      </c>
      <c r="W297" s="3">
        <f t="shared" si="60"/>
        <v>0.29668158264685929</v>
      </c>
      <c r="X297" s="3">
        <f t="shared" si="61"/>
        <v>0.28266013223057851</v>
      </c>
      <c r="Y297" s="3">
        <f t="shared" si="62"/>
        <v>0.23625670597761153</v>
      </c>
      <c r="Z297" s="3">
        <f t="shared" si="63"/>
        <v>0.21037471148636616</v>
      </c>
      <c r="AA297" s="3">
        <f t="shared" si="64"/>
        <v>0.13618882172476732</v>
      </c>
      <c r="AB297" s="3">
        <f t="shared" si="65"/>
        <v>-2.0405575846164033E-2</v>
      </c>
    </row>
    <row r="298" spans="1:28" x14ac:dyDescent="0.25">
      <c r="A298" s="3">
        <v>1.2376623378636401E+18</v>
      </c>
      <c r="B298" s="3">
        <v>235.91072</v>
      </c>
      <c r="C298" s="3">
        <v>35.596209999999999</v>
      </c>
      <c r="D298" s="16">
        <v>0.47092079999999997</v>
      </c>
      <c r="E298" s="3">
        <v>1.4322300000000006</v>
      </c>
      <c r="F298" s="3">
        <v>3.1232499999999987</v>
      </c>
      <c r="G298" s="3">
        <v>3.9817700000000009</v>
      </c>
      <c r="H298" s="3">
        <v>4.4623699999999999</v>
      </c>
      <c r="I298" s="3">
        <v>1.6910199999999982</v>
      </c>
      <c r="J298" s="3">
        <v>2.5495400000000004</v>
      </c>
      <c r="K298" s="3">
        <v>3.0301399999999994</v>
      </c>
      <c r="L298" s="3">
        <v>0.85852000000000217</v>
      </c>
      <c r="M298" s="3">
        <v>1.3391200000000012</v>
      </c>
      <c r="N298" s="3">
        <v>0.48059999999999903</v>
      </c>
      <c r="P298" s="3">
        <f t="shared" si="53"/>
        <v>-1.0942372554179058</v>
      </c>
      <c r="Q298" s="3">
        <f t="shared" si="54"/>
        <v>-1.7390756533433618</v>
      </c>
      <c r="R298" s="3">
        <f t="shared" si="55"/>
        <v>0.49814350500375382</v>
      </c>
      <c r="S298" s="3">
        <f t="shared" si="56"/>
        <v>-0.3674891672680331</v>
      </c>
      <c r="T298" s="3">
        <f t="shared" si="57"/>
        <v>-1.4610024198622481E-2</v>
      </c>
      <c r="U298" s="3">
        <f t="shared" si="58"/>
        <v>0.10638609570574402</v>
      </c>
      <c r="V298" s="3">
        <f t="shared" si="59"/>
        <v>0.15201782734525787</v>
      </c>
      <c r="W298" s="3">
        <f t="shared" si="60"/>
        <v>0.70214789951999335</v>
      </c>
      <c r="X298" s="3">
        <f t="shared" si="61"/>
        <v>0.64471627311151536</v>
      </c>
      <c r="Y298" s="3">
        <f t="shared" si="62"/>
        <v>0.62097468873123107</v>
      </c>
      <c r="Z298" s="3">
        <f t="shared" si="63"/>
        <v>0.44123146752173548</v>
      </c>
      <c r="AA298" s="3">
        <f t="shared" si="64"/>
        <v>0.43842672197366162</v>
      </c>
      <c r="AB298" s="3">
        <f t="shared" si="65"/>
        <v>0.3715913271256826</v>
      </c>
    </row>
    <row r="299" spans="1:28" x14ac:dyDescent="0.25">
      <c r="A299" s="3">
        <v>1.23766247422781E+18</v>
      </c>
      <c r="B299" s="3">
        <v>236.59612999999999</v>
      </c>
      <c r="C299" s="3">
        <v>36.60924</v>
      </c>
      <c r="D299" s="16">
        <v>0.47444399999999998</v>
      </c>
      <c r="E299" s="3">
        <v>0.80305999999999855</v>
      </c>
      <c r="F299" s="3">
        <v>2.4816199999999995</v>
      </c>
      <c r="G299" s="3">
        <v>3.2853500000000011</v>
      </c>
      <c r="H299" s="3">
        <v>3.6864699999999999</v>
      </c>
      <c r="I299" s="3">
        <v>1.6785600000000009</v>
      </c>
      <c r="J299" s="3">
        <v>2.4822900000000025</v>
      </c>
      <c r="K299" s="3">
        <v>2.8834100000000014</v>
      </c>
      <c r="L299" s="3">
        <v>0.80373000000000161</v>
      </c>
      <c r="M299" s="3">
        <v>1.2048500000000004</v>
      </c>
      <c r="N299" s="3">
        <v>0.40111999999999881</v>
      </c>
      <c r="P299" s="3">
        <f t="shared" si="53"/>
        <v>1.0146096166106411</v>
      </c>
      <c r="Q299" s="3">
        <f t="shared" si="54"/>
        <v>1.8471096296774618</v>
      </c>
      <c r="R299" s="3">
        <f t="shared" si="55"/>
        <v>0.51194371600487476</v>
      </c>
      <c r="S299" s="3">
        <f t="shared" si="56"/>
        <v>-0.98681740949304642</v>
      </c>
      <c r="T299" s="3">
        <f t="shared" si="57"/>
        <v>-0.58535258518755651</v>
      </c>
      <c r="U299" s="3">
        <f t="shared" si="58"/>
        <v>-0.4574055374075835</v>
      </c>
      <c r="V299" s="3">
        <f t="shared" si="59"/>
        <v>-0.44185523423815248</v>
      </c>
      <c r="W299" s="3">
        <f t="shared" si="60"/>
        <v>0.67763499166827978</v>
      </c>
      <c r="X299" s="3">
        <f t="shared" si="61"/>
        <v>0.55881655367513494</v>
      </c>
      <c r="Y299" s="3">
        <f t="shared" si="62"/>
        <v>0.46166535416714644</v>
      </c>
      <c r="Z299" s="3">
        <f t="shared" si="63"/>
        <v>0.27770668842441715</v>
      </c>
      <c r="AA299" s="3">
        <f t="shared" si="64"/>
        <v>0.16467144089959979</v>
      </c>
      <c r="AB299" s="3">
        <f t="shared" si="65"/>
        <v>-6.790527109978059E-2</v>
      </c>
    </row>
    <row r="300" spans="1:28" x14ac:dyDescent="0.25">
      <c r="A300" s="3">
        <v>1.2376624736910001E+18</v>
      </c>
      <c r="B300" s="3">
        <v>236.49501000000001</v>
      </c>
      <c r="C300" s="3">
        <v>36.296745999999999</v>
      </c>
      <c r="D300" s="16">
        <v>0.47511609999999999</v>
      </c>
      <c r="E300" s="3">
        <v>1.8886099999999999</v>
      </c>
      <c r="F300" s="3">
        <v>3.6192999999999991</v>
      </c>
      <c r="G300" s="3">
        <v>4.4715699999999998</v>
      </c>
      <c r="H300" s="3">
        <v>5.0179600000000022</v>
      </c>
      <c r="I300" s="3">
        <v>1.7306899999999992</v>
      </c>
      <c r="J300" s="3">
        <v>2.5829599999999999</v>
      </c>
      <c r="K300" s="3">
        <v>3.1293500000000023</v>
      </c>
      <c r="L300" s="3">
        <v>0.85227000000000075</v>
      </c>
      <c r="M300" s="3">
        <v>1.3986600000000031</v>
      </c>
      <c r="N300" s="3">
        <v>0.54639000000000237</v>
      </c>
      <c r="P300" s="3">
        <f t="shared" si="53"/>
        <v>0.70348693719322941</v>
      </c>
      <c r="Q300" s="3">
        <f t="shared" si="54"/>
        <v>0.74086264406764568</v>
      </c>
      <c r="R300" s="3">
        <f t="shared" si="55"/>
        <v>0.5145763005342382</v>
      </c>
      <c r="S300" s="3">
        <f t="shared" si="56"/>
        <v>8.1751933208229668E-2</v>
      </c>
      <c r="T300" s="3">
        <f t="shared" si="57"/>
        <v>0.42663625072393607</v>
      </c>
      <c r="U300" s="3">
        <f t="shared" si="58"/>
        <v>0.50290707715215177</v>
      </c>
      <c r="V300" s="3">
        <f t="shared" si="59"/>
        <v>0.57726584163205807</v>
      </c>
      <c r="W300" s="3">
        <f t="shared" si="60"/>
        <v>0.78019180437374236</v>
      </c>
      <c r="X300" s="3">
        <f t="shared" si="61"/>
        <v>0.68740428238384088</v>
      </c>
      <c r="Y300" s="3">
        <f t="shared" si="62"/>
        <v>0.72869007810016395</v>
      </c>
      <c r="Z300" s="3">
        <f t="shared" si="63"/>
        <v>0.42257788348526054</v>
      </c>
      <c r="AA300" s="3">
        <f t="shared" si="64"/>
        <v>0.559819359458953</v>
      </c>
      <c r="AB300" s="3">
        <f t="shared" si="65"/>
        <v>0.73538701405641504</v>
      </c>
    </row>
    <row r="301" spans="1:28" x14ac:dyDescent="0.25">
      <c r="A301" s="3">
        <v>1.2376624736910001E+18</v>
      </c>
      <c r="B301" s="3">
        <v>236.49501000000001</v>
      </c>
      <c r="C301" s="3">
        <v>36.296745999999999</v>
      </c>
      <c r="D301" s="16">
        <v>0.47551729999999998</v>
      </c>
      <c r="E301" s="3">
        <v>1.8886099999999999</v>
      </c>
      <c r="F301" s="3">
        <v>3.6192999999999991</v>
      </c>
      <c r="G301" s="3">
        <v>4.4715699999999998</v>
      </c>
      <c r="H301" s="3">
        <v>5.0179600000000022</v>
      </c>
      <c r="I301" s="3">
        <v>1.7306899999999992</v>
      </c>
      <c r="J301" s="3">
        <v>2.5829599999999999</v>
      </c>
      <c r="K301" s="3">
        <v>3.1293500000000023</v>
      </c>
      <c r="L301" s="3">
        <v>0.85227000000000075</v>
      </c>
      <c r="M301" s="3">
        <v>1.3986600000000031</v>
      </c>
      <c r="N301" s="3">
        <v>0.54639000000000237</v>
      </c>
      <c r="P301" s="3">
        <f t="shared" si="53"/>
        <v>0.70348693719322941</v>
      </c>
      <c r="Q301" s="3">
        <f t="shared" si="54"/>
        <v>0.74086264406764568</v>
      </c>
      <c r="R301" s="3">
        <f t="shared" si="55"/>
        <v>0.51614778232739489</v>
      </c>
      <c r="S301" s="3">
        <f t="shared" si="56"/>
        <v>8.1751933208229668E-2</v>
      </c>
      <c r="T301" s="3">
        <f t="shared" si="57"/>
        <v>0.42663625072393607</v>
      </c>
      <c r="U301" s="3">
        <f t="shared" si="58"/>
        <v>0.50290707715215177</v>
      </c>
      <c r="V301" s="3">
        <f t="shared" si="59"/>
        <v>0.57726584163205807</v>
      </c>
      <c r="W301" s="3">
        <f t="shared" si="60"/>
        <v>0.78019180437374236</v>
      </c>
      <c r="X301" s="3">
        <f t="shared" si="61"/>
        <v>0.68740428238384088</v>
      </c>
      <c r="Y301" s="3">
        <f t="shared" si="62"/>
        <v>0.72869007810016395</v>
      </c>
      <c r="Z301" s="3">
        <f t="shared" si="63"/>
        <v>0.42257788348526054</v>
      </c>
      <c r="AA301" s="3">
        <f t="shared" si="64"/>
        <v>0.559819359458953</v>
      </c>
      <c r="AB301" s="3">
        <f t="shared" si="65"/>
        <v>0.73538701405641504</v>
      </c>
    </row>
    <row r="302" spans="1:28" x14ac:dyDescent="0.25">
      <c r="A302" s="3">
        <v>1.2376624731541299E+18</v>
      </c>
      <c r="B302" s="3">
        <v>236.28525999999999</v>
      </c>
      <c r="C302" s="3">
        <v>35.906967000000002</v>
      </c>
      <c r="D302" s="16">
        <v>0.47694170000000002</v>
      </c>
      <c r="E302" s="3">
        <v>1.9364199999999983</v>
      </c>
      <c r="F302" s="3">
        <v>3.8497399999999971</v>
      </c>
      <c r="G302" s="3">
        <v>4.8103300000000004</v>
      </c>
      <c r="H302" s="3">
        <v>5.1448999999999998</v>
      </c>
      <c r="I302" s="3">
        <v>1.9133199999999988</v>
      </c>
      <c r="J302" s="3">
        <v>2.8739100000000022</v>
      </c>
      <c r="K302" s="3">
        <v>3.2084800000000016</v>
      </c>
      <c r="L302" s="3">
        <v>0.96059000000000339</v>
      </c>
      <c r="M302" s="3">
        <v>1.2951600000000028</v>
      </c>
      <c r="N302" s="3">
        <v>0.33456999999999937</v>
      </c>
      <c r="P302" s="3">
        <f t="shared" si="53"/>
        <v>5.8135058160207899E-2</v>
      </c>
      <c r="Q302" s="3">
        <f t="shared" si="54"/>
        <v>-0.63897774904071525</v>
      </c>
      <c r="R302" s="3">
        <f t="shared" si="55"/>
        <v>0.52172709106660853</v>
      </c>
      <c r="S302" s="3">
        <f t="shared" si="56"/>
        <v>0.12881406786305549</v>
      </c>
      <c r="T302" s="3">
        <f t="shared" si="57"/>
        <v>0.63161718327741534</v>
      </c>
      <c r="U302" s="3">
        <f t="shared" si="58"/>
        <v>0.7771525807756422</v>
      </c>
      <c r="V302" s="3">
        <f t="shared" si="59"/>
        <v>0.67442558700826216</v>
      </c>
      <c r="W302" s="3">
        <f t="shared" si="60"/>
        <v>1.1394849312565205</v>
      </c>
      <c r="X302" s="3">
        <f t="shared" si="61"/>
        <v>1.059040317625713</v>
      </c>
      <c r="Y302" s="3">
        <f t="shared" si="62"/>
        <v>0.81460398557686309</v>
      </c>
      <c r="Z302" s="3">
        <f t="shared" si="63"/>
        <v>0.7458668791381492</v>
      </c>
      <c r="AA302" s="3">
        <f t="shared" si="64"/>
        <v>0.34879923887233394</v>
      </c>
      <c r="AB302" s="3">
        <f t="shared" si="65"/>
        <v>-0.43590349218564184</v>
      </c>
    </row>
    <row r="303" spans="1:28" x14ac:dyDescent="0.25">
      <c r="A303" s="3">
        <v>1.23766247422781E+18</v>
      </c>
      <c r="B303" s="3">
        <v>236.69828000000001</v>
      </c>
      <c r="C303" s="3">
        <v>36.560623</v>
      </c>
      <c r="D303" s="16">
        <v>0.4814427</v>
      </c>
      <c r="E303" s="3">
        <v>1.3377599999999994</v>
      </c>
      <c r="F303" s="3">
        <v>2.8652200000000008</v>
      </c>
      <c r="G303" s="3">
        <v>3.696550000000002</v>
      </c>
      <c r="H303" s="3">
        <v>4.2425700000000006</v>
      </c>
      <c r="I303" s="3">
        <v>1.5274600000000014</v>
      </c>
      <c r="J303" s="3">
        <v>2.3587900000000026</v>
      </c>
      <c r="K303" s="3">
        <v>2.9048100000000012</v>
      </c>
      <c r="L303" s="3">
        <v>0.83133000000000123</v>
      </c>
      <c r="M303" s="3">
        <v>1.3773499999999999</v>
      </c>
      <c r="N303" s="3">
        <v>0.54601999999999862</v>
      </c>
      <c r="P303" s="3">
        <f t="shared" si="53"/>
        <v>1.3289013660420292</v>
      </c>
      <c r="Q303" s="3">
        <f t="shared" si="54"/>
        <v>1.6750026141847087</v>
      </c>
      <c r="R303" s="3">
        <f t="shared" si="55"/>
        <v>0.53935729931934606</v>
      </c>
      <c r="S303" s="3">
        <f t="shared" si="56"/>
        <v>-0.46048142539063519</v>
      </c>
      <c r="T303" s="3">
        <f t="shared" si="57"/>
        <v>-0.24413280681784799</v>
      </c>
      <c r="U303" s="3">
        <f t="shared" si="58"/>
        <v>-0.12451573019900126</v>
      </c>
      <c r="V303" s="3">
        <f t="shared" si="59"/>
        <v>-1.6216866476153637E-2</v>
      </c>
      <c r="W303" s="3">
        <f t="shared" si="60"/>
        <v>0.38037171908443418</v>
      </c>
      <c r="X303" s="3">
        <f t="shared" si="61"/>
        <v>0.40106762653173972</v>
      </c>
      <c r="Y303" s="3">
        <f t="shared" si="62"/>
        <v>0.48490000120368593</v>
      </c>
      <c r="Z303" s="3">
        <f t="shared" si="63"/>
        <v>0.36008091552947058</v>
      </c>
      <c r="AA303" s="3">
        <f t="shared" si="64"/>
        <v>0.51637164187729567</v>
      </c>
      <c r="AB303" s="3">
        <f t="shared" si="65"/>
        <v>0.73334104348086049</v>
      </c>
    </row>
    <row r="304" spans="1:28" x14ac:dyDescent="0.25">
      <c r="A304" s="3">
        <v>1.2376614659863301E+18</v>
      </c>
      <c r="B304" s="3">
        <v>236.34246999999999</v>
      </c>
      <c r="C304" s="3">
        <v>35.605102000000002</v>
      </c>
      <c r="D304" s="16">
        <v>0.48429060000000002</v>
      </c>
      <c r="E304" s="3">
        <v>3.5117999999999974</v>
      </c>
      <c r="F304" s="3">
        <v>4.9389000000000003</v>
      </c>
      <c r="G304" s="3">
        <v>5.7707599999999992</v>
      </c>
      <c r="H304" s="3">
        <v>6.2627500000000005</v>
      </c>
      <c r="I304" s="3">
        <v>1.4271000000000029</v>
      </c>
      <c r="J304" s="3">
        <v>2.2589600000000019</v>
      </c>
      <c r="K304" s="3">
        <v>2.7509500000000031</v>
      </c>
      <c r="L304" s="3">
        <v>0.83185999999999893</v>
      </c>
      <c r="M304" s="3">
        <v>1.3238500000000002</v>
      </c>
      <c r="N304" s="3">
        <v>0.49199000000000126</v>
      </c>
      <c r="P304" s="3">
        <f t="shared" si="53"/>
        <v>0.23415689844376103</v>
      </c>
      <c r="Q304" s="3">
        <f t="shared" si="54"/>
        <v>-1.707597454734602</v>
      </c>
      <c r="R304" s="3">
        <f t="shared" si="55"/>
        <v>0.55051239153951304</v>
      </c>
      <c r="S304" s="3">
        <f t="shared" si="56"/>
        <v>1.6795512712205547</v>
      </c>
      <c r="T304" s="3">
        <f t="shared" si="57"/>
        <v>1.6004465206318252</v>
      </c>
      <c r="U304" s="3">
        <f t="shared" si="58"/>
        <v>1.5546753374325915</v>
      </c>
      <c r="V304" s="3">
        <f t="shared" si="59"/>
        <v>1.5300268267182964</v>
      </c>
      <c r="W304" s="3">
        <f t="shared" si="60"/>
        <v>0.18293067317765471</v>
      </c>
      <c r="X304" s="3">
        <f t="shared" si="61"/>
        <v>0.27355284599145413</v>
      </c>
      <c r="Y304" s="3">
        <f t="shared" si="62"/>
        <v>0.31784940339798773</v>
      </c>
      <c r="Z304" s="3">
        <f t="shared" si="63"/>
        <v>0.36166273945575644</v>
      </c>
      <c r="AA304" s="3">
        <f t="shared" si="64"/>
        <v>0.40729360853059038</v>
      </c>
      <c r="AB304" s="3">
        <f t="shared" si="65"/>
        <v>0.43457404295090896</v>
      </c>
    </row>
    <row r="305" spans="1:28" x14ac:dyDescent="0.25">
      <c r="A305" s="3">
        <v>1.2376624736910001E+18</v>
      </c>
      <c r="B305" s="3">
        <v>236.43652</v>
      </c>
      <c r="C305" s="3">
        <v>36.263806000000002</v>
      </c>
      <c r="D305" s="16">
        <v>0.48682690000000001</v>
      </c>
      <c r="E305" s="3">
        <v>4.9590700000000005</v>
      </c>
      <c r="F305" s="3">
        <v>6.753420000000002</v>
      </c>
      <c r="G305" s="3">
        <v>7.631689999999999</v>
      </c>
      <c r="H305" s="3">
        <v>8.1429700000000018</v>
      </c>
      <c r="I305" s="3">
        <v>1.7943500000000014</v>
      </c>
      <c r="J305" s="3">
        <v>2.6726199999999984</v>
      </c>
      <c r="K305" s="3">
        <v>3.1839000000000013</v>
      </c>
      <c r="L305" s="3">
        <v>0.878269999999997</v>
      </c>
      <c r="M305" s="3">
        <v>1.3895499999999998</v>
      </c>
      <c r="N305" s="3">
        <v>0.51128000000000284</v>
      </c>
      <c r="P305" s="3">
        <f t="shared" si="53"/>
        <v>0.5235268351448723</v>
      </c>
      <c r="Q305" s="3">
        <f t="shared" si="54"/>
        <v>0.6242531229056929</v>
      </c>
      <c r="R305" s="3">
        <f t="shared" si="55"/>
        <v>0.56044696101105684</v>
      </c>
      <c r="S305" s="3">
        <f t="shared" si="56"/>
        <v>3.1041824283402426</v>
      </c>
      <c r="T305" s="3">
        <f t="shared" si="57"/>
        <v>3.2144979081380867</v>
      </c>
      <c r="U305" s="3">
        <f t="shared" si="58"/>
        <v>3.0612041042824591</v>
      </c>
      <c r="V305" s="3">
        <f t="shared" si="59"/>
        <v>2.9691452799343816</v>
      </c>
      <c r="W305" s="3">
        <f t="shared" si="60"/>
        <v>0.90543190981840382</v>
      </c>
      <c r="X305" s="3">
        <f t="shared" si="61"/>
        <v>0.80192872617069577</v>
      </c>
      <c r="Y305" s="3">
        <f t="shared" si="62"/>
        <v>0.78791671341994018</v>
      </c>
      <c r="Z305" s="3">
        <f t="shared" si="63"/>
        <v>0.50017679307696739</v>
      </c>
      <c r="AA305" s="3">
        <f t="shared" si="64"/>
        <v>0.54124551116383424</v>
      </c>
      <c r="AB305" s="3">
        <f t="shared" si="65"/>
        <v>0.54124099538887904</v>
      </c>
    </row>
    <row r="306" spans="1:28" x14ac:dyDescent="0.25">
      <c r="A306" s="3">
        <v>1.2376624736910001E+18</v>
      </c>
      <c r="B306" s="3">
        <v>236.43652</v>
      </c>
      <c r="C306" s="3">
        <v>36.263806000000002</v>
      </c>
      <c r="D306" s="16">
        <v>0.48692390000000002</v>
      </c>
      <c r="E306" s="3">
        <v>4.9590700000000005</v>
      </c>
      <c r="F306" s="3">
        <v>6.753420000000002</v>
      </c>
      <c r="G306" s="3">
        <v>7.631689999999999</v>
      </c>
      <c r="H306" s="3">
        <v>8.1429700000000018</v>
      </c>
      <c r="I306" s="3">
        <v>1.7943500000000014</v>
      </c>
      <c r="J306" s="3">
        <v>2.6726199999999984</v>
      </c>
      <c r="K306" s="3">
        <v>3.1839000000000013</v>
      </c>
      <c r="L306" s="3">
        <v>0.878269999999997</v>
      </c>
      <c r="M306" s="3">
        <v>1.3895499999999998</v>
      </c>
      <c r="N306" s="3">
        <v>0.51128000000000284</v>
      </c>
      <c r="P306" s="3">
        <f t="shared" si="53"/>
        <v>0.5235268351448723</v>
      </c>
      <c r="Q306" s="3">
        <f t="shared" si="54"/>
        <v>0.6242531229056929</v>
      </c>
      <c r="R306" s="3">
        <f t="shared" si="55"/>
        <v>0.56082690551239334</v>
      </c>
      <c r="S306" s="3">
        <f t="shared" si="56"/>
        <v>3.1041824283402426</v>
      </c>
      <c r="T306" s="3">
        <f t="shared" si="57"/>
        <v>3.2144979081380867</v>
      </c>
      <c r="U306" s="3">
        <f t="shared" si="58"/>
        <v>3.0612041042824591</v>
      </c>
      <c r="V306" s="3">
        <f t="shared" si="59"/>
        <v>2.9691452799343816</v>
      </c>
      <c r="W306" s="3">
        <f t="shared" si="60"/>
        <v>0.90543190981840382</v>
      </c>
      <c r="X306" s="3">
        <f t="shared" si="61"/>
        <v>0.80192872617069577</v>
      </c>
      <c r="Y306" s="3">
        <f t="shared" si="62"/>
        <v>0.78791671341994018</v>
      </c>
      <c r="Z306" s="3">
        <f t="shared" si="63"/>
        <v>0.50017679307696739</v>
      </c>
      <c r="AA306" s="3">
        <f t="shared" si="64"/>
        <v>0.54124551116383424</v>
      </c>
      <c r="AB306" s="3">
        <f t="shared" si="65"/>
        <v>0.54124099538887904</v>
      </c>
    </row>
    <row r="307" spans="1:28" x14ac:dyDescent="0.25">
      <c r="A307" s="3">
        <v>1.2376624736909399E+18</v>
      </c>
      <c r="B307" s="3">
        <v>236.37562</v>
      </c>
      <c r="C307" s="3">
        <v>36.267167999999998</v>
      </c>
      <c r="D307" s="16">
        <v>0.48791800000000002</v>
      </c>
      <c r="E307" s="3">
        <v>4.0758699999999983</v>
      </c>
      <c r="F307" s="3">
        <v>5.7414699999999996</v>
      </c>
      <c r="G307" s="3">
        <v>6.6291900000000012</v>
      </c>
      <c r="H307" s="3">
        <v>7.1711500000000008</v>
      </c>
      <c r="I307" s="3">
        <v>1.6656000000000013</v>
      </c>
      <c r="J307" s="3">
        <v>2.5533200000000029</v>
      </c>
      <c r="K307" s="3">
        <v>3.0952800000000025</v>
      </c>
      <c r="L307" s="3">
        <v>0.88772000000000162</v>
      </c>
      <c r="M307" s="3">
        <v>1.4296800000000012</v>
      </c>
      <c r="N307" s="3">
        <v>0.54195999999999955</v>
      </c>
      <c r="P307" s="3">
        <f t="shared" si="53"/>
        <v>0.33615172461752635</v>
      </c>
      <c r="Q307" s="3">
        <f t="shared" si="54"/>
        <v>0.63615479898784288</v>
      </c>
      <c r="R307" s="3">
        <f t="shared" si="55"/>
        <v>0.56472074910804904</v>
      </c>
      <c r="S307" s="3">
        <f t="shared" si="56"/>
        <v>2.234797836682771</v>
      </c>
      <c r="T307" s="3">
        <f t="shared" si="57"/>
        <v>2.3143483911380187</v>
      </c>
      <c r="U307" s="3">
        <f t="shared" si="58"/>
        <v>2.2496232878267142</v>
      </c>
      <c r="V307" s="3">
        <f t="shared" si="59"/>
        <v>2.225315251956562</v>
      </c>
      <c r="W307" s="3">
        <f t="shared" si="60"/>
        <v>0.65213841977756803</v>
      </c>
      <c r="X307" s="3">
        <f t="shared" si="61"/>
        <v>0.64954453986942984</v>
      </c>
      <c r="Y307" s="3">
        <f t="shared" si="62"/>
        <v>0.69169921714058913</v>
      </c>
      <c r="Z307" s="3">
        <f t="shared" si="63"/>
        <v>0.52838101214012489</v>
      </c>
      <c r="AA307" s="3">
        <f t="shared" si="64"/>
        <v>0.62306423038259051</v>
      </c>
      <c r="AB307" s="3">
        <f t="shared" si="65"/>
        <v>0.71089066365203613</v>
      </c>
    </row>
    <row r="308" spans="1:28" x14ac:dyDescent="0.25">
      <c r="A308" s="3">
        <v>1.2376624736909399E+18</v>
      </c>
      <c r="B308" s="3">
        <v>236.37562</v>
      </c>
      <c r="C308" s="3">
        <v>36.267167999999998</v>
      </c>
      <c r="D308" s="16">
        <v>0.48806119999999997</v>
      </c>
      <c r="E308" s="3">
        <v>4.0758699999999983</v>
      </c>
      <c r="F308" s="3">
        <v>5.7414699999999996</v>
      </c>
      <c r="G308" s="3">
        <v>6.6291900000000012</v>
      </c>
      <c r="H308" s="3">
        <v>7.1711500000000008</v>
      </c>
      <c r="I308" s="3">
        <v>1.6656000000000013</v>
      </c>
      <c r="J308" s="3">
        <v>2.5533200000000029</v>
      </c>
      <c r="K308" s="3">
        <v>3.0952800000000025</v>
      </c>
      <c r="L308" s="3">
        <v>0.88772000000000162</v>
      </c>
      <c r="M308" s="3">
        <v>1.4296800000000012</v>
      </c>
      <c r="N308" s="3">
        <v>0.54195999999999955</v>
      </c>
      <c r="P308" s="3">
        <f t="shared" si="53"/>
        <v>0.33615172461752635</v>
      </c>
      <c r="Q308" s="3">
        <f t="shared" si="54"/>
        <v>0.63615479898784288</v>
      </c>
      <c r="R308" s="3">
        <f t="shared" si="55"/>
        <v>0.56528165686672294</v>
      </c>
      <c r="S308" s="3">
        <f t="shared" si="56"/>
        <v>2.234797836682771</v>
      </c>
      <c r="T308" s="3">
        <f t="shared" si="57"/>
        <v>2.3143483911380187</v>
      </c>
      <c r="U308" s="3">
        <f t="shared" si="58"/>
        <v>2.2496232878267142</v>
      </c>
      <c r="V308" s="3">
        <f t="shared" si="59"/>
        <v>2.225315251956562</v>
      </c>
      <c r="W308" s="3">
        <f t="shared" si="60"/>
        <v>0.65213841977756803</v>
      </c>
      <c r="X308" s="3">
        <f t="shared" si="61"/>
        <v>0.64954453986942984</v>
      </c>
      <c r="Y308" s="3">
        <f t="shared" si="62"/>
        <v>0.69169921714058913</v>
      </c>
      <c r="Z308" s="3">
        <f t="shared" si="63"/>
        <v>0.52838101214012489</v>
      </c>
      <c r="AA308" s="3">
        <f t="shared" si="64"/>
        <v>0.62306423038259051</v>
      </c>
      <c r="AB308" s="3">
        <f t="shared" si="65"/>
        <v>0.71089066365203613</v>
      </c>
    </row>
    <row r="309" spans="1:28" x14ac:dyDescent="0.25">
      <c r="A309" s="3">
        <v>1.2376614659864E+18</v>
      </c>
      <c r="B309" s="3">
        <v>236.53321</v>
      </c>
      <c r="C309" s="3">
        <v>35.662090999999997</v>
      </c>
      <c r="D309" s="16">
        <v>0.48877179999999998</v>
      </c>
      <c r="E309" s="3">
        <v>1.7843600000000031</v>
      </c>
      <c r="F309" s="3">
        <v>3.4597800000000021</v>
      </c>
      <c r="G309" s="3">
        <v>4.265310000000003</v>
      </c>
      <c r="H309" s="3">
        <v>4.7272300000000023</v>
      </c>
      <c r="I309" s="3">
        <v>1.675419999999999</v>
      </c>
      <c r="J309" s="3">
        <v>2.48095</v>
      </c>
      <c r="K309" s="3">
        <v>2.9428699999999992</v>
      </c>
      <c r="L309" s="3">
        <v>0.80553000000000097</v>
      </c>
      <c r="M309" s="3">
        <v>1.2674500000000002</v>
      </c>
      <c r="N309" s="3">
        <v>0.46191999999999922</v>
      </c>
      <c r="P309" s="3">
        <f t="shared" si="53"/>
        <v>0.82101943673579325</v>
      </c>
      <c r="Q309" s="3">
        <f t="shared" si="54"/>
        <v>-1.5058530709611171</v>
      </c>
      <c r="R309" s="3">
        <f t="shared" si="55"/>
        <v>0.56806504411053449</v>
      </c>
      <c r="S309" s="3">
        <f t="shared" si="56"/>
        <v>-2.0867341792096917E-2</v>
      </c>
      <c r="T309" s="3">
        <f t="shared" si="57"/>
        <v>0.28474005926008128</v>
      </c>
      <c r="U309" s="3">
        <f t="shared" si="58"/>
        <v>0.33592786597792768</v>
      </c>
      <c r="V309" s="3">
        <f t="shared" si="59"/>
        <v>0.3547413987990321</v>
      </c>
      <c r="W309" s="3">
        <f t="shared" si="60"/>
        <v>0.67145758150339663</v>
      </c>
      <c r="X309" s="3">
        <f t="shared" si="61"/>
        <v>0.55710494588264459</v>
      </c>
      <c r="Y309" s="3">
        <f t="shared" si="62"/>
        <v>0.52622292953128647</v>
      </c>
      <c r="Z309" s="3">
        <f t="shared" si="63"/>
        <v>0.28307892062691875</v>
      </c>
      <c r="AA309" s="3">
        <f t="shared" si="64"/>
        <v>0.2923029341239694</v>
      </c>
      <c r="AB309" s="3">
        <f t="shared" si="65"/>
        <v>0.26829746131225096</v>
      </c>
    </row>
    <row r="310" spans="1:28" x14ac:dyDescent="0.25">
      <c r="A310" s="3">
        <v>1.2376624736910001E+18</v>
      </c>
      <c r="B310" s="3">
        <v>236.511</v>
      </c>
      <c r="C310" s="3">
        <v>36.230271000000002</v>
      </c>
      <c r="D310" s="16">
        <v>0.48893579999999998</v>
      </c>
      <c r="E310" s="3">
        <v>1.3064900000000002</v>
      </c>
      <c r="F310" s="3">
        <v>3.0185899999999997</v>
      </c>
      <c r="G310" s="3">
        <v>3.9085099999999997</v>
      </c>
      <c r="H310" s="3">
        <v>4.4128100000000003</v>
      </c>
      <c r="I310" s="3">
        <v>1.7120999999999995</v>
      </c>
      <c r="J310" s="3">
        <v>2.6020199999999996</v>
      </c>
      <c r="K310" s="3">
        <v>3.1063200000000002</v>
      </c>
      <c r="L310" s="3">
        <v>0.88992000000000004</v>
      </c>
      <c r="M310" s="3">
        <v>1.3942200000000007</v>
      </c>
      <c r="N310" s="3">
        <v>0.50430000000000064</v>
      </c>
      <c r="P310" s="3">
        <f t="shared" si="53"/>
        <v>0.75268444158288161</v>
      </c>
      <c r="Q310" s="3">
        <f t="shared" si="54"/>
        <v>0.50553726704149815</v>
      </c>
      <c r="R310" s="3">
        <f t="shared" si="55"/>
        <v>0.5687074245045467</v>
      </c>
      <c r="S310" s="3">
        <f t="shared" si="56"/>
        <v>-0.49126228610296352</v>
      </c>
      <c r="T310" s="3">
        <f t="shared" si="57"/>
        <v>-0.10770716185288021</v>
      </c>
      <c r="U310" s="3">
        <f t="shared" si="58"/>
        <v>4.7077955442852273E-2</v>
      </c>
      <c r="V310" s="3">
        <f t="shared" si="59"/>
        <v>0.11408465434348757</v>
      </c>
      <c r="W310" s="3">
        <f t="shared" si="60"/>
        <v>0.74361917540396338</v>
      </c>
      <c r="X310" s="3">
        <f t="shared" si="61"/>
        <v>0.71174998725309635</v>
      </c>
      <c r="Y310" s="3">
        <f t="shared" si="62"/>
        <v>0.70368568925663322</v>
      </c>
      <c r="Z310" s="3">
        <f t="shared" si="63"/>
        <v>0.53494707372095784</v>
      </c>
      <c r="AA310" s="3">
        <f t="shared" si="64"/>
        <v>0.55076690211204382</v>
      </c>
      <c r="AB310" s="3">
        <f t="shared" si="65"/>
        <v>0.50264403696393312</v>
      </c>
    </row>
    <row r="311" spans="1:28" x14ac:dyDescent="0.25">
      <c r="A311" s="3">
        <v>1.2376624736910001E+18</v>
      </c>
      <c r="B311" s="3">
        <v>236.511</v>
      </c>
      <c r="C311" s="3">
        <v>36.230271000000002</v>
      </c>
      <c r="D311" s="16">
        <v>0.4890215</v>
      </c>
      <c r="E311" s="3">
        <v>1.3064900000000002</v>
      </c>
      <c r="F311" s="3">
        <v>3.0185899999999997</v>
      </c>
      <c r="G311" s="3">
        <v>3.9085099999999997</v>
      </c>
      <c r="H311" s="3">
        <v>4.4128100000000003</v>
      </c>
      <c r="I311" s="3">
        <v>1.7120999999999995</v>
      </c>
      <c r="J311" s="3">
        <v>2.6020199999999996</v>
      </c>
      <c r="K311" s="3">
        <v>3.1063200000000002</v>
      </c>
      <c r="L311" s="3">
        <v>0.88992000000000004</v>
      </c>
      <c r="M311" s="3">
        <v>1.3942200000000007</v>
      </c>
      <c r="N311" s="3">
        <v>0.50430000000000064</v>
      </c>
      <c r="P311" s="3">
        <f t="shared" si="53"/>
        <v>0.75268444158288161</v>
      </c>
      <c r="Q311" s="3">
        <f t="shared" si="54"/>
        <v>0.50553726704149815</v>
      </c>
      <c r="R311" s="3">
        <f t="shared" si="55"/>
        <v>0.56904310742995434</v>
      </c>
      <c r="S311" s="3">
        <f t="shared" si="56"/>
        <v>-0.49126228610296352</v>
      </c>
      <c r="T311" s="3">
        <f t="shared" si="57"/>
        <v>-0.10770716185288021</v>
      </c>
      <c r="U311" s="3">
        <f t="shared" si="58"/>
        <v>4.7077955442852273E-2</v>
      </c>
      <c r="V311" s="3">
        <f t="shared" si="59"/>
        <v>0.11408465434348757</v>
      </c>
      <c r="W311" s="3">
        <f t="shared" si="60"/>
        <v>0.74361917540396338</v>
      </c>
      <c r="X311" s="3">
        <f t="shared" si="61"/>
        <v>0.71174998725309635</v>
      </c>
      <c r="Y311" s="3">
        <f t="shared" si="62"/>
        <v>0.70368568925663322</v>
      </c>
      <c r="Z311" s="3">
        <f t="shared" si="63"/>
        <v>0.53494707372095784</v>
      </c>
      <c r="AA311" s="3">
        <f t="shared" si="64"/>
        <v>0.55076690211204382</v>
      </c>
      <c r="AB311" s="3">
        <f t="shared" si="65"/>
        <v>0.50264403696393312</v>
      </c>
    </row>
    <row r="312" spans="1:28" x14ac:dyDescent="0.25">
      <c r="A312" s="3">
        <v>1.2376625037557701E+18</v>
      </c>
      <c r="B312" s="3">
        <v>236.57469</v>
      </c>
      <c r="C312" s="3">
        <v>36.377665999999998</v>
      </c>
      <c r="D312" s="16">
        <v>0.49893389999999999</v>
      </c>
      <c r="E312" s="3">
        <v>1.5072299999999998</v>
      </c>
      <c r="F312" s="3">
        <v>3.5565499999999979</v>
      </c>
      <c r="G312" s="3">
        <v>4.4745899999999992</v>
      </c>
      <c r="H312" s="3">
        <v>5.0892799999999987</v>
      </c>
      <c r="I312" s="3">
        <v>2.049319999999998</v>
      </c>
      <c r="J312" s="3">
        <v>2.9673599999999993</v>
      </c>
      <c r="K312" s="3">
        <v>3.5820499999999988</v>
      </c>
      <c r="L312" s="3">
        <v>0.9180400000000013</v>
      </c>
      <c r="M312" s="3">
        <v>1.5327300000000008</v>
      </c>
      <c r="N312" s="3">
        <v>0.61468999999999951</v>
      </c>
      <c r="P312" s="3">
        <f t="shared" si="53"/>
        <v>0.94864373205065633</v>
      </c>
      <c r="Q312" s="3">
        <f t="shared" si="54"/>
        <v>1.0273241635705639</v>
      </c>
      <c r="R312" s="3">
        <f t="shared" si="55"/>
        <v>0.60786951851292181</v>
      </c>
      <c r="S312" s="3">
        <f t="shared" si="56"/>
        <v>-0.29366235072103403</v>
      </c>
      <c r="T312" s="3">
        <f t="shared" si="57"/>
        <v>0.37081888604015206</v>
      </c>
      <c r="U312" s="3">
        <f t="shared" si="58"/>
        <v>0.5053519390630703</v>
      </c>
      <c r="V312" s="3">
        <f t="shared" si="59"/>
        <v>0.63185409624235167</v>
      </c>
      <c r="W312" s="3">
        <f t="shared" si="60"/>
        <v>1.4070415498627606</v>
      </c>
      <c r="X312" s="3">
        <f t="shared" si="61"/>
        <v>1.1784058013629586</v>
      </c>
      <c r="Y312" s="3">
        <f t="shared" si="62"/>
        <v>1.2202005787282668</v>
      </c>
      <c r="Z312" s="3">
        <f t="shared" si="63"/>
        <v>0.6188732790178505</v>
      </c>
      <c r="AA312" s="3">
        <f t="shared" si="64"/>
        <v>0.83316687218404883</v>
      </c>
      <c r="AB312" s="3">
        <f t="shared" si="65"/>
        <v>1.1130621229995177</v>
      </c>
    </row>
    <row r="313" spans="1:28" x14ac:dyDescent="0.25">
      <c r="A313" s="3">
        <v>1.2376624736909299E+18</v>
      </c>
      <c r="B313" s="3">
        <v>236.38335000000001</v>
      </c>
      <c r="C313" s="3">
        <v>36.318854000000002</v>
      </c>
      <c r="D313" s="16">
        <v>0.49973709999999999</v>
      </c>
      <c r="E313" s="3">
        <v>1.0801900000000018</v>
      </c>
      <c r="F313" s="3">
        <v>2.6434400000000018</v>
      </c>
      <c r="G313" s="3">
        <v>3.6115600000000008</v>
      </c>
      <c r="H313" s="3">
        <v>3.9672699999999992</v>
      </c>
      <c r="I313" s="3">
        <v>1.56325</v>
      </c>
      <c r="J313" s="3">
        <v>2.531369999999999</v>
      </c>
      <c r="K313" s="3">
        <v>2.8870799999999974</v>
      </c>
      <c r="L313" s="3">
        <v>0.96811999999999898</v>
      </c>
      <c r="M313" s="3">
        <v>1.3238299999999974</v>
      </c>
      <c r="N313" s="3">
        <v>0.35570999999999842</v>
      </c>
      <c r="P313" s="3">
        <f t="shared" si="53"/>
        <v>0.35993513355641049</v>
      </c>
      <c r="Q313" s="3">
        <f t="shared" si="54"/>
        <v>0.81912625347411416</v>
      </c>
      <c r="R313" s="3">
        <f t="shared" si="55"/>
        <v>0.6110156156621328</v>
      </c>
      <c r="S313" s="3">
        <f t="shared" si="56"/>
        <v>-0.71402240056410926</v>
      </c>
      <c r="T313" s="3">
        <f t="shared" si="57"/>
        <v>-0.44141049828508822</v>
      </c>
      <c r="U313" s="3">
        <f t="shared" si="58"/>
        <v>-0.19331997318211838</v>
      </c>
      <c r="V313" s="3">
        <f t="shared" si="59"/>
        <v>-0.22693120318695881</v>
      </c>
      <c r="W313" s="3">
        <f t="shared" si="60"/>
        <v>0.45078239099558881</v>
      </c>
      <c r="X313" s="3">
        <f t="shared" si="61"/>
        <v>0.62150738237308856</v>
      </c>
      <c r="Y313" s="3">
        <f t="shared" si="62"/>
        <v>0.46564998756079173</v>
      </c>
      <c r="Z313" s="3">
        <f t="shared" si="63"/>
        <v>0.76834071718527597</v>
      </c>
      <c r="AA313" s="3">
        <f t="shared" si="64"/>
        <v>0.40725283169568871</v>
      </c>
      <c r="AB313" s="3">
        <f t="shared" si="65"/>
        <v>-0.31900668687001715</v>
      </c>
    </row>
    <row r="314" spans="1:28" x14ac:dyDescent="0.25">
      <c r="A314" s="3">
        <v>1.2376624736909299E+18</v>
      </c>
      <c r="B314" s="3">
        <v>236.38335000000001</v>
      </c>
      <c r="C314" s="3">
        <v>36.318854000000002</v>
      </c>
      <c r="D314" s="16">
        <v>0.49991029999999997</v>
      </c>
      <c r="E314" s="3">
        <v>1.0801900000000018</v>
      </c>
      <c r="F314" s="3">
        <v>2.6434400000000018</v>
      </c>
      <c r="G314" s="3">
        <v>3.6115600000000008</v>
      </c>
      <c r="H314" s="3">
        <v>3.9672699999999992</v>
      </c>
      <c r="I314" s="3">
        <v>1.56325</v>
      </c>
      <c r="J314" s="3">
        <v>2.531369999999999</v>
      </c>
      <c r="K314" s="3">
        <v>2.8870799999999974</v>
      </c>
      <c r="L314" s="3">
        <v>0.96811999999999898</v>
      </c>
      <c r="M314" s="3">
        <v>1.3238299999999974</v>
      </c>
      <c r="N314" s="3">
        <v>0.35570999999999842</v>
      </c>
      <c r="P314" s="3">
        <f t="shared" si="53"/>
        <v>0.35993513355641049</v>
      </c>
      <c r="Q314" s="3">
        <f t="shared" si="54"/>
        <v>0.81912625347411416</v>
      </c>
      <c r="R314" s="3">
        <f t="shared" si="55"/>
        <v>0.61169403202946759</v>
      </c>
      <c r="S314" s="3">
        <f t="shared" si="56"/>
        <v>-0.71402240056410926</v>
      </c>
      <c r="T314" s="3">
        <f t="shared" si="57"/>
        <v>-0.44141049828508822</v>
      </c>
      <c r="U314" s="3">
        <f t="shared" si="58"/>
        <v>-0.19331997318211838</v>
      </c>
      <c r="V314" s="3">
        <f t="shared" si="59"/>
        <v>-0.22693120318695881</v>
      </c>
      <c r="W314" s="3">
        <f t="shared" si="60"/>
        <v>0.45078239099558881</v>
      </c>
      <c r="X314" s="3">
        <f t="shared" si="61"/>
        <v>0.62150738237308856</v>
      </c>
      <c r="Y314" s="3">
        <f t="shared" si="62"/>
        <v>0.46564998756079173</v>
      </c>
      <c r="Z314" s="3">
        <f t="shared" si="63"/>
        <v>0.76834071718527597</v>
      </c>
      <c r="AA314" s="3">
        <f t="shared" si="64"/>
        <v>0.40725283169568871</v>
      </c>
      <c r="AB314" s="3">
        <f t="shared" si="65"/>
        <v>-0.31900668687001715</v>
      </c>
    </row>
    <row r="315" spans="1:28" x14ac:dyDescent="0.25">
      <c r="A315" s="3">
        <v>1.23766247422787E+18</v>
      </c>
      <c r="B315" s="3">
        <v>236.77708000000001</v>
      </c>
      <c r="C315" s="3">
        <v>36.612729000000002</v>
      </c>
      <c r="D315" s="16">
        <v>0.50017730000000005</v>
      </c>
      <c r="E315" s="3">
        <v>3.7154699999999998</v>
      </c>
      <c r="F315" s="3">
        <v>5.0866899999999973</v>
      </c>
      <c r="G315" s="3">
        <v>6.0794199999999989</v>
      </c>
      <c r="H315" s="3">
        <v>6.6410099999999979</v>
      </c>
      <c r="I315" s="3">
        <v>1.3712199999999974</v>
      </c>
      <c r="J315" s="3">
        <v>2.3639499999999991</v>
      </c>
      <c r="K315" s="3">
        <v>2.925539999999998</v>
      </c>
      <c r="L315" s="3">
        <v>0.99273000000000167</v>
      </c>
      <c r="M315" s="3">
        <v>1.5543200000000006</v>
      </c>
      <c r="N315" s="3">
        <v>0.56158999999999892</v>
      </c>
      <c r="P315" s="3">
        <f t="shared" si="53"/>
        <v>1.5713506059361864</v>
      </c>
      <c r="Q315" s="3">
        <f t="shared" si="54"/>
        <v>1.8594608931666639</v>
      </c>
      <c r="R315" s="3">
        <f t="shared" si="55"/>
        <v>0.61273985864654879</v>
      </c>
      <c r="S315" s="3">
        <f t="shared" si="56"/>
        <v>1.8800353742355898</v>
      </c>
      <c r="T315" s="3">
        <f t="shared" si="57"/>
        <v>1.7319086453587751</v>
      </c>
      <c r="U315" s="3">
        <f t="shared" si="58"/>
        <v>1.8045531776393051</v>
      </c>
      <c r="V315" s="3">
        <f t="shared" si="59"/>
        <v>1.8195466414812032</v>
      </c>
      <c r="W315" s="3">
        <f t="shared" si="60"/>
        <v>7.2996380179726372E-2</v>
      </c>
      <c r="X315" s="3">
        <f t="shared" si="61"/>
        <v>0.40765859385205849</v>
      </c>
      <c r="Y315" s="3">
        <f t="shared" si="62"/>
        <v>0.50740720835636777</v>
      </c>
      <c r="Z315" s="3">
        <f t="shared" si="63"/>
        <v>0.841791069687291</v>
      </c>
      <c r="AA315" s="3">
        <f t="shared" si="64"/>
        <v>0.87718546545424247</v>
      </c>
      <c r="AB315" s="3">
        <f t="shared" si="65"/>
        <v>0.81943769715940329</v>
      </c>
    </row>
    <row r="316" spans="1:28" x14ac:dyDescent="0.25">
      <c r="A316" s="3">
        <v>1.23766247422787E+18</v>
      </c>
      <c r="B316" s="3">
        <v>236.77206000000001</v>
      </c>
      <c r="C316" s="3">
        <v>36.457030000000003</v>
      </c>
      <c r="D316" s="16">
        <v>0.50160280000000002</v>
      </c>
      <c r="E316" s="3">
        <v>2.6629700000000014</v>
      </c>
      <c r="F316" s="3">
        <v>5.2266700000000021</v>
      </c>
      <c r="G316" s="3">
        <v>6.1650500000000008</v>
      </c>
      <c r="H316" s="3">
        <v>6.419710000000002</v>
      </c>
      <c r="I316" s="3">
        <v>2.5637000000000008</v>
      </c>
      <c r="J316" s="3">
        <v>3.5020799999999994</v>
      </c>
      <c r="K316" s="3">
        <v>3.7567400000000006</v>
      </c>
      <c r="L316" s="3">
        <v>0.93837999999999866</v>
      </c>
      <c r="M316" s="3">
        <v>1.1930399999999999</v>
      </c>
      <c r="N316" s="3">
        <v>0.25466000000000122</v>
      </c>
      <c r="P316" s="3">
        <f t="shared" si="53"/>
        <v>1.5559052355774416</v>
      </c>
      <c r="Q316" s="3">
        <f t="shared" si="54"/>
        <v>1.3082773523228057</v>
      </c>
      <c r="R316" s="3">
        <f t="shared" si="55"/>
        <v>0.61832347603474624</v>
      </c>
      <c r="S316" s="3">
        <f t="shared" si="56"/>
        <v>0.84399904869269438</v>
      </c>
      <c r="T316" s="3">
        <f t="shared" si="57"/>
        <v>1.8564236207920215</v>
      </c>
      <c r="U316" s="3">
        <f t="shared" si="58"/>
        <v>1.8738755370538758</v>
      </c>
      <c r="V316" s="3">
        <f t="shared" si="59"/>
        <v>1.6501638492033242</v>
      </c>
      <c r="W316" s="3">
        <f t="shared" si="60"/>
        <v>2.4189957666177557</v>
      </c>
      <c r="X316" s="3">
        <f t="shared" si="61"/>
        <v>1.861413949720176</v>
      </c>
      <c r="Y316" s="3">
        <f t="shared" si="62"/>
        <v>1.4098669568036475</v>
      </c>
      <c r="Z316" s="3">
        <f t="shared" si="63"/>
        <v>0.67957950290613289</v>
      </c>
      <c r="AA316" s="3">
        <f t="shared" si="64"/>
        <v>0.14059271989353142</v>
      </c>
      <c r="AB316" s="3">
        <f t="shared" si="65"/>
        <v>-0.87777783999887604</v>
      </c>
    </row>
    <row r="317" spans="1:28" x14ac:dyDescent="0.25">
      <c r="A317" s="3">
        <v>1.23766247422787E+18</v>
      </c>
      <c r="B317" s="3">
        <v>236.77206000000001</v>
      </c>
      <c r="C317" s="3">
        <v>36.457030000000003</v>
      </c>
      <c r="D317" s="16">
        <v>0.50189079999999997</v>
      </c>
      <c r="E317" s="3">
        <v>2.6629700000000014</v>
      </c>
      <c r="F317" s="3">
        <v>5.2266700000000021</v>
      </c>
      <c r="G317" s="3">
        <v>6.1650500000000008</v>
      </c>
      <c r="H317" s="3">
        <v>6.419710000000002</v>
      </c>
      <c r="I317" s="3">
        <v>2.5637000000000008</v>
      </c>
      <c r="J317" s="3">
        <v>3.5020799999999994</v>
      </c>
      <c r="K317" s="3">
        <v>3.7567400000000006</v>
      </c>
      <c r="L317" s="3">
        <v>0.93837999999999866</v>
      </c>
      <c r="M317" s="3">
        <v>1.1930399999999999</v>
      </c>
      <c r="N317" s="3">
        <v>0.25466000000000122</v>
      </c>
      <c r="P317" s="3">
        <f t="shared" si="53"/>
        <v>1.5559052355774416</v>
      </c>
      <c r="Q317" s="3">
        <f t="shared" si="54"/>
        <v>1.3082773523228057</v>
      </c>
      <c r="R317" s="3">
        <f t="shared" si="55"/>
        <v>0.61945155867788948</v>
      </c>
      <c r="S317" s="3">
        <f t="shared" si="56"/>
        <v>0.84399904869269438</v>
      </c>
      <c r="T317" s="3">
        <f t="shared" si="57"/>
        <v>1.8564236207920215</v>
      </c>
      <c r="U317" s="3">
        <f t="shared" si="58"/>
        <v>1.8738755370538758</v>
      </c>
      <c r="V317" s="3">
        <f t="shared" si="59"/>
        <v>1.6501638492033242</v>
      </c>
      <c r="W317" s="3">
        <f t="shared" si="60"/>
        <v>2.4189957666177557</v>
      </c>
      <c r="X317" s="3">
        <f t="shared" si="61"/>
        <v>1.861413949720176</v>
      </c>
      <c r="Y317" s="3">
        <f t="shared" si="62"/>
        <v>1.4098669568036475</v>
      </c>
      <c r="Z317" s="3">
        <f t="shared" si="63"/>
        <v>0.67957950290613289</v>
      </c>
      <c r="AA317" s="3">
        <f t="shared" si="64"/>
        <v>0.14059271989353142</v>
      </c>
      <c r="AB317" s="3">
        <f t="shared" si="65"/>
        <v>-0.87777783999887604</v>
      </c>
    </row>
    <row r="318" spans="1:28" x14ac:dyDescent="0.25">
      <c r="A318" s="3">
        <v>1.23766247369107E+18</v>
      </c>
      <c r="B318" s="3">
        <v>236.50611000000001</v>
      </c>
      <c r="C318" s="3">
        <v>36.073979000000001</v>
      </c>
      <c r="D318" s="16">
        <v>0.50234250000000003</v>
      </c>
      <c r="E318" s="3">
        <v>-0.16061000000000192</v>
      </c>
      <c r="F318" s="3">
        <v>1.5448999999999984</v>
      </c>
      <c r="G318" s="3">
        <v>2.4969499999999982</v>
      </c>
      <c r="H318" s="3">
        <v>2.8129499999999972</v>
      </c>
      <c r="I318" s="3">
        <v>1.7055100000000003</v>
      </c>
      <c r="J318" s="3">
        <v>2.6575600000000001</v>
      </c>
      <c r="K318" s="3">
        <v>2.9735599999999991</v>
      </c>
      <c r="L318" s="3">
        <v>0.95204999999999984</v>
      </c>
      <c r="M318" s="3">
        <v>1.2680499999999988</v>
      </c>
      <c r="N318" s="3">
        <v>0.31599999999999895</v>
      </c>
      <c r="P318" s="3">
        <f t="shared" si="53"/>
        <v>0.73763905093466164</v>
      </c>
      <c r="Q318" s="3">
        <f t="shared" si="54"/>
        <v>-4.7745528387948342E-2</v>
      </c>
      <c r="R318" s="3">
        <f t="shared" si="55"/>
        <v>0.62122084662895871</v>
      </c>
      <c r="S318" s="3">
        <f t="shared" si="56"/>
        <v>-1.9354132535176771</v>
      </c>
      <c r="T318" s="3">
        <f t="shared" si="57"/>
        <v>-1.4185835309499983</v>
      </c>
      <c r="U318" s="3">
        <f t="shared" si="58"/>
        <v>-1.0956602164038058</v>
      </c>
      <c r="V318" s="3">
        <f t="shared" si="59"/>
        <v>-1.1104465433686361</v>
      </c>
      <c r="W318" s="3">
        <f t="shared" si="60"/>
        <v>0.73065448337003014</v>
      </c>
      <c r="X318" s="3">
        <f t="shared" si="61"/>
        <v>0.7826922982939406</v>
      </c>
      <c r="Y318" s="3">
        <f t="shared" si="62"/>
        <v>0.55954401913649199</v>
      </c>
      <c r="Z318" s="3">
        <f t="shared" si="63"/>
        <v>0.72037862191070512</v>
      </c>
      <c r="AA318" s="3">
        <f t="shared" si="64"/>
        <v>0.29352623917084547</v>
      </c>
      <c r="AB318" s="3">
        <f t="shared" si="65"/>
        <v>-0.5385890964766209</v>
      </c>
    </row>
    <row r="319" spans="1:28" x14ac:dyDescent="0.25">
      <c r="A319" s="3">
        <v>1.2376625037557701E+18</v>
      </c>
      <c r="B319" s="3">
        <v>236.66847999999999</v>
      </c>
      <c r="C319" s="3">
        <v>36.275706</v>
      </c>
      <c r="D319" s="16">
        <v>0.50268520000000005</v>
      </c>
      <c r="E319" s="3">
        <v>1.0589800000000018</v>
      </c>
      <c r="F319" s="3">
        <v>2.5711300000000001</v>
      </c>
      <c r="G319" s="3">
        <v>3.3450400000000009</v>
      </c>
      <c r="H319" s="3">
        <v>3.9148700000000005</v>
      </c>
      <c r="I319" s="3">
        <v>1.5121499999999983</v>
      </c>
      <c r="J319" s="3">
        <v>2.2860599999999991</v>
      </c>
      <c r="K319" s="3">
        <v>2.8558899999999987</v>
      </c>
      <c r="L319" s="3">
        <v>0.77391000000000076</v>
      </c>
      <c r="M319" s="3">
        <v>1.3437400000000004</v>
      </c>
      <c r="N319" s="3">
        <v>0.56982999999999961</v>
      </c>
      <c r="P319" s="3">
        <f t="shared" si="53"/>
        <v>1.2372137093307178</v>
      </c>
      <c r="Q319" s="3">
        <f t="shared" si="54"/>
        <v>0.66637981695023008</v>
      </c>
      <c r="R319" s="3">
        <f t="shared" si="55"/>
        <v>0.62256318663522703</v>
      </c>
      <c r="S319" s="3">
        <f t="shared" si="56"/>
        <v>-0.7349006242836007</v>
      </c>
      <c r="T319" s="3">
        <f t="shared" si="57"/>
        <v>-0.50573167183543777</v>
      </c>
      <c r="U319" s="3">
        <f t="shared" si="58"/>
        <v>-0.40908308460534576</v>
      </c>
      <c r="V319" s="3">
        <f t="shared" si="59"/>
        <v>-0.26703810926631172</v>
      </c>
      <c r="W319" s="3">
        <f t="shared" si="60"/>
        <v>0.3502519262104461</v>
      </c>
      <c r="X319" s="3">
        <f t="shared" si="61"/>
        <v>0.30816819761562886</v>
      </c>
      <c r="Y319" s="3">
        <f t="shared" si="62"/>
        <v>0.43178603237062158</v>
      </c>
      <c r="Z319" s="3">
        <f t="shared" si="63"/>
        <v>0.18870670826960564</v>
      </c>
      <c r="AA319" s="3">
        <f t="shared" si="64"/>
        <v>0.4478461708346278</v>
      </c>
      <c r="AB319" s="3">
        <f t="shared" si="65"/>
        <v>0.86500201484156369</v>
      </c>
    </row>
    <row r="320" spans="1:28" x14ac:dyDescent="0.25">
      <c r="A320" s="3">
        <v>1.23766146598627E+18</v>
      </c>
      <c r="B320" s="3">
        <v>236.30378999999999</v>
      </c>
      <c r="C320" s="3">
        <v>35.821069999999999</v>
      </c>
      <c r="D320" s="16">
        <v>0.50426159999999998</v>
      </c>
      <c r="E320" s="3">
        <v>1.8839700000000015</v>
      </c>
      <c r="F320" s="3">
        <v>3.2898100000000028</v>
      </c>
      <c r="G320" s="3">
        <v>4.2445100000000018</v>
      </c>
      <c r="H320" s="3">
        <v>4.7261900000000026</v>
      </c>
      <c r="I320" s="3">
        <v>1.4058400000000013</v>
      </c>
      <c r="J320" s="3">
        <v>2.3605400000000003</v>
      </c>
      <c r="K320" s="3">
        <v>2.8422200000000011</v>
      </c>
      <c r="L320" s="3">
        <v>0.95469999999999899</v>
      </c>
      <c r="M320" s="3">
        <v>1.4363799999999998</v>
      </c>
      <c r="N320" s="3">
        <v>0.48168000000000077</v>
      </c>
      <c r="P320" s="3">
        <f t="shared" si="53"/>
        <v>0.11514755073937381</v>
      </c>
      <c r="Q320" s="3">
        <f t="shared" si="54"/>
        <v>-0.94305813881757228</v>
      </c>
      <c r="R320" s="3">
        <f t="shared" si="55"/>
        <v>0.62873787232498801</v>
      </c>
      <c r="S320" s="3">
        <f t="shared" si="56"/>
        <v>7.7184514157856834E-2</v>
      </c>
      <c r="T320" s="3">
        <f t="shared" si="57"/>
        <v>0.13354838634689326</v>
      </c>
      <c r="U320" s="3">
        <f t="shared" si="58"/>
        <v>0.31908908195570268</v>
      </c>
      <c r="V320" s="3">
        <f t="shared" si="59"/>
        <v>0.35394538386921309</v>
      </c>
      <c r="W320" s="3">
        <f t="shared" si="60"/>
        <v>0.14110527823964639</v>
      </c>
      <c r="X320" s="3">
        <f t="shared" si="61"/>
        <v>0.40330293521595489</v>
      </c>
      <c r="Y320" s="3">
        <f t="shared" si="62"/>
        <v>0.41694408727765703</v>
      </c>
      <c r="Z320" s="3">
        <f t="shared" si="63"/>
        <v>0.72828774154216613</v>
      </c>
      <c r="AA320" s="3">
        <f t="shared" si="64"/>
        <v>0.63672447007273592</v>
      </c>
      <c r="AB320" s="3">
        <f t="shared" si="65"/>
        <v>0.37756334934616909</v>
      </c>
    </row>
    <row r="321" spans="1:28" x14ac:dyDescent="0.25">
      <c r="A321" s="3">
        <v>1.2376614659863301E+18</v>
      </c>
      <c r="B321" s="3">
        <v>236.39053000000001</v>
      </c>
      <c r="C321" s="3">
        <v>35.756470999999998</v>
      </c>
      <c r="D321" s="16">
        <v>0.50478540000000005</v>
      </c>
      <c r="E321" s="3">
        <v>0.76332000000000022</v>
      </c>
      <c r="F321" s="3">
        <v>2.113940000000003</v>
      </c>
      <c r="G321" s="3">
        <v>2.9102700000000006</v>
      </c>
      <c r="H321" s="3">
        <v>3.2970600000000019</v>
      </c>
      <c r="I321" s="3">
        <v>1.3506200000000028</v>
      </c>
      <c r="J321" s="3">
        <v>2.1469500000000004</v>
      </c>
      <c r="K321" s="3">
        <v>2.5337400000000017</v>
      </c>
      <c r="L321" s="3">
        <v>0.79632999999999754</v>
      </c>
      <c r="M321" s="3">
        <v>1.1831199999999988</v>
      </c>
      <c r="N321" s="3">
        <v>0.3867900000000013</v>
      </c>
      <c r="P321" s="3">
        <f t="shared" si="53"/>
        <v>0.38202632064322911</v>
      </c>
      <c r="Q321" s="3">
        <f t="shared" si="54"/>
        <v>-1.1717423664296531</v>
      </c>
      <c r="R321" s="3">
        <f t="shared" si="55"/>
        <v>0.63078957263220536</v>
      </c>
      <c r="S321" s="3">
        <f t="shared" si="56"/>
        <v>-1.025935778687415</v>
      </c>
      <c r="T321" s="3">
        <f t="shared" si="57"/>
        <v>-0.91241120904306428</v>
      </c>
      <c r="U321" s="3">
        <f t="shared" si="58"/>
        <v>-0.76105414851603426</v>
      </c>
      <c r="V321" s="3">
        <f t="shared" si="59"/>
        <v>-0.73990924752748699</v>
      </c>
      <c r="W321" s="3">
        <f t="shared" si="60"/>
        <v>3.2469421773203277E-2</v>
      </c>
      <c r="X321" s="3">
        <f t="shared" si="61"/>
        <v>0.13048031700900928</v>
      </c>
      <c r="Y321" s="3">
        <f t="shared" si="62"/>
        <v>8.2017735977109082E-2</v>
      </c>
      <c r="Z321" s="3">
        <f t="shared" si="63"/>
        <v>0.25562084492522369</v>
      </c>
      <c r="AA321" s="3">
        <f t="shared" si="64"/>
        <v>0.12036740978513072</v>
      </c>
      <c r="AB321" s="3">
        <f t="shared" si="65"/>
        <v>-0.14714515852516782</v>
      </c>
    </row>
    <row r="322" spans="1:28" x14ac:dyDescent="0.25">
      <c r="A322" s="3">
        <v>1.23766146598607E+18</v>
      </c>
      <c r="B322" s="3">
        <v>235.80842999999999</v>
      </c>
      <c r="C322" s="3">
        <v>36.016514000000001</v>
      </c>
      <c r="D322" s="16">
        <v>0.50828139999999999</v>
      </c>
      <c r="E322" s="3">
        <v>2.1560900000000025</v>
      </c>
      <c r="F322" s="3">
        <v>3.8449500000000008</v>
      </c>
      <c r="G322" s="3">
        <v>4.813480000000002</v>
      </c>
      <c r="H322" s="3">
        <v>5.1877900000000032</v>
      </c>
      <c r="I322" s="3">
        <v>1.6888599999999983</v>
      </c>
      <c r="J322" s="3">
        <v>2.6573899999999995</v>
      </c>
      <c r="K322" s="3">
        <v>3.0317000000000007</v>
      </c>
      <c r="L322" s="3">
        <v>0.96853000000000122</v>
      </c>
      <c r="M322" s="3">
        <v>1.3428400000000025</v>
      </c>
      <c r="N322" s="3">
        <v>0.37431000000000125</v>
      </c>
      <c r="P322" s="3">
        <f t="shared" si="53"/>
        <v>-1.4089597522297785</v>
      </c>
      <c r="Q322" s="3">
        <f t="shared" si="54"/>
        <v>-0.25117497992323701</v>
      </c>
      <c r="R322" s="3">
        <f t="shared" si="55"/>
        <v>0.64448324249480693</v>
      </c>
      <c r="S322" s="3">
        <f t="shared" si="56"/>
        <v>0.34504789174145223</v>
      </c>
      <c r="T322" s="3">
        <f t="shared" si="57"/>
        <v>0.62735638364657698</v>
      </c>
      <c r="U322" s="3">
        <f t="shared" si="58"/>
        <v>0.77970268508670137</v>
      </c>
      <c r="V322" s="3">
        <f t="shared" si="59"/>
        <v>0.70725354887359848</v>
      </c>
      <c r="W322" s="3">
        <f t="shared" si="60"/>
        <v>0.69789847087154133</v>
      </c>
      <c r="X322" s="3">
        <f t="shared" si="61"/>
        <v>0.7824751540217586</v>
      </c>
      <c r="Y322" s="3">
        <f t="shared" si="62"/>
        <v>0.62266842935632605</v>
      </c>
      <c r="Z322" s="3">
        <f t="shared" si="63"/>
        <v>0.76956439229807516</v>
      </c>
      <c r="AA322" s="3">
        <f t="shared" si="64"/>
        <v>0.4460112132643137</v>
      </c>
      <c r="AB322" s="3">
        <f t="shared" si="65"/>
        <v>-0.2161551930729004</v>
      </c>
    </row>
    <row r="323" spans="1:28" x14ac:dyDescent="0.25">
      <c r="A323" s="3">
        <v>1.23766250375584E+18</v>
      </c>
      <c r="B323" s="3">
        <v>236.68878000000001</v>
      </c>
      <c r="C323" s="3">
        <v>36.205488000000003</v>
      </c>
      <c r="D323" s="16">
        <v>0.51101370000000002</v>
      </c>
      <c r="E323" s="3">
        <v>0.84224000000000032</v>
      </c>
      <c r="F323" s="3">
        <v>2.2649100000000004</v>
      </c>
      <c r="G323" s="3">
        <v>3.2161200000000001</v>
      </c>
      <c r="H323" s="3">
        <v>3.0502400000000023</v>
      </c>
      <c r="I323" s="3">
        <v>1.4226700000000001</v>
      </c>
      <c r="J323" s="3">
        <v>2.3738799999999998</v>
      </c>
      <c r="K323" s="3">
        <v>2.208000000000002</v>
      </c>
      <c r="L323" s="3">
        <v>0.95120999999999967</v>
      </c>
      <c r="M323" s="3">
        <v>0.78533000000000186</v>
      </c>
      <c r="N323" s="3">
        <v>-0.16587999999999781</v>
      </c>
      <c r="P323" s="3">
        <f t="shared" ref="P323:P386" si="66">(B323-B$476)/B$477</f>
        <v>1.2996720795065582</v>
      </c>
      <c r="Q323" s="3">
        <f t="shared" ref="Q323:Q386" si="67">(C323-C$476)/C$477</f>
        <v>0.41780400162082693</v>
      </c>
      <c r="R323" s="3">
        <f t="shared" ref="R323:R386" si="68">(D323-D$476)/D$477</f>
        <v>0.65518553487626785</v>
      </c>
      <c r="S323" s="3">
        <f t="shared" ref="S323:S386" si="69">(E323-E$476)/E$477</f>
        <v>-0.94825028052889193</v>
      </c>
      <c r="T323" s="3">
        <f t="shared" ref="T323:T386" si="70">(F323-F$476)/F$477</f>
        <v>-0.77812041149229827</v>
      </c>
      <c r="U323" s="3">
        <f t="shared" ref="U323:U386" si="71">(G323-G$476)/G$477</f>
        <v>-0.51345116326616924</v>
      </c>
      <c r="V323" s="3">
        <f t="shared" ref="V323:V386" si="72">(H323-H$476)/H$477</f>
        <v>-0.92882502154477931</v>
      </c>
      <c r="W323" s="3">
        <f t="shared" ref="W323:W386" si="73">(I323-I$476)/I$477</f>
        <v>0.17421540979216643</v>
      </c>
      <c r="X323" s="3">
        <f t="shared" ref="X323:X386" si="74">(J323-J$476)/J$477</f>
        <v>0.42034237398593716</v>
      </c>
      <c r="Y323" s="3">
        <f t="shared" ref="Y323:Y386" si="75">(K323-K$476)/K$477</f>
        <v>-0.27164833531646132</v>
      </c>
      <c r="Z323" s="3">
        <f t="shared" ref="Z323:Z386" si="76">(L323-L$476)/L$477</f>
        <v>0.7178715802162029</v>
      </c>
      <c r="AA323" s="3">
        <f t="shared" ref="AA323:AA386" si="77">(M323-M$476)/M$477</f>
        <v>-0.69066344787815659</v>
      </c>
      <c r="AB323" s="3">
        <f t="shared" ref="AB323:AB386" si="78">(N323-N$476)/N$477</f>
        <v>-3.2032169368501004</v>
      </c>
    </row>
    <row r="324" spans="1:28" x14ac:dyDescent="0.25">
      <c r="A324" s="3">
        <v>1.2376623378635799E+18</v>
      </c>
      <c r="B324" s="3">
        <v>235.90980999999999</v>
      </c>
      <c r="C324" s="3">
        <v>35.747709999999998</v>
      </c>
      <c r="D324" s="16">
        <v>0.51307579999999997</v>
      </c>
      <c r="E324" s="3">
        <v>0.80823999999999785</v>
      </c>
      <c r="F324" s="3">
        <v>2.6162299999999981</v>
      </c>
      <c r="G324" s="3">
        <v>3.48048</v>
      </c>
      <c r="H324" s="3">
        <v>3.9831099999999999</v>
      </c>
      <c r="I324" s="3">
        <v>1.8079900000000002</v>
      </c>
      <c r="J324" s="3">
        <v>2.6722400000000022</v>
      </c>
      <c r="K324" s="3">
        <v>3.1748700000000021</v>
      </c>
      <c r="L324" s="3">
        <v>0.86425000000000196</v>
      </c>
      <c r="M324" s="3">
        <v>1.3668800000000019</v>
      </c>
      <c r="N324" s="3">
        <v>0.50262999999999991</v>
      </c>
      <c r="P324" s="3">
        <f t="shared" si="66"/>
        <v>-1.097037113391317</v>
      </c>
      <c r="Q324" s="3">
        <f t="shared" si="67"/>
        <v>-1.2027568173980794</v>
      </c>
      <c r="R324" s="3">
        <f t="shared" si="68"/>
        <v>0.66326268494024687</v>
      </c>
      <c r="S324" s="3">
        <f t="shared" si="69"/>
        <v>-0.98171843736353426</v>
      </c>
      <c r="T324" s="3">
        <f t="shared" si="70"/>
        <v>-0.46561433084358927</v>
      </c>
      <c r="U324" s="3">
        <f t="shared" si="71"/>
        <v>-0.29943669479909579</v>
      </c>
      <c r="V324" s="3">
        <f t="shared" si="72"/>
        <v>-0.21480728348663444</v>
      </c>
      <c r="W324" s="3">
        <f t="shared" si="73"/>
        <v>0.93226626480214503</v>
      </c>
      <c r="X324" s="3">
        <f t="shared" si="74"/>
        <v>0.80144334485641322</v>
      </c>
      <c r="Y324" s="3">
        <f t="shared" si="75"/>
        <v>0.77811256095545733</v>
      </c>
      <c r="Z324" s="3">
        <f t="shared" si="76"/>
        <v>0.45833307336637119</v>
      </c>
      <c r="AA324" s="3">
        <f t="shared" si="77"/>
        <v>0.49502496880926222</v>
      </c>
      <c r="AB324" s="3">
        <f t="shared" si="78"/>
        <v>0.49340952112300662</v>
      </c>
    </row>
    <row r="325" spans="1:28" x14ac:dyDescent="0.25">
      <c r="A325" s="3">
        <v>1.2376623378635799E+18</v>
      </c>
      <c r="B325" s="3">
        <v>235.90980999999999</v>
      </c>
      <c r="C325" s="3">
        <v>35.747709999999998</v>
      </c>
      <c r="D325" s="16">
        <v>0.51317179999999996</v>
      </c>
      <c r="E325" s="3">
        <v>0.80823999999999785</v>
      </c>
      <c r="F325" s="3">
        <v>2.6162299999999981</v>
      </c>
      <c r="G325" s="3">
        <v>3.48048</v>
      </c>
      <c r="H325" s="3">
        <v>3.9831099999999999</v>
      </c>
      <c r="I325" s="3">
        <v>1.8079900000000002</v>
      </c>
      <c r="J325" s="3">
        <v>2.6722400000000022</v>
      </c>
      <c r="K325" s="3">
        <v>3.1748700000000021</v>
      </c>
      <c r="L325" s="3">
        <v>0.86425000000000196</v>
      </c>
      <c r="M325" s="3">
        <v>1.3668800000000019</v>
      </c>
      <c r="N325" s="3">
        <v>0.50262999999999991</v>
      </c>
      <c r="P325" s="3">
        <f t="shared" si="66"/>
        <v>-1.097037113391317</v>
      </c>
      <c r="Q325" s="3">
        <f t="shared" si="67"/>
        <v>-1.2027568173980794</v>
      </c>
      <c r="R325" s="3">
        <f t="shared" si="68"/>
        <v>0.66363871248796125</v>
      </c>
      <c r="S325" s="3">
        <f t="shared" si="69"/>
        <v>-0.98171843736353426</v>
      </c>
      <c r="T325" s="3">
        <f t="shared" si="70"/>
        <v>-0.46561433084358927</v>
      </c>
      <c r="U325" s="3">
        <f t="shared" si="71"/>
        <v>-0.29943669479909579</v>
      </c>
      <c r="V325" s="3">
        <f t="shared" si="72"/>
        <v>-0.21480728348663444</v>
      </c>
      <c r="W325" s="3">
        <f t="shared" si="73"/>
        <v>0.93226626480214503</v>
      </c>
      <c r="X325" s="3">
        <f t="shared" si="74"/>
        <v>0.80144334485641322</v>
      </c>
      <c r="Y325" s="3">
        <f t="shared" si="75"/>
        <v>0.77811256095545733</v>
      </c>
      <c r="Z325" s="3">
        <f t="shared" si="76"/>
        <v>0.45833307336637119</v>
      </c>
      <c r="AA325" s="3">
        <f t="shared" si="77"/>
        <v>0.49502496880926222</v>
      </c>
      <c r="AB325" s="3">
        <f t="shared" si="78"/>
        <v>0.49340952112300662</v>
      </c>
    </row>
    <row r="326" spans="1:28" x14ac:dyDescent="0.25">
      <c r="A326" s="3">
        <v>1.23766247369074E+18</v>
      </c>
      <c r="B326" s="3">
        <v>235.84210999999999</v>
      </c>
      <c r="C326" s="3">
        <v>36.522838999999998</v>
      </c>
      <c r="D326" s="16">
        <v>0.52174149999999997</v>
      </c>
      <c r="E326" s="3">
        <v>1.9109599999999993</v>
      </c>
      <c r="F326" s="3">
        <v>3.3784999999999989</v>
      </c>
      <c r="G326" s="3">
        <v>4.3614800000000002</v>
      </c>
      <c r="H326" s="3">
        <v>4.6940600000000003</v>
      </c>
      <c r="I326" s="3">
        <v>1.4675399999999996</v>
      </c>
      <c r="J326" s="3">
        <v>2.4505200000000009</v>
      </c>
      <c r="K326" s="3">
        <v>2.783100000000001</v>
      </c>
      <c r="L326" s="3">
        <v>0.9829800000000013</v>
      </c>
      <c r="M326" s="3">
        <v>1.3155600000000014</v>
      </c>
      <c r="N326" s="3">
        <v>0.3325800000000001</v>
      </c>
      <c r="P326" s="3">
        <f t="shared" si="66"/>
        <v>-1.3053342395440417</v>
      </c>
      <c r="Q326" s="3">
        <f t="shared" si="67"/>
        <v>1.5412450505057791</v>
      </c>
      <c r="R326" s="3">
        <f t="shared" si="68"/>
        <v>0.69720582994263491</v>
      </c>
      <c r="S326" s="3">
        <f t="shared" si="69"/>
        <v>0.10375232453923502</v>
      </c>
      <c r="T326" s="3">
        <f t="shared" si="70"/>
        <v>0.21243989349915612</v>
      </c>
      <c r="U326" s="3">
        <f t="shared" si="71"/>
        <v>0.41378295537298687</v>
      </c>
      <c r="V326" s="3">
        <f t="shared" si="72"/>
        <v>0.32935311493162284</v>
      </c>
      <c r="W326" s="3">
        <f t="shared" si="73"/>
        <v>0.26248942065144537</v>
      </c>
      <c r="X326" s="3">
        <f t="shared" si="74"/>
        <v>0.5182361211622124</v>
      </c>
      <c r="Y326" s="3">
        <f t="shared" si="75"/>
        <v>0.35275566051129148</v>
      </c>
      <c r="Z326" s="3">
        <f t="shared" si="76"/>
        <v>0.81269147859039559</v>
      </c>
      <c r="AA326" s="3">
        <f t="shared" si="77"/>
        <v>0.39039161046621534</v>
      </c>
      <c r="AB326" s="3">
        <f t="shared" si="78"/>
        <v>-0.44690749609188679</v>
      </c>
    </row>
    <row r="327" spans="1:28" x14ac:dyDescent="0.25">
      <c r="A327" s="3">
        <v>1.2376624736911301E+18</v>
      </c>
      <c r="B327" s="3">
        <v>236.69861</v>
      </c>
      <c r="C327" s="3">
        <v>35.951822999999997</v>
      </c>
      <c r="D327" s="16">
        <v>0.5257349</v>
      </c>
      <c r="E327" s="3">
        <v>0.82813999999999766</v>
      </c>
      <c r="F327" s="3">
        <v>2.6037700000000008</v>
      </c>
      <c r="G327" s="3">
        <v>3.4088899999999995</v>
      </c>
      <c r="H327" s="3">
        <v>3.7686799999999998</v>
      </c>
      <c r="I327" s="3">
        <v>1.7756300000000032</v>
      </c>
      <c r="J327" s="3">
        <v>2.5807500000000019</v>
      </c>
      <c r="K327" s="3">
        <v>2.9405400000000022</v>
      </c>
      <c r="L327" s="3">
        <v>0.80511999999999873</v>
      </c>
      <c r="M327" s="3">
        <v>1.164909999999999</v>
      </c>
      <c r="N327" s="3">
        <v>0.35979000000000028</v>
      </c>
      <c r="P327" s="3">
        <f t="shared" si="66"/>
        <v>1.3299166991532336</v>
      </c>
      <c r="Q327" s="3">
        <f t="shared" si="67"/>
        <v>-0.48018489290104827</v>
      </c>
      <c r="R327" s="3">
        <f t="shared" si="68"/>
        <v>0.71284779253683239</v>
      </c>
      <c r="S327" s="3">
        <f t="shared" si="69"/>
        <v>-0.96212972203973057</v>
      </c>
      <c r="T327" s="3">
        <f t="shared" si="70"/>
        <v>-0.47669774700231093</v>
      </c>
      <c r="U327" s="3">
        <f t="shared" si="71"/>
        <v>-0.35739287499866418</v>
      </c>
      <c r="V327" s="3">
        <f t="shared" si="72"/>
        <v>-0.37893178483388379</v>
      </c>
      <c r="W327" s="3">
        <f t="shared" si="73"/>
        <v>0.86860352819848918</v>
      </c>
      <c r="X327" s="3">
        <f t="shared" si="74"/>
        <v>0.68458140684548785</v>
      </c>
      <c r="Y327" s="3">
        <f t="shared" si="75"/>
        <v>0.52369317590534858</v>
      </c>
      <c r="Z327" s="3">
        <f t="shared" si="76"/>
        <v>0.28185524551411961</v>
      </c>
      <c r="AA327" s="3">
        <f t="shared" si="77"/>
        <v>8.3240101612355025E-2</v>
      </c>
      <c r="AB327" s="3">
        <f t="shared" si="78"/>
        <v>-0.29644571403709435</v>
      </c>
    </row>
    <row r="328" spans="1:28" x14ac:dyDescent="0.25">
      <c r="A328" s="3">
        <v>1.2376614659862001E+18</v>
      </c>
      <c r="B328" s="3">
        <v>236.08600999999999</v>
      </c>
      <c r="C328" s="3">
        <v>35.839691000000002</v>
      </c>
      <c r="D328" s="16">
        <v>0.52591169999999998</v>
      </c>
      <c r="E328" s="3">
        <v>1.2871799999999993</v>
      </c>
      <c r="F328" s="3">
        <v>2.4778099999999981</v>
      </c>
      <c r="G328" s="3">
        <v>3.4781300000000002</v>
      </c>
      <c r="H328" s="3">
        <v>3.5588699999999989</v>
      </c>
      <c r="I328" s="3">
        <v>1.1906299999999987</v>
      </c>
      <c r="J328" s="3">
        <v>2.1909500000000008</v>
      </c>
      <c r="K328" s="3">
        <v>2.2716899999999995</v>
      </c>
      <c r="L328" s="3">
        <v>1.0003200000000021</v>
      </c>
      <c r="M328" s="3">
        <v>1.0810600000000008</v>
      </c>
      <c r="N328" s="3">
        <v>8.0739999999998702E-2</v>
      </c>
      <c r="P328" s="3">
        <f t="shared" si="66"/>
        <v>-0.5549107673335949</v>
      </c>
      <c r="Q328" s="3">
        <f t="shared" si="67"/>
        <v>-0.87713871278365241</v>
      </c>
      <c r="R328" s="3">
        <f t="shared" si="68"/>
        <v>0.71354030993720641</v>
      </c>
      <c r="S328" s="3">
        <f t="shared" si="69"/>
        <v>-0.51027023046993192</v>
      </c>
      <c r="T328" s="3">
        <f t="shared" si="70"/>
        <v>-0.58874165545760104</v>
      </c>
      <c r="U328" s="3">
        <f t="shared" si="71"/>
        <v>-0.30133915357083735</v>
      </c>
      <c r="V328" s="3">
        <f t="shared" si="72"/>
        <v>-0.539520142935206</v>
      </c>
      <c r="W328" s="3">
        <f t="shared" si="73"/>
        <v>-0.28228339742395631</v>
      </c>
      <c r="X328" s="3">
        <f t="shared" si="74"/>
        <v>0.18668236392649484</v>
      </c>
      <c r="Y328" s="3">
        <f t="shared" si="75"/>
        <v>-0.20249811710351029</v>
      </c>
      <c r="Z328" s="3">
        <f t="shared" si="76"/>
        <v>0.86444398214118223</v>
      </c>
      <c r="AA328" s="3">
        <f t="shared" si="77"/>
        <v>-8.7716778688974081E-2</v>
      </c>
      <c r="AB328" s="3">
        <f t="shared" si="78"/>
        <v>-1.8394946035038264</v>
      </c>
    </row>
    <row r="329" spans="1:28" x14ac:dyDescent="0.25">
      <c r="A329" s="3">
        <v>1.2376624736911301E+18</v>
      </c>
      <c r="B329" s="3">
        <v>236.73108999999999</v>
      </c>
      <c r="C329" s="3">
        <v>36.068480999999998</v>
      </c>
      <c r="D329" s="16">
        <v>0.52675000000000005</v>
      </c>
      <c r="E329" s="3">
        <v>2.237999999999829E-2</v>
      </c>
      <c r="F329" s="3">
        <v>2.6121099999999977</v>
      </c>
      <c r="G329" s="3">
        <v>3.688679999999998</v>
      </c>
      <c r="H329" s="3">
        <v>4.0405300000000004</v>
      </c>
      <c r="I329" s="3">
        <v>2.5897299999999994</v>
      </c>
      <c r="J329" s="3">
        <v>3.6662999999999997</v>
      </c>
      <c r="K329" s="3">
        <v>4.0181500000000021</v>
      </c>
      <c r="L329" s="3">
        <v>1.0765700000000002</v>
      </c>
      <c r="M329" s="3">
        <v>1.4284200000000027</v>
      </c>
      <c r="N329" s="3">
        <v>0.35185000000000244</v>
      </c>
      <c r="P329" s="3">
        <f t="shared" si="66"/>
        <v>1.4298500914344556</v>
      </c>
      <c r="Q329" s="3">
        <f t="shared" si="67"/>
        <v>-6.7208769048204053E-2</v>
      </c>
      <c r="R329" s="3">
        <f t="shared" si="68"/>
        <v>0.71682389215855091</v>
      </c>
      <c r="S329" s="3">
        <f t="shared" si="69"/>
        <v>-1.7552856647185371</v>
      </c>
      <c r="T329" s="3">
        <f t="shared" si="70"/>
        <v>-0.46927915223796707</v>
      </c>
      <c r="U329" s="3">
        <f t="shared" si="71"/>
        <v>-0.1308869431920287</v>
      </c>
      <c r="V329" s="3">
        <f t="shared" si="72"/>
        <v>-0.1708580745729604</v>
      </c>
      <c r="W329" s="3">
        <f t="shared" si="73"/>
        <v>2.4702053164877569</v>
      </c>
      <c r="X329" s="3">
        <f t="shared" si="74"/>
        <v>2.0711753166472078</v>
      </c>
      <c r="Y329" s="3">
        <f t="shared" si="75"/>
        <v>1.69368794193551</v>
      </c>
      <c r="Z329" s="3">
        <f t="shared" si="76"/>
        <v>1.0920177073861193</v>
      </c>
      <c r="AA329" s="3">
        <f t="shared" si="77"/>
        <v>0.62049528978414781</v>
      </c>
      <c r="AB329" s="3">
        <f t="shared" si="78"/>
        <v>-0.34035113665799543</v>
      </c>
    </row>
    <row r="330" spans="1:28" x14ac:dyDescent="0.25">
      <c r="A330" s="3">
        <v>1.23766250375584E+18</v>
      </c>
      <c r="B330" s="3">
        <v>236.86367999999999</v>
      </c>
      <c r="C330" s="3">
        <v>36.247342000000003</v>
      </c>
      <c r="D330" s="16">
        <v>0.5274221</v>
      </c>
      <c r="E330" s="3">
        <v>1.0399199999999986</v>
      </c>
      <c r="F330" s="3">
        <v>2.8054600000000001</v>
      </c>
      <c r="G330" s="3">
        <v>3.8454999999999977</v>
      </c>
      <c r="H330" s="3">
        <v>4.3072599999999994</v>
      </c>
      <c r="I330" s="3">
        <v>1.7655400000000014</v>
      </c>
      <c r="J330" s="3">
        <v>2.8055799999999991</v>
      </c>
      <c r="K330" s="3">
        <v>3.2673400000000008</v>
      </c>
      <c r="L330" s="3">
        <v>1.0400399999999976</v>
      </c>
      <c r="M330" s="3">
        <v>1.5017999999999994</v>
      </c>
      <c r="N330" s="3">
        <v>0.46176000000000172</v>
      </c>
      <c r="P330" s="3">
        <f t="shared" si="66"/>
        <v>1.8377986284593824</v>
      </c>
      <c r="Q330" s="3">
        <f t="shared" si="67"/>
        <v>0.56596960267465168</v>
      </c>
      <c r="R330" s="3">
        <f t="shared" si="68"/>
        <v>0.71945647668791413</v>
      </c>
      <c r="S330" s="3">
        <f t="shared" si="69"/>
        <v>-0.75366247926208141</v>
      </c>
      <c r="T330" s="3">
        <f t="shared" si="70"/>
        <v>-0.29729050743144014</v>
      </c>
      <c r="U330" s="3">
        <f t="shared" si="71"/>
        <v>-3.9322263475499433E-3</v>
      </c>
      <c r="V330" s="3">
        <f t="shared" si="72"/>
        <v>3.3296792956544009E-2</v>
      </c>
      <c r="W330" s="3">
        <f t="shared" si="73"/>
        <v>0.84875318789159626</v>
      </c>
      <c r="X330" s="3">
        <f t="shared" si="74"/>
        <v>0.97176109340135119</v>
      </c>
      <c r="Y330" s="3">
        <f t="shared" si="75"/>
        <v>0.87851012223904557</v>
      </c>
      <c r="Z330" s="3">
        <f t="shared" si="76"/>
        <v>0.98299123940974753</v>
      </c>
      <c r="AA330" s="3">
        <f t="shared" si="77"/>
        <v>0.77010549701743625</v>
      </c>
      <c r="AB330" s="3">
        <f t="shared" si="78"/>
        <v>0.26741271727960159</v>
      </c>
    </row>
    <row r="331" spans="1:28" x14ac:dyDescent="0.25">
      <c r="A331" s="3">
        <v>1.2376625037558999E+18</v>
      </c>
      <c r="B331" s="3">
        <v>236.86318</v>
      </c>
      <c r="C331" s="3">
        <v>36.162860000000002</v>
      </c>
      <c r="D331" s="16">
        <v>0.52834449999999999</v>
      </c>
      <c r="E331" s="3">
        <v>1.5045399999999987</v>
      </c>
      <c r="F331" s="3">
        <v>2.8871099999999998</v>
      </c>
      <c r="G331" s="3">
        <v>3.8932600000000015</v>
      </c>
      <c r="H331" s="3">
        <v>4.3489000000000004</v>
      </c>
      <c r="I331" s="3">
        <v>1.3825700000000012</v>
      </c>
      <c r="J331" s="3">
        <v>2.3887200000000028</v>
      </c>
      <c r="K331" s="3">
        <v>2.8443600000000018</v>
      </c>
      <c r="L331" s="3">
        <v>1.0061500000000017</v>
      </c>
      <c r="M331" s="3">
        <v>1.4617900000000006</v>
      </c>
      <c r="N331" s="3">
        <v>0.45563999999999893</v>
      </c>
      <c r="P331" s="3">
        <f t="shared" si="66"/>
        <v>1.8362602449575522</v>
      </c>
      <c r="Q331" s="3">
        <f t="shared" si="67"/>
        <v>0.26689839542494564</v>
      </c>
      <c r="R331" s="3">
        <f t="shared" si="68"/>
        <v>0.72306947470887062</v>
      </c>
      <c r="S331" s="3">
        <f t="shared" si="69"/>
        <v>-0.29631027254118758</v>
      </c>
      <c r="T331" s="3">
        <f t="shared" si="70"/>
        <v>-0.22466121936082875</v>
      </c>
      <c r="U331" s="3">
        <f t="shared" si="71"/>
        <v>3.4732212349636631E-2</v>
      </c>
      <c r="V331" s="3">
        <f t="shared" si="72"/>
        <v>6.5168006108153501E-2</v>
      </c>
      <c r="W331" s="3">
        <f t="shared" si="73"/>
        <v>9.5325553864887003E-2</v>
      </c>
      <c r="X331" s="3">
        <f t="shared" si="74"/>
        <v>0.439297791628111</v>
      </c>
      <c r="Y331" s="3">
        <f t="shared" si="75"/>
        <v>0.41926755198131177</v>
      </c>
      <c r="Z331" s="3">
        <f t="shared" si="76"/>
        <v>0.88184404533040084</v>
      </c>
      <c r="AA331" s="3">
        <f t="shared" si="77"/>
        <v>0.688531438808061</v>
      </c>
      <c r="AB331" s="3">
        <f t="shared" si="78"/>
        <v>0.23357125803021742</v>
      </c>
    </row>
    <row r="332" spans="1:28" x14ac:dyDescent="0.25">
      <c r="A332" s="3">
        <v>1.2376625037556401E+18</v>
      </c>
      <c r="B332" s="3">
        <v>236.33627000000001</v>
      </c>
      <c r="C332" s="3">
        <v>36.486868999999999</v>
      </c>
      <c r="D332" s="16">
        <v>0.52961060000000004</v>
      </c>
      <c r="E332" s="3">
        <v>2.4346200000000024</v>
      </c>
      <c r="F332" s="3">
        <v>4.0475500000000011</v>
      </c>
      <c r="G332" s="3">
        <v>5.0888400000000011</v>
      </c>
      <c r="H332" s="3">
        <v>5.5393700000000017</v>
      </c>
      <c r="I332" s="3">
        <v>1.6129299999999986</v>
      </c>
      <c r="J332" s="3">
        <v>2.6542199999999987</v>
      </c>
      <c r="K332" s="3">
        <v>3.1047499999999992</v>
      </c>
      <c r="L332" s="3">
        <v>1.04129</v>
      </c>
      <c r="M332" s="3">
        <v>1.4918200000000006</v>
      </c>
      <c r="N332" s="3">
        <v>0.45053000000000054</v>
      </c>
      <c r="P332" s="3">
        <f t="shared" si="66"/>
        <v>0.21508094302068329</v>
      </c>
      <c r="Q332" s="3">
        <f t="shared" si="67"/>
        <v>1.4139091526249117</v>
      </c>
      <c r="R332" s="3">
        <f t="shared" si="68"/>
        <v>0.72802872968971755</v>
      </c>
      <c r="S332" s="3">
        <f t="shared" si="69"/>
        <v>0.61922100124593016</v>
      </c>
      <c r="T332" s="3">
        <f t="shared" si="70"/>
        <v>0.80757308619533297</v>
      </c>
      <c r="U332" s="3">
        <f t="shared" si="71"/>
        <v>1.0026222797193733</v>
      </c>
      <c r="V332" s="3">
        <f t="shared" si="72"/>
        <v>0.9763525190907586</v>
      </c>
      <c r="W332" s="3">
        <f t="shared" si="73"/>
        <v>0.5485192499099838</v>
      </c>
      <c r="X332" s="3">
        <f t="shared" si="74"/>
        <v>0.77842605200520243</v>
      </c>
      <c r="Y332" s="3">
        <f t="shared" si="75"/>
        <v>0.70198109131983932</v>
      </c>
      <c r="Z332" s="3">
        <f t="shared" si="76"/>
        <v>0.98672195621704883</v>
      </c>
      <c r="AA332" s="3">
        <f t="shared" si="77"/>
        <v>0.74975785640435222</v>
      </c>
      <c r="AB332" s="3">
        <f t="shared" si="78"/>
        <v>0.20531474548704423</v>
      </c>
    </row>
    <row r="333" spans="1:28" x14ac:dyDescent="0.25">
      <c r="A333" s="3">
        <v>1.2376625037556401E+18</v>
      </c>
      <c r="B333" s="3">
        <v>236.33627000000001</v>
      </c>
      <c r="C333" s="3">
        <v>36.486868999999999</v>
      </c>
      <c r="D333" s="16">
        <v>0.52992499999999998</v>
      </c>
      <c r="E333" s="3">
        <v>2.4346200000000024</v>
      </c>
      <c r="F333" s="3">
        <v>4.0475500000000011</v>
      </c>
      <c r="G333" s="3">
        <v>5.0888400000000011</v>
      </c>
      <c r="H333" s="3">
        <v>5.5393700000000017</v>
      </c>
      <c r="I333" s="3">
        <v>1.6129299999999986</v>
      </c>
      <c r="J333" s="3">
        <v>2.6542199999999987</v>
      </c>
      <c r="K333" s="3">
        <v>3.1047499999999992</v>
      </c>
      <c r="L333" s="3">
        <v>1.04129</v>
      </c>
      <c r="M333" s="3">
        <v>1.4918200000000006</v>
      </c>
      <c r="N333" s="3">
        <v>0.45053000000000054</v>
      </c>
      <c r="P333" s="3">
        <f t="shared" si="66"/>
        <v>0.21508094302068329</v>
      </c>
      <c r="Q333" s="3">
        <f t="shared" si="67"/>
        <v>1.4139091526249117</v>
      </c>
      <c r="R333" s="3">
        <f t="shared" si="68"/>
        <v>0.72926021990848211</v>
      </c>
      <c r="S333" s="3">
        <f t="shared" si="69"/>
        <v>0.61922100124593016</v>
      </c>
      <c r="T333" s="3">
        <f t="shared" si="70"/>
        <v>0.80757308619533297</v>
      </c>
      <c r="U333" s="3">
        <f t="shared" si="71"/>
        <v>1.0026222797193733</v>
      </c>
      <c r="V333" s="3">
        <f t="shared" si="72"/>
        <v>0.9763525190907586</v>
      </c>
      <c r="W333" s="3">
        <f t="shared" si="73"/>
        <v>0.5485192499099838</v>
      </c>
      <c r="X333" s="3">
        <f t="shared" si="74"/>
        <v>0.77842605200520243</v>
      </c>
      <c r="Y333" s="3">
        <f t="shared" si="75"/>
        <v>0.70198109131983932</v>
      </c>
      <c r="Z333" s="3">
        <f t="shared" si="76"/>
        <v>0.98672195621704883</v>
      </c>
      <c r="AA333" s="3">
        <f t="shared" si="77"/>
        <v>0.74975785640435222</v>
      </c>
      <c r="AB333" s="3">
        <f t="shared" si="78"/>
        <v>0.20531474548704423</v>
      </c>
    </row>
    <row r="334" spans="1:28" x14ac:dyDescent="0.25">
      <c r="A334" s="3">
        <v>1.23766247422781E+18</v>
      </c>
      <c r="B334" s="3">
        <v>236.60076000000001</v>
      </c>
      <c r="C334" s="3">
        <v>36.570005000000002</v>
      </c>
      <c r="D334" s="16">
        <v>0.53062200000000004</v>
      </c>
      <c r="E334" s="3">
        <v>1.0395200000000031</v>
      </c>
      <c r="F334" s="3">
        <v>2.5523699999999998</v>
      </c>
      <c r="G334" s="3">
        <v>3.5011800000000015</v>
      </c>
      <c r="H334" s="3">
        <v>3.941080000000003</v>
      </c>
      <c r="I334" s="3">
        <v>1.5128499999999967</v>
      </c>
      <c r="J334" s="3">
        <v>2.4616599999999984</v>
      </c>
      <c r="K334" s="3">
        <v>2.9015599999999999</v>
      </c>
      <c r="L334" s="3">
        <v>0.94881000000000171</v>
      </c>
      <c r="M334" s="3">
        <v>1.3887100000000032</v>
      </c>
      <c r="N334" s="3">
        <v>0.43990000000000151</v>
      </c>
      <c r="P334" s="3">
        <f t="shared" si="66"/>
        <v>1.0288550478379865</v>
      </c>
      <c r="Q334" s="3">
        <f t="shared" si="67"/>
        <v>1.7082154413717705</v>
      </c>
      <c r="R334" s="3">
        <f t="shared" si="68"/>
        <v>0.73199033658303425</v>
      </c>
      <c r="S334" s="3">
        <f t="shared" si="69"/>
        <v>-0.75405622228366098</v>
      </c>
      <c r="T334" s="3">
        <f t="shared" si="70"/>
        <v>-0.52241906245643843</v>
      </c>
      <c r="U334" s="3">
        <f t="shared" si="71"/>
        <v>-0.28267886646928514</v>
      </c>
      <c r="V334" s="3">
        <f t="shared" si="72"/>
        <v>-0.24697700223692301</v>
      </c>
      <c r="W334" s="3">
        <f t="shared" si="73"/>
        <v>0.35162905586503385</v>
      </c>
      <c r="X334" s="3">
        <f t="shared" si="74"/>
        <v>0.53246545758631791</v>
      </c>
      <c r="Y334" s="3">
        <f t="shared" si="75"/>
        <v>0.4813713749014063</v>
      </c>
      <c r="Z334" s="3">
        <f t="shared" si="76"/>
        <v>0.71070860394620428</v>
      </c>
      <c r="AA334" s="3">
        <f t="shared" si="77"/>
        <v>0.53953288409821065</v>
      </c>
      <c r="AB334" s="3">
        <f t="shared" si="78"/>
        <v>0.14653456381698593</v>
      </c>
    </row>
    <row r="335" spans="1:28" x14ac:dyDescent="0.25">
      <c r="A335" s="3">
        <v>1.23766146598607E+18</v>
      </c>
      <c r="B335" s="3">
        <v>235.89977999999999</v>
      </c>
      <c r="C335" s="3">
        <v>36.042614999999998</v>
      </c>
      <c r="D335" s="16">
        <v>0.53627650000000004</v>
      </c>
      <c r="E335" s="3">
        <v>2.0813400000000009</v>
      </c>
      <c r="F335" s="3">
        <v>3.8383600000000015</v>
      </c>
      <c r="G335" s="3">
        <v>4.8928200000000004</v>
      </c>
      <c r="H335" s="3">
        <v>5.5482000000000014</v>
      </c>
      <c r="I335" s="3">
        <v>1.7570200000000007</v>
      </c>
      <c r="J335" s="3">
        <v>2.8114799999999995</v>
      </c>
      <c r="K335" s="3">
        <v>3.4668600000000005</v>
      </c>
      <c r="L335" s="3">
        <v>1.0544599999999988</v>
      </c>
      <c r="M335" s="3">
        <v>1.7098399999999998</v>
      </c>
      <c r="N335" s="3">
        <v>0.65538000000000096</v>
      </c>
      <c r="P335" s="3">
        <f t="shared" si="66"/>
        <v>-1.1278970864387594</v>
      </c>
      <c r="Q335" s="3">
        <f t="shared" si="67"/>
        <v>-0.15877591763276597</v>
      </c>
      <c r="R335" s="3">
        <f t="shared" si="68"/>
        <v>0.75413875083877857</v>
      </c>
      <c r="S335" s="3">
        <f t="shared" si="69"/>
        <v>0.27146716458294085</v>
      </c>
      <c r="T335" s="3">
        <f t="shared" si="70"/>
        <v>0.6214944484550855</v>
      </c>
      <c r="U335" s="3">
        <f t="shared" si="71"/>
        <v>0.84393293144839487</v>
      </c>
      <c r="V335" s="3">
        <f t="shared" si="72"/>
        <v>0.98311099200451202</v>
      </c>
      <c r="W335" s="3">
        <f t="shared" si="73"/>
        <v>0.83199155266714497</v>
      </c>
      <c r="X335" s="3">
        <f t="shared" si="74"/>
        <v>0.97929727696528723</v>
      </c>
      <c r="Y335" s="3">
        <f t="shared" si="75"/>
        <v>1.0951352052638295</v>
      </c>
      <c r="Z335" s="3">
        <f t="shared" si="76"/>
        <v>1.0260287884986963</v>
      </c>
      <c r="AA335" s="3">
        <f t="shared" si="77"/>
        <v>1.1942661336052638</v>
      </c>
      <c r="AB335" s="3">
        <f t="shared" si="78"/>
        <v>1.3380635898061946</v>
      </c>
    </row>
    <row r="336" spans="1:28" x14ac:dyDescent="0.25">
      <c r="A336" s="3">
        <v>1.2376624731539999E+18</v>
      </c>
      <c r="B336" s="3">
        <v>235.90816000000001</v>
      </c>
      <c r="C336" s="3">
        <v>36.137295000000002</v>
      </c>
      <c r="D336" s="16">
        <v>0.53643940000000001</v>
      </c>
      <c r="E336" s="3">
        <v>1.2640600000000006</v>
      </c>
      <c r="F336" s="3">
        <v>3.0131100000000011</v>
      </c>
      <c r="G336" s="3">
        <v>3.8672199999999997</v>
      </c>
      <c r="H336" s="3">
        <v>4.2782000000000018</v>
      </c>
      <c r="I336" s="3">
        <v>1.7490500000000004</v>
      </c>
      <c r="J336" s="3">
        <v>2.603159999999999</v>
      </c>
      <c r="K336" s="3">
        <v>3.0141400000000012</v>
      </c>
      <c r="L336" s="3">
        <v>0.85410999999999859</v>
      </c>
      <c r="M336" s="3">
        <v>1.2650900000000007</v>
      </c>
      <c r="N336" s="3">
        <v>0.41098000000000212</v>
      </c>
      <c r="P336" s="3">
        <f t="shared" si="66"/>
        <v>-1.1021137789474262</v>
      </c>
      <c r="Q336" s="3">
        <f t="shared" si="67"/>
        <v>0.17639680439562933</v>
      </c>
      <c r="R336" s="3">
        <f t="shared" si="68"/>
        <v>0.75477682258380641</v>
      </c>
      <c r="S336" s="3">
        <f t="shared" si="69"/>
        <v>-0.53302857711748575</v>
      </c>
      <c r="T336" s="3">
        <f t="shared" si="70"/>
        <v>-0.11258173011530334</v>
      </c>
      <c r="U336" s="3">
        <f t="shared" si="71"/>
        <v>1.3651350044889364E-2</v>
      </c>
      <c r="V336" s="3">
        <f t="shared" si="72"/>
        <v>1.1054298859865952E-2</v>
      </c>
      <c r="W336" s="3">
        <f t="shared" si="73"/>
        <v>0.81631194788558747</v>
      </c>
      <c r="X336" s="3">
        <f t="shared" si="74"/>
        <v>0.71320613119595777</v>
      </c>
      <c r="Y336" s="3">
        <f t="shared" si="75"/>
        <v>0.60360299001232487</v>
      </c>
      <c r="Z336" s="3">
        <f t="shared" si="76"/>
        <v>0.42806949862559107</v>
      </c>
      <c r="AA336" s="3">
        <f t="shared" si="77"/>
        <v>0.2874912676062466</v>
      </c>
      <c r="AB336" s="3">
        <f t="shared" si="78"/>
        <v>-1.3382920086890434E-2</v>
      </c>
    </row>
    <row r="337" spans="1:28" x14ac:dyDescent="0.25">
      <c r="A337" s="3">
        <v>1.2376624736911301E+18</v>
      </c>
      <c r="B337" s="3">
        <v>236.72568999999999</v>
      </c>
      <c r="C337" s="3">
        <v>36.086035000000003</v>
      </c>
      <c r="D337" s="16">
        <v>0.53951959999999999</v>
      </c>
      <c r="E337" s="3">
        <v>2.6192099999999989</v>
      </c>
      <c r="F337" s="3">
        <v>4.4450900000000004</v>
      </c>
      <c r="G337" s="3">
        <v>5.6276100000000007</v>
      </c>
      <c r="H337" s="3">
        <v>6.0324500000000008</v>
      </c>
      <c r="I337" s="3">
        <v>1.8258800000000015</v>
      </c>
      <c r="J337" s="3">
        <v>3.0084000000000017</v>
      </c>
      <c r="K337" s="3">
        <v>3.4132400000000018</v>
      </c>
      <c r="L337" s="3">
        <v>1.1825200000000002</v>
      </c>
      <c r="M337" s="3">
        <v>1.5873600000000003</v>
      </c>
      <c r="N337" s="3">
        <v>0.40484000000000009</v>
      </c>
      <c r="P337" s="3">
        <f t="shared" si="66"/>
        <v>1.413235549614271</v>
      </c>
      <c r="Q337" s="3">
        <f t="shared" si="67"/>
        <v>-5.0665852449977393E-3</v>
      </c>
      <c r="R337" s="3">
        <f t="shared" si="68"/>
        <v>0.76684182313036986</v>
      </c>
      <c r="S337" s="3">
        <f t="shared" si="69"/>
        <v>0.80092356213140248</v>
      </c>
      <c r="T337" s="3">
        <f t="shared" si="70"/>
        <v>1.1611927699625209</v>
      </c>
      <c r="U337" s="3">
        <f t="shared" si="71"/>
        <v>1.4387872637411812</v>
      </c>
      <c r="V337" s="3">
        <f t="shared" si="72"/>
        <v>1.3537554437015942</v>
      </c>
      <c r="W337" s="3">
        <f t="shared" si="73"/>
        <v>0.96746176411733631</v>
      </c>
      <c r="X337" s="3">
        <f t="shared" si="74"/>
        <v>1.2308269833059977</v>
      </c>
      <c r="Y337" s="3">
        <f t="shared" si="75"/>
        <v>1.0369182999320901</v>
      </c>
      <c r="Z337" s="3">
        <f t="shared" si="76"/>
        <v>1.4082332639723703</v>
      </c>
      <c r="AA337" s="3">
        <f t="shared" si="77"/>
        <v>0.9445487967023759</v>
      </c>
      <c r="AB337" s="3">
        <f t="shared" si="78"/>
        <v>-4.7334972340353318E-2</v>
      </c>
    </row>
    <row r="338" spans="1:28" x14ac:dyDescent="0.25">
      <c r="A338" s="3">
        <v>1.2376614659863301E+18</v>
      </c>
      <c r="B338" s="3">
        <v>236.49252999999999</v>
      </c>
      <c r="C338" s="3">
        <v>35.737130000000001</v>
      </c>
      <c r="D338" s="16">
        <v>0.54048229999999997</v>
      </c>
      <c r="E338" s="3">
        <v>1.6594900000000017</v>
      </c>
      <c r="F338" s="3">
        <v>3.1494300000000024</v>
      </c>
      <c r="G338" s="3">
        <v>4.2224600000000017</v>
      </c>
      <c r="H338" s="3">
        <v>4.8844999999999992</v>
      </c>
      <c r="I338" s="3">
        <v>1.4899400000000007</v>
      </c>
      <c r="J338" s="3">
        <v>2.56297</v>
      </c>
      <c r="K338" s="3">
        <v>3.2250099999999975</v>
      </c>
      <c r="L338" s="3">
        <v>1.0730299999999993</v>
      </c>
      <c r="M338" s="3">
        <v>1.7350699999999968</v>
      </c>
      <c r="N338" s="3">
        <v>0.66203999999999752</v>
      </c>
      <c r="P338" s="3">
        <f t="shared" si="66"/>
        <v>0.69585655502391086</v>
      </c>
      <c r="Q338" s="3">
        <f t="shared" si="67"/>
        <v>-1.2402106344561634</v>
      </c>
      <c r="R338" s="3">
        <f t="shared" si="68"/>
        <v>0.77061267438229397</v>
      </c>
      <c r="S338" s="3">
        <f t="shared" si="69"/>
        <v>-0.14378406955508308</v>
      </c>
      <c r="T338" s="3">
        <f t="shared" si="70"/>
        <v>8.677603011284148E-3</v>
      </c>
      <c r="U338" s="3">
        <f t="shared" si="71"/>
        <v>0.30123835177829689</v>
      </c>
      <c r="V338" s="3">
        <f t="shared" si="72"/>
        <v>0.47511569496506012</v>
      </c>
      <c r="W338" s="3">
        <f t="shared" si="73"/>
        <v>0.30655756959835795</v>
      </c>
      <c r="X338" s="3">
        <f t="shared" si="74"/>
        <v>0.66187067061382898</v>
      </c>
      <c r="Y338" s="3">
        <f t="shared" si="75"/>
        <v>0.83255112181583069</v>
      </c>
      <c r="Z338" s="3">
        <f t="shared" si="76"/>
        <v>1.0814523173878592</v>
      </c>
      <c r="AA338" s="3">
        <f t="shared" si="77"/>
        <v>1.2457061108265173</v>
      </c>
      <c r="AB338" s="3">
        <f t="shared" si="78"/>
        <v>1.3748910601657827</v>
      </c>
    </row>
    <row r="339" spans="1:28" x14ac:dyDescent="0.25">
      <c r="A339" s="3">
        <v>1.2376623378636401E+18</v>
      </c>
      <c r="B339" s="3">
        <v>235.91525999999999</v>
      </c>
      <c r="C339" s="3">
        <v>35.668117000000002</v>
      </c>
      <c r="D339" s="16">
        <v>0.54120729999999995</v>
      </c>
      <c r="E339" s="3">
        <v>1.1325000000000003</v>
      </c>
      <c r="F339" s="3">
        <v>2.8493700000000004</v>
      </c>
      <c r="G339" s="3">
        <v>3.8497500000000002</v>
      </c>
      <c r="H339" s="3">
        <v>4.4014300000000013</v>
      </c>
      <c r="I339" s="3">
        <v>1.7168700000000001</v>
      </c>
      <c r="J339" s="3">
        <v>2.7172499999999999</v>
      </c>
      <c r="K339" s="3">
        <v>3.268930000000001</v>
      </c>
      <c r="L339" s="3">
        <v>1.0003799999999998</v>
      </c>
      <c r="M339" s="3">
        <v>1.5520600000000009</v>
      </c>
      <c r="N339" s="3">
        <v>0.55168000000000106</v>
      </c>
      <c r="P339" s="3">
        <f t="shared" si="66"/>
        <v>-1.0802687332209844</v>
      </c>
      <c r="Q339" s="3">
        <f t="shared" si="67"/>
        <v>-1.48452067950627</v>
      </c>
      <c r="R339" s="3">
        <f t="shared" si="68"/>
        <v>0.77345246575826243</v>
      </c>
      <c r="S339" s="3">
        <f t="shared" si="69"/>
        <v>-0.66253065691646329</v>
      </c>
      <c r="T339" s="3">
        <f t="shared" si="70"/>
        <v>-0.25823169494913056</v>
      </c>
      <c r="U339" s="3">
        <f t="shared" si="71"/>
        <v>-4.9160941993001746E-4</v>
      </c>
      <c r="V339" s="3">
        <f t="shared" si="72"/>
        <v>0.10537441405373547</v>
      </c>
      <c r="W339" s="3">
        <f t="shared" si="73"/>
        <v>0.75300333033596289</v>
      </c>
      <c r="X339" s="3">
        <f t="shared" si="74"/>
        <v>0.85893548421450128</v>
      </c>
      <c r="Y339" s="3">
        <f t="shared" si="75"/>
        <v>0.8802364347992373</v>
      </c>
      <c r="Z339" s="3">
        <f t="shared" si="76"/>
        <v>0.86462305654792559</v>
      </c>
      <c r="AA339" s="3">
        <f t="shared" si="77"/>
        <v>0.87257768311099904</v>
      </c>
      <c r="AB339" s="3">
        <f t="shared" si="78"/>
        <v>0.76463886363633593</v>
      </c>
    </row>
    <row r="340" spans="1:28" x14ac:dyDescent="0.25">
      <c r="A340" s="3">
        <v>1.2376623378636401E+18</v>
      </c>
      <c r="B340" s="3">
        <v>235.91525999999999</v>
      </c>
      <c r="C340" s="3">
        <v>35.668117000000002</v>
      </c>
      <c r="D340" s="16">
        <v>0.54141649999999997</v>
      </c>
      <c r="E340" s="3">
        <v>1.1325000000000003</v>
      </c>
      <c r="F340" s="3">
        <v>2.8493700000000004</v>
      </c>
      <c r="G340" s="3">
        <v>3.8497500000000002</v>
      </c>
      <c r="H340" s="3">
        <v>4.4014300000000013</v>
      </c>
      <c r="I340" s="3">
        <v>1.7168700000000001</v>
      </c>
      <c r="J340" s="3">
        <v>2.7172499999999999</v>
      </c>
      <c r="K340" s="3">
        <v>3.268930000000001</v>
      </c>
      <c r="L340" s="3">
        <v>1.0003799999999998</v>
      </c>
      <c r="M340" s="3">
        <v>1.5520600000000009</v>
      </c>
      <c r="N340" s="3">
        <v>0.55168000000000106</v>
      </c>
      <c r="P340" s="3">
        <f t="shared" si="66"/>
        <v>-1.0802687332209844</v>
      </c>
      <c r="Q340" s="3">
        <f t="shared" si="67"/>
        <v>-1.48452067950627</v>
      </c>
      <c r="R340" s="3">
        <f t="shared" si="68"/>
        <v>0.77427189245599037</v>
      </c>
      <c r="S340" s="3">
        <f t="shared" si="69"/>
        <v>-0.66253065691646329</v>
      </c>
      <c r="T340" s="3">
        <f t="shared" si="70"/>
        <v>-0.25823169494913056</v>
      </c>
      <c r="U340" s="3">
        <f t="shared" si="71"/>
        <v>-4.9160941993001746E-4</v>
      </c>
      <c r="V340" s="3">
        <f t="shared" si="72"/>
        <v>0.10537441405373547</v>
      </c>
      <c r="W340" s="3">
        <f t="shared" si="73"/>
        <v>0.75300333033596289</v>
      </c>
      <c r="X340" s="3">
        <f t="shared" si="74"/>
        <v>0.85893548421450128</v>
      </c>
      <c r="Y340" s="3">
        <f t="shared" si="75"/>
        <v>0.8802364347992373</v>
      </c>
      <c r="Z340" s="3">
        <f t="shared" si="76"/>
        <v>0.86462305654792559</v>
      </c>
      <c r="AA340" s="3">
        <f t="shared" si="77"/>
        <v>0.87257768311099904</v>
      </c>
      <c r="AB340" s="3">
        <f t="shared" si="78"/>
        <v>0.76463886363633593</v>
      </c>
    </row>
    <row r="341" spans="1:28" x14ac:dyDescent="0.25">
      <c r="A341" s="3">
        <v>1.2376614659862001E+18</v>
      </c>
      <c r="B341" s="3">
        <v>236.13220999999999</v>
      </c>
      <c r="C341" s="3">
        <v>35.763306999999998</v>
      </c>
      <c r="D341" s="16">
        <v>0.54212579999999999</v>
      </c>
      <c r="E341" s="3">
        <v>2.6087200000000017</v>
      </c>
      <c r="F341" s="3">
        <v>4.3053200000000018</v>
      </c>
      <c r="G341" s="3">
        <v>5.2240600000000015</v>
      </c>
      <c r="H341" s="3">
        <v>5.8027499999999996</v>
      </c>
      <c r="I341" s="3">
        <v>1.6966000000000001</v>
      </c>
      <c r="J341" s="3">
        <v>2.6153399999999998</v>
      </c>
      <c r="K341" s="3">
        <v>3.1940299999999979</v>
      </c>
      <c r="L341" s="3">
        <v>0.91873999999999967</v>
      </c>
      <c r="M341" s="3">
        <v>1.4974299999999978</v>
      </c>
      <c r="N341" s="3">
        <v>0.57868999999999815</v>
      </c>
      <c r="P341" s="3">
        <f t="shared" si="66"/>
        <v>-0.41276413176113758</v>
      </c>
      <c r="Q341" s="3">
        <f t="shared" si="67"/>
        <v>-1.147542527733139</v>
      </c>
      <c r="R341" s="3">
        <f t="shared" si="68"/>
        <v>0.77705018766009326</v>
      </c>
      <c r="S341" s="3">
        <f t="shared" si="69"/>
        <v>0.79059765139036486</v>
      </c>
      <c r="T341" s="3">
        <f t="shared" si="70"/>
        <v>1.0368645936780225</v>
      </c>
      <c r="U341" s="3">
        <f t="shared" si="71"/>
        <v>1.1120905670023125</v>
      </c>
      <c r="V341" s="3">
        <f t="shared" si="72"/>
        <v>1.177943300067479</v>
      </c>
      <c r="W341" s="3">
        <f t="shared" si="73"/>
        <v>0.71312559019516497</v>
      </c>
      <c r="X341" s="3">
        <f t="shared" si="74"/>
        <v>0.72876387963811706</v>
      </c>
      <c r="Y341" s="3">
        <f t="shared" si="75"/>
        <v>0.79891517017134528</v>
      </c>
      <c r="Z341" s="3">
        <f t="shared" si="76"/>
        <v>0.62096248042993041</v>
      </c>
      <c r="AA341" s="3">
        <f t="shared" si="77"/>
        <v>0.76119575859266475</v>
      </c>
      <c r="AB341" s="3">
        <f t="shared" si="78"/>
        <v>0.91399471565028223</v>
      </c>
    </row>
    <row r="342" spans="1:28" x14ac:dyDescent="0.25">
      <c r="A342" s="3">
        <v>1.2376614659862001E+18</v>
      </c>
      <c r="B342" s="3">
        <v>236.06861000000001</v>
      </c>
      <c r="C342" s="3">
        <v>35.751274000000002</v>
      </c>
      <c r="D342" s="16">
        <v>0.54225440000000003</v>
      </c>
      <c r="E342" s="3">
        <v>4.1862099999999991</v>
      </c>
      <c r="F342" s="3">
        <v>5.7881099999999996</v>
      </c>
      <c r="G342" s="3">
        <v>6.8258499999999991</v>
      </c>
      <c r="H342" s="3">
        <v>7.3196900000000014</v>
      </c>
      <c r="I342" s="3">
        <v>1.6019000000000005</v>
      </c>
      <c r="J342" s="3">
        <v>2.63964</v>
      </c>
      <c r="K342" s="3">
        <v>3.1334800000000023</v>
      </c>
      <c r="L342" s="3">
        <v>1.0377399999999994</v>
      </c>
      <c r="M342" s="3">
        <v>1.5315800000000017</v>
      </c>
      <c r="N342" s="3">
        <v>0.49384000000000228</v>
      </c>
      <c r="P342" s="3">
        <f t="shared" si="66"/>
        <v>-0.60844651319848841</v>
      </c>
      <c r="Q342" s="3">
        <f t="shared" si="67"/>
        <v>-1.1901400495346381</v>
      </c>
      <c r="R342" s="3">
        <f t="shared" si="68"/>
        <v>0.77755390789588585</v>
      </c>
      <c r="S342" s="3">
        <f t="shared" si="69"/>
        <v>2.343411849186718</v>
      </c>
      <c r="T342" s="3">
        <f t="shared" si="70"/>
        <v>2.3558355925539809</v>
      </c>
      <c r="U342" s="3">
        <f t="shared" si="71"/>
        <v>2.4088307525291435</v>
      </c>
      <c r="V342" s="3">
        <f t="shared" si="72"/>
        <v>2.3390076151059369</v>
      </c>
      <c r="W342" s="3">
        <f t="shared" si="73"/>
        <v>0.52681962120979009</v>
      </c>
      <c r="X342" s="3">
        <f t="shared" si="74"/>
        <v>0.75980273736754655</v>
      </c>
      <c r="Y342" s="3">
        <f t="shared" si="75"/>
        <v>0.73317414783198209</v>
      </c>
      <c r="Z342" s="3">
        <f t="shared" si="76"/>
        <v>0.97612672048433169</v>
      </c>
      <c r="AA342" s="3">
        <f t="shared" si="77"/>
        <v>0.83082220417753272</v>
      </c>
      <c r="AB342" s="3">
        <f t="shared" si="78"/>
        <v>0.44480389582858326</v>
      </c>
    </row>
    <row r="343" spans="1:28" x14ac:dyDescent="0.25">
      <c r="A343" s="3">
        <v>1.2376614659862001E+18</v>
      </c>
      <c r="B343" s="3">
        <v>236.06861000000001</v>
      </c>
      <c r="C343" s="3">
        <v>35.751274000000002</v>
      </c>
      <c r="D343" s="16">
        <v>0.54251059999999995</v>
      </c>
      <c r="E343" s="3">
        <v>4.1862099999999991</v>
      </c>
      <c r="F343" s="3">
        <v>5.7881099999999996</v>
      </c>
      <c r="G343" s="3">
        <v>6.8258499999999991</v>
      </c>
      <c r="H343" s="3">
        <v>7.3196900000000014</v>
      </c>
      <c r="I343" s="3">
        <v>1.6019000000000005</v>
      </c>
      <c r="J343" s="3">
        <v>2.63964</v>
      </c>
      <c r="K343" s="3">
        <v>3.1334800000000023</v>
      </c>
      <c r="L343" s="3">
        <v>1.0377399999999994</v>
      </c>
      <c r="M343" s="3">
        <v>1.5315800000000017</v>
      </c>
      <c r="N343" s="3">
        <v>0.49384000000000228</v>
      </c>
      <c r="P343" s="3">
        <f t="shared" si="66"/>
        <v>-0.60844651319848841</v>
      </c>
      <c r="Q343" s="3">
        <f t="shared" si="67"/>
        <v>-1.1901400495346381</v>
      </c>
      <c r="R343" s="3">
        <f t="shared" si="68"/>
        <v>0.77855743141384859</v>
      </c>
      <c r="S343" s="3">
        <f t="shared" si="69"/>
        <v>2.343411849186718</v>
      </c>
      <c r="T343" s="3">
        <f t="shared" si="70"/>
        <v>2.3558355925539809</v>
      </c>
      <c r="U343" s="3">
        <f t="shared" si="71"/>
        <v>2.4088307525291435</v>
      </c>
      <c r="V343" s="3">
        <f t="shared" si="72"/>
        <v>2.3390076151059369</v>
      </c>
      <c r="W343" s="3">
        <f t="shared" si="73"/>
        <v>0.52681962120979009</v>
      </c>
      <c r="X343" s="3">
        <f t="shared" si="74"/>
        <v>0.75980273736754655</v>
      </c>
      <c r="Y343" s="3">
        <f t="shared" si="75"/>
        <v>0.73317414783198209</v>
      </c>
      <c r="Z343" s="3">
        <f t="shared" si="76"/>
        <v>0.97612672048433169</v>
      </c>
      <c r="AA343" s="3">
        <f t="shared" si="77"/>
        <v>0.83082220417753272</v>
      </c>
      <c r="AB343" s="3">
        <f t="shared" si="78"/>
        <v>0.44480389582858326</v>
      </c>
    </row>
    <row r="344" spans="1:28" x14ac:dyDescent="0.25">
      <c r="A344" s="3">
        <v>1.2376614659863301E+18</v>
      </c>
      <c r="B344" s="3">
        <v>236.36223000000001</v>
      </c>
      <c r="C344" s="3">
        <v>35.749028000000003</v>
      </c>
      <c r="D344" s="16">
        <v>0.54267540000000003</v>
      </c>
      <c r="E344" s="3">
        <v>1.1587299999999985</v>
      </c>
      <c r="F344" s="3">
        <v>2.3996400000000015</v>
      </c>
      <c r="G344" s="3">
        <v>3.4312000000000005</v>
      </c>
      <c r="H344" s="3">
        <v>3.9796399999999998</v>
      </c>
      <c r="I344" s="3">
        <v>1.2409100000000031</v>
      </c>
      <c r="J344" s="3">
        <v>2.272470000000002</v>
      </c>
      <c r="K344" s="3">
        <v>2.8209100000000014</v>
      </c>
      <c r="L344" s="3">
        <v>1.0315599999999989</v>
      </c>
      <c r="M344" s="3">
        <v>1.5799999999999983</v>
      </c>
      <c r="N344" s="3">
        <v>0.54843999999999937</v>
      </c>
      <c r="P344" s="3">
        <f t="shared" si="66"/>
        <v>0.2949538144375829</v>
      </c>
      <c r="Q344" s="3">
        <f t="shared" si="67"/>
        <v>-1.1980910205282544</v>
      </c>
      <c r="R344" s="3">
        <f t="shared" si="68"/>
        <v>0.77920294537075874</v>
      </c>
      <c r="S344" s="3">
        <f t="shared" si="69"/>
        <v>-0.63671095827609436</v>
      </c>
      <c r="T344" s="3">
        <f t="shared" si="70"/>
        <v>-0.65827541477761886</v>
      </c>
      <c r="U344" s="3">
        <f t="shared" si="71"/>
        <v>-0.33933166002097992</v>
      </c>
      <c r="V344" s="3">
        <f t="shared" si="72"/>
        <v>-0.21746321791593523</v>
      </c>
      <c r="W344" s="3">
        <f t="shared" si="73"/>
        <v>-0.18336614166275786</v>
      </c>
      <c r="X344" s="3">
        <f t="shared" si="74"/>
        <v>0.29080942903361845</v>
      </c>
      <c r="Y344" s="3">
        <f t="shared" si="75"/>
        <v>0.39380715604641159</v>
      </c>
      <c r="Z344" s="3">
        <f t="shared" si="76"/>
        <v>0.95768205658906791</v>
      </c>
      <c r="AA344" s="3">
        <f t="shared" si="77"/>
        <v>0.92954292146065676</v>
      </c>
      <c r="AB344" s="3">
        <f t="shared" si="78"/>
        <v>0.74672279697489607</v>
      </c>
    </row>
    <row r="345" spans="1:28" x14ac:dyDescent="0.25">
      <c r="A345" s="3">
        <v>1.2376623378635799E+18</v>
      </c>
      <c r="B345" s="3">
        <v>235.88549</v>
      </c>
      <c r="C345" s="3">
        <v>35.751984999999998</v>
      </c>
      <c r="D345" s="16">
        <v>0.54372220000000004</v>
      </c>
      <c r="E345" s="3">
        <v>3.6625300000000003</v>
      </c>
      <c r="F345" s="3">
        <v>5.3276199999999996</v>
      </c>
      <c r="G345" s="3">
        <v>6.3872399999999985</v>
      </c>
      <c r="H345" s="3">
        <v>6.7395800000000001</v>
      </c>
      <c r="I345" s="3">
        <v>1.6650899999999993</v>
      </c>
      <c r="J345" s="3">
        <v>2.7247099999999982</v>
      </c>
      <c r="K345" s="3">
        <v>3.0770499999999998</v>
      </c>
      <c r="L345" s="3">
        <v>1.0596199999999989</v>
      </c>
      <c r="M345" s="3">
        <v>1.4119600000000005</v>
      </c>
      <c r="N345" s="3">
        <v>0.35234000000000165</v>
      </c>
      <c r="P345" s="3">
        <f t="shared" si="66"/>
        <v>-1.1718640869220671</v>
      </c>
      <c r="Q345" s="3">
        <f t="shared" si="67"/>
        <v>-1.1876230680669506</v>
      </c>
      <c r="R345" s="3">
        <f t="shared" si="68"/>
        <v>0.78330321242229528</v>
      </c>
      <c r="S345" s="3">
        <f t="shared" si="69"/>
        <v>1.8279234853289479</v>
      </c>
      <c r="T345" s="3">
        <f t="shared" si="70"/>
        <v>1.9462206401518263</v>
      </c>
      <c r="U345" s="3">
        <f t="shared" si="71"/>
        <v>2.0537509900297368</v>
      </c>
      <c r="V345" s="3">
        <f t="shared" si="72"/>
        <v>1.8949920180507069</v>
      </c>
      <c r="W345" s="3">
        <f t="shared" si="73"/>
        <v>0.65113508245779073</v>
      </c>
      <c r="X345" s="3">
        <f t="shared" si="74"/>
        <v>0.86846428580550894</v>
      </c>
      <c r="Y345" s="3">
        <f t="shared" si="75"/>
        <v>0.67190633791273036</v>
      </c>
      <c r="Z345" s="3">
        <f t="shared" si="76"/>
        <v>1.0414291874792065</v>
      </c>
      <c r="AA345" s="3">
        <f t="shared" si="77"/>
        <v>0.58693595466476434</v>
      </c>
      <c r="AB345" s="3">
        <f t="shared" si="78"/>
        <v>-0.33764160805796867</v>
      </c>
    </row>
    <row r="346" spans="1:28" x14ac:dyDescent="0.25">
      <c r="A346" s="3">
        <v>1.23766146544926E+18</v>
      </c>
      <c r="B346" s="3">
        <v>235.65893</v>
      </c>
      <c r="C346" s="3">
        <v>35.619235000000003</v>
      </c>
      <c r="D346" s="16">
        <v>0.54387209999999997</v>
      </c>
      <c r="E346" s="3">
        <v>1.0089100000000002</v>
      </c>
      <c r="F346" s="3">
        <v>2.4879299999999986</v>
      </c>
      <c r="G346" s="3">
        <v>3.3021199999999986</v>
      </c>
      <c r="H346" s="3">
        <v>3.8823000000000008</v>
      </c>
      <c r="I346" s="3">
        <v>1.4790199999999984</v>
      </c>
      <c r="J346" s="3">
        <v>2.2932099999999984</v>
      </c>
      <c r="K346" s="3">
        <v>2.8733900000000006</v>
      </c>
      <c r="L346" s="3">
        <v>0.81418999999999997</v>
      </c>
      <c r="M346" s="3">
        <v>1.3943700000000021</v>
      </c>
      <c r="N346" s="3">
        <v>0.58018000000000214</v>
      </c>
      <c r="P346" s="3">
        <f t="shared" si="66"/>
        <v>-1.8689364192878155</v>
      </c>
      <c r="Q346" s="3">
        <f t="shared" si="67"/>
        <v>-1.6575658104546329</v>
      </c>
      <c r="R346" s="3">
        <f t="shared" si="68"/>
        <v>0.78389036377023669</v>
      </c>
      <c r="S346" s="3">
        <f t="shared" si="69"/>
        <v>-0.78418740701037937</v>
      </c>
      <c r="T346" s="3">
        <f t="shared" si="70"/>
        <v>-0.57973971552772186</v>
      </c>
      <c r="U346" s="3">
        <f t="shared" si="71"/>
        <v>-0.44382926778966747</v>
      </c>
      <c r="V346" s="3">
        <f t="shared" si="72"/>
        <v>-0.2919671537511313</v>
      </c>
      <c r="W346" s="3">
        <f t="shared" si="73"/>
        <v>0.28507434698673467</v>
      </c>
      <c r="X346" s="3">
        <f t="shared" si="74"/>
        <v>0.31730103023971928</v>
      </c>
      <c r="Y346" s="3">
        <f t="shared" si="75"/>
        <v>0.45078632784442935</v>
      </c>
      <c r="Z346" s="3">
        <f t="shared" si="76"/>
        <v>0.30892532666784961</v>
      </c>
      <c r="AA346" s="3">
        <f t="shared" si="77"/>
        <v>0.55107272837376642</v>
      </c>
      <c r="AB346" s="3">
        <f t="shared" si="78"/>
        <v>0.92223389445448067</v>
      </c>
    </row>
    <row r="347" spans="1:28" x14ac:dyDescent="0.25">
      <c r="A347" s="3">
        <v>1.2376614659862001E+18</v>
      </c>
      <c r="B347" s="3">
        <v>236.18845999999999</v>
      </c>
      <c r="C347" s="3">
        <v>35.844822000000001</v>
      </c>
      <c r="D347" s="16">
        <v>0.54441819999999996</v>
      </c>
      <c r="E347" s="3">
        <v>3.5982599999999998</v>
      </c>
      <c r="F347" s="3">
        <v>5.0877800000000022</v>
      </c>
      <c r="G347" s="3">
        <v>6.1357700000000008</v>
      </c>
      <c r="H347" s="3">
        <v>6.6929900000000018</v>
      </c>
      <c r="I347" s="3">
        <v>1.4895200000000024</v>
      </c>
      <c r="J347" s="3">
        <v>2.537510000000001</v>
      </c>
      <c r="K347" s="3">
        <v>3.094730000000002</v>
      </c>
      <c r="L347" s="3">
        <v>1.0479899999999986</v>
      </c>
      <c r="M347" s="3">
        <v>1.6052099999999996</v>
      </c>
      <c r="N347" s="3">
        <v>0.55722000000000094</v>
      </c>
      <c r="P347" s="3">
        <f t="shared" si="66"/>
        <v>-0.23969598780114368</v>
      </c>
      <c r="Q347" s="3">
        <f t="shared" si="67"/>
        <v>-0.85897467352797885</v>
      </c>
      <c r="R347" s="3">
        <f t="shared" si="68"/>
        <v>0.78602941214322486</v>
      </c>
      <c r="S347" s="3">
        <f t="shared" si="69"/>
        <v>1.7646588253359383</v>
      </c>
      <c r="T347" s="3">
        <f t="shared" si="70"/>
        <v>1.732878221892729</v>
      </c>
      <c r="U347" s="3">
        <f t="shared" si="71"/>
        <v>1.8501717103148991</v>
      </c>
      <c r="V347" s="3">
        <f t="shared" si="72"/>
        <v>1.8593320799927484</v>
      </c>
      <c r="W347" s="3">
        <f t="shared" si="73"/>
        <v>0.30573129180560665</v>
      </c>
      <c r="X347" s="3">
        <f t="shared" si="74"/>
        <v>0.62935012255657663</v>
      </c>
      <c r="Y347" s="3">
        <f t="shared" si="75"/>
        <v>0.69110206499712612</v>
      </c>
      <c r="Z347" s="3">
        <f t="shared" si="76"/>
        <v>1.0067185983041411</v>
      </c>
      <c r="AA347" s="3">
        <f t="shared" si="77"/>
        <v>0.98094212184702312</v>
      </c>
      <c r="AB347" s="3">
        <f t="shared" si="78"/>
        <v>0.7952731257672998</v>
      </c>
    </row>
    <row r="348" spans="1:28" x14ac:dyDescent="0.25">
      <c r="A348" s="3">
        <v>1.2376624736909299E+18</v>
      </c>
      <c r="B348" s="3">
        <v>236.41211999999999</v>
      </c>
      <c r="C348" s="3">
        <v>36.278419999999997</v>
      </c>
      <c r="D348" s="16">
        <v>0.54758949999999995</v>
      </c>
      <c r="E348" s="3">
        <v>2.3515200000000007</v>
      </c>
      <c r="F348" s="3">
        <v>4.0100100000000012</v>
      </c>
      <c r="G348" s="3">
        <v>4.9003900000000016</v>
      </c>
      <c r="H348" s="3">
        <v>5.3435900000000025</v>
      </c>
      <c r="I348" s="3">
        <v>1.6584900000000005</v>
      </c>
      <c r="J348" s="3">
        <v>2.5488700000000009</v>
      </c>
      <c r="K348" s="3">
        <v>2.9920700000000018</v>
      </c>
      <c r="L348" s="3">
        <v>0.89038000000000039</v>
      </c>
      <c r="M348" s="3">
        <v>1.3335800000000013</v>
      </c>
      <c r="N348" s="3">
        <v>0.44320000000000093</v>
      </c>
      <c r="P348" s="3">
        <f t="shared" si="66"/>
        <v>0.44845372025374552</v>
      </c>
      <c r="Q348" s="3">
        <f t="shared" si="67"/>
        <v>0.67598753523903632</v>
      </c>
      <c r="R348" s="3">
        <f t="shared" si="68"/>
        <v>0.79845124716475491</v>
      </c>
      <c r="S348" s="3">
        <f t="shared" si="69"/>
        <v>0.53742088851185266</v>
      </c>
      <c r="T348" s="3">
        <f t="shared" si="70"/>
        <v>0.77418051455821413</v>
      </c>
      <c r="U348" s="3">
        <f t="shared" si="71"/>
        <v>0.85006127736417636</v>
      </c>
      <c r="V348" s="3">
        <f t="shared" si="72"/>
        <v>0.82650270855228769</v>
      </c>
      <c r="W348" s="3">
        <f t="shared" si="73"/>
        <v>0.63815071714307836</v>
      </c>
      <c r="X348" s="3">
        <f t="shared" si="74"/>
        <v>0.64386046921527251</v>
      </c>
      <c r="Y348" s="3">
        <f t="shared" si="75"/>
        <v>0.57964090309193173</v>
      </c>
      <c r="Z348" s="3">
        <f t="shared" si="76"/>
        <v>0.53631997750604321</v>
      </c>
      <c r="AA348" s="3">
        <f t="shared" si="77"/>
        <v>0.42713153870747955</v>
      </c>
      <c r="AB348" s="3">
        <f t="shared" si="78"/>
        <v>0.16478240949066192</v>
      </c>
    </row>
    <row r="349" spans="1:28" x14ac:dyDescent="0.25">
      <c r="A349" s="3">
        <v>1.23766247422787E+18</v>
      </c>
      <c r="B349" s="3">
        <v>236.64350999999999</v>
      </c>
      <c r="C349" s="3">
        <v>36.486133000000002</v>
      </c>
      <c r="D349" s="16">
        <v>0.54784379999999999</v>
      </c>
      <c r="E349" s="3">
        <v>1.8050999999999995</v>
      </c>
      <c r="F349" s="3">
        <v>3.663330000000002</v>
      </c>
      <c r="G349" s="3">
        <v>4.5913400000000024</v>
      </c>
      <c r="H349" s="3">
        <v>5.0947899999999997</v>
      </c>
      <c r="I349" s="3">
        <v>1.8582300000000025</v>
      </c>
      <c r="J349" s="3">
        <v>2.7862400000000029</v>
      </c>
      <c r="K349" s="3">
        <v>3.2896900000000002</v>
      </c>
      <c r="L349" s="3">
        <v>0.92801000000000045</v>
      </c>
      <c r="M349" s="3">
        <v>1.4314599999999977</v>
      </c>
      <c r="N349" s="3">
        <v>0.50344999999999729</v>
      </c>
      <c r="P349" s="3">
        <f t="shared" si="66"/>
        <v>1.1603868372475188</v>
      </c>
      <c r="Q349" s="3">
        <f t="shared" si="67"/>
        <v>1.4113036696991443</v>
      </c>
      <c r="R349" s="3">
        <f t="shared" si="68"/>
        <v>0.79944732847083622</v>
      </c>
      <c r="S349" s="3">
        <f t="shared" si="69"/>
        <v>-4.5176612297009552E-4</v>
      </c>
      <c r="T349" s="3">
        <f t="shared" si="70"/>
        <v>0.46580180557695794</v>
      </c>
      <c r="U349" s="3">
        <f t="shared" si="71"/>
        <v>0.59986770995704641</v>
      </c>
      <c r="V349" s="3">
        <f t="shared" si="72"/>
        <v>0.63607144457245246</v>
      </c>
      <c r="W349" s="3">
        <f t="shared" si="73"/>
        <v>1.0311048274402199</v>
      </c>
      <c r="X349" s="3">
        <f t="shared" si="74"/>
        <v>0.94705773914262525</v>
      </c>
      <c r="Y349" s="3">
        <f t="shared" si="75"/>
        <v>0.90277621388701967</v>
      </c>
      <c r="Z349" s="3">
        <f t="shared" si="76"/>
        <v>0.64862947627282608</v>
      </c>
      <c r="AA349" s="3">
        <f t="shared" si="77"/>
        <v>0.62669336868832437</v>
      </c>
      <c r="AB349" s="3">
        <f t="shared" si="78"/>
        <v>0.49794383429039124</v>
      </c>
    </row>
    <row r="350" spans="1:28" x14ac:dyDescent="0.25">
      <c r="A350" s="3">
        <v>1.23766250375571E+18</v>
      </c>
      <c r="B350" s="3">
        <v>236.39384000000001</v>
      </c>
      <c r="C350" s="3">
        <v>36.380113000000001</v>
      </c>
      <c r="D350" s="16">
        <v>0.54818100000000003</v>
      </c>
      <c r="E350" s="3">
        <v>0.23131000000000057</v>
      </c>
      <c r="F350" s="3">
        <v>1.6708700000000007</v>
      </c>
      <c r="G350" s="3">
        <v>2.4839599999999997</v>
      </c>
      <c r="H350" s="3">
        <v>2.9181300000000014</v>
      </c>
      <c r="I350" s="3">
        <v>1.4395600000000002</v>
      </c>
      <c r="J350" s="3">
        <v>2.2526499999999992</v>
      </c>
      <c r="K350" s="3">
        <v>2.6868200000000009</v>
      </c>
      <c r="L350" s="3">
        <v>0.81308999999999898</v>
      </c>
      <c r="M350" s="3">
        <v>1.2472600000000007</v>
      </c>
      <c r="N350" s="3">
        <v>0.43417000000000172</v>
      </c>
      <c r="P350" s="3">
        <f t="shared" si="66"/>
        <v>0.3922104194255821</v>
      </c>
      <c r="Q350" s="3">
        <f t="shared" si="67"/>
        <v>1.0359866862871321</v>
      </c>
      <c r="R350" s="3">
        <f t="shared" si="68"/>
        <v>0.80076812523218333</v>
      </c>
      <c r="S350" s="3">
        <f t="shared" si="69"/>
        <v>-1.5496238409696728</v>
      </c>
      <c r="T350" s="3">
        <f t="shared" si="70"/>
        <v>-1.3065307272971494</v>
      </c>
      <c r="U350" s="3">
        <f t="shared" si="71"/>
        <v>-1.1061763608484532</v>
      </c>
      <c r="V350" s="3">
        <f t="shared" si="72"/>
        <v>-1.0299418796009525</v>
      </c>
      <c r="W350" s="3">
        <f t="shared" si="73"/>
        <v>0.20744358102936822</v>
      </c>
      <c r="X350" s="3">
        <f t="shared" si="74"/>
        <v>0.26549296153578411</v>
      </c>
      <c r="Y350" s="3">
        <f t="shared" si="75"/>
        <v>0.24822146347026169</v>
      </c>
      <c r="Z350" s="3">
        <f t="shared" si="76"/>
        <v>0.30564229587742781</v>
      </c>
      <c r="AA350" s="3">
        <f t="shared" si="77"/>
        <v>0.2511387192964939</v>
      </c>
      <c r="AB350" s="3">
        <f t="shared" si="78"/>
        <v>0.11484966814723498</v>
      </c>
    </row>
    <row r="351" spans="1:28" x14ac:dyDescent="0.25">
      <c r="A351" s="3">
        <v>1.23766250375571E+18</v>
      </c>
      <c r="B351" s="3">
        <v>236.39384000000001</v>
      </c>
      <c r="C351" s="3">
        <v>36.380113000000001</v>
      </c>
      <c r="D351" s="16">
        <v>0.54828149999999998</v>
      </c>
      <c r="E351" s="3">
        <v>0.23131000000000057</v>
      </c>
      <c r="F351" s="3">
        <v>1.6708700000000007</v>
      </c>
      <c r="G351" s="3">
        <v>2.4839599999999997</v>
      </c>
      <c r="H351" s="3">
        <v>2.9181300000000014</v>
      </c>
      <c r="I351" s="3">
        <v>1.4395600000000002</v>
      </c>
      <c r="J351" s="3">
        <v>2.2526499999999992</v>
      </c>
      <c r="K351" s="3">
        <v>2.6868200000000009</v>
      </c>
      <c r="L351" s="3">
        <v>0.81308999999999898</v>
      </c>
      <c r="M351" s="3">
        <v>1.2472600000000007</v>
      </c>
      <c r="N351" s="3">
        <v>0.43417000000000172</v>
      </c>
      <c r="P351" s="3">
        <f t="shared" si="66"/>
        <v>0.3922104194255821</v>
      </c>
      <c r="Q351" s="3">
        <f t="shared" si="67"/>
        <v>1.0359866862871321</v>
      </c>
      <c r="R351" s="3">
        <f t="shared" si="68"/>
        <v>0.80116177907119679</v>
      </c>
      <c r="S351" s="3">
        <f t="shared" si="69"/>
        <v>-1.5496238409696728</v>
      </c>
      <c r="T351" s="3">
        <f t="shared" si="70"/>
        <v>-1.3065307272971494</v>
      </c>
      <c r="U351" s="3">
        <f t="shared" si="71"/>
        <v>-1.1061763608484532</v>
      </c>
      <c r="V351" s="3">
        <f t="shared" si="72"/>
        <v>-1.0299418796009525</v>
      </c>
      <c r="W351" s="3">
        <f t="shared" si="73"/>
        <v>0.20744358102936822</v>
      </c>
      <c r="X351" s="3">
        <f t="shared" si="74"/>
        <v>0.26549296153578411</v>
      </c>
      <c r="Y351" s="3">
        <f t="shared" si="75"/>
        <v>0.24822146347026169</v>
      </c>
      <c r="Z351" s="3">
        <f t="shared" si="76"/>
        <v>0.30564229587742781</v>
      </c>
      <c r="AA351" s="3">
        <f t="shared" si="77"/>
        <v>0.2511387192964939</v>
      </c>
      <c r="AB351" s="3">
        <f t="shared" si="78"/>
        <v>0.11484966814723498</v>
      </c>
    </row>
    <row r="352" spans="1:28" x14ac:dyDescent="0.25">
      <c r="A352" s="3">
        <v>1.2376624731543301E+18</v>
      </c>
      <c r="B352" s="3">
        <v>236.68618000000001</v>
      </c>
      <c r="C352" s="3">
        <v>35.672313000000003</v>
      </c>
      <c r="D352" s="16">
        <v>0.54847179999999995</v>
      </c>
      <c r="E352" s="3">
        <v>4.660499999999999</v>
      </c>
      <c r="F352" s="3">
        <v>6.2239000000000004</v>
      </c>
      <c r="G352" s="3">
        <v>7.2660099999999979</v>
      </c>
      <c r="H352" s="3">
        <v>7.6568000000000005</v>
      </c>
      <c r="I352" s="3">
        <v>1.5634000000000015</v>
      </c>
      <c r="J352" s="3">
        <v>2.6055099999999989</v>
      </c>
      <c r="K352" s="3">
        <v>2.9963000000000015</v>
      </c>
      <c r="L352" s="3">
        <v>1.0421099999999974</v>
      </c>
      <c r="M352" s="3">
        <v>1.4329000000000001</v>
      </c>
      <c r="N352" s="3">
        <v>0.39079000000000264</v>
      </c>
      <c r="P352" s="3">
        <f t="shared" si="66"/>
        <v>1.2916724852968495</v>
      </c>
      <c r="Q352" s="3">
        <f t="shared" si="67"/>
        <v>-1.4696665947826622</v>
      </c>
      <c r="R352" s="3">
        <f t="shared" si="68"/>
        <v>0.80190717534546818</v>
      </c>
      <c r="S352" s="3">
        <f t="shared" si="69"/>
        <v>2.8102827934544048</v>
      </c>
      <c r="T352" s="3">
        <f t="shared" si="70"/>
        <v>2.7434794069849899</v>
      </c>
      <c r="U352" s="3">
        <f t="shared" si="71"/>
        <v>2.7651653282609745</v>
      </c>
      <c r="V352" s="3">
        <f t="shared" si="72"/>
        <v>2.5970312622130165</v>
      </c>
      <c r="W352" s="3">
        <f t="shared" si="73"/>
        <v>0.45107749020728966</v>
      </c>
      <c r="X352" s="3">
        <f t="shared" si="74"/>
        <v>0.71620783142905053</v>
      </c>
      <c r="Y352" s="3">
        <f t="shared" si="75"/>
        <v>0.58423354594074273</v>
      </c>
      <c r="Z352" s="3">
        <f t="shared" si="76"/>
        <v>0.98916930644262602</v>
      </c>
      <c r="AA352" s="3">
        <f t="shared" si="77"/>
        <v>0.62962930080083856</v>
      </c>
      <c r="AB352" s="3">
        <f t="shared" si="78"/>
        <v>-0.12502655770857957</v>
      </c>
    </row>
    <row r="353" spans="1:28" x14ac:dyDescent="0.25">
      <c r="A353" s="3">
        <v>1.2376624742279401E+18</v>
      </c>
      <c r="B353" s="3">
        <v>236.82606999999999</v>
      </c>
      <c r="C353" s="3">
        <v>36.413358000000002</v>
      </c>
      <c r="D353" s="16">
        <v>0.54851039999999995</v>
      </c>
      <c r="E353" s="3">
        <v>1.9296299999999995</v>
      </c>
      <c r="F353" s="3">
        <v>3.3097599999999971</v>
      </c>
      <c r="G353" s="3">
        <v>4.3841999999999999</v>
      </c>
      <c r="H353" s="3">
        <v>5.0686099999999996</v>
      </c>
      <c r="I353" s="3">
        <v>1.3801299999999976</v>
      </c>
      <c r="J353" s="3">
        <v>2.4545700000000004</v>
      </c>
      <c r="K353" s="3">
        <v>3.1389800000000001</v>
      </c>
      <c r="L353" s="3">
        <v>1.0744400000000027</v>
      </c>
      <c r="M353" s="3">
        <v>1.7588500000000025</v>
      </c>
      <c r="N353" s="3">
        <v>0.68440999999999974</v>
      </c>
      <c r="P353" s="3">
        <f t="shared" si="66"/>
        <v>1.7220814214489848</v>
      </c>
      <c r="Q353" s="3">
        <f t="shared" si="67"/>
        <v>1.1536759252376374</v>
      </c>
      <c r="R353" s="3">
        <f t="shared" si="68"/>
        <v>0.80205836975527833</v>
      </c>
      <c r="S353" s="3">
        <f t="shared" si="69"/>
        <v>0.12213028007166836</v>
      </c>
      <c r="T353" s="3">
        <f t="shared" si="70"/>
        <v>0.15129430547742959</v>
      </c>
      <c r="U353" s="3">
        <f t="shared" si="71"/>
        <v>0.43217608868956969</v>
      </c>
      <c r="V353" s="3">
        <f t="shared" si="72"/>
        <v>0.61603329951219499</v>
      </c>
      <c r="W353" s="3">
        <f t="shared" si="73"/>
        <v>9.0525273354591554E-2</v>
      </c>
      <c r="X353" s="3">
        <f t="shared" si="74"/>
        <v>0.52340926411711663</v>
      </c>
      <c r="Y353" s="3">
        <f t="shared" si="75"/>
        <v>0.73914566926660441</v>
      </c>
      <c r="Z353" s="3">
        <f t="shared" si="76"/>
        <v>1.0856605659464973</v>
      </c>
      <c r="AA353" s="3">
        <f t="shared" si="77"/>
        <v>1.2941897675178311</v>
      </c>
      <c r="AB353" s="3">
        <f t="shared" si="78"/>
        <v>1.4985893352325235</v>
      </c>
    </row>
    <row r="354" spans="1:28" x14ac:dyDescent="0.25">
      <c r="A354" s="3">
        <v>1.2376614659863301E+18</v>
      </c>
      <c r="B354" s="3">
        <v>236.37029000000001</v>
      </c>
      <c r="C354" s="3">
        <v>35.660674999999998</v>
      </c>
      <c r="D354" s="16">
        <v>0.55088800000000004</v>
      </c>
      <c r="E354" s="3">
        <v>2.707849999999997</v>
      </c>
      <c r="F354" s="3">
        <v>4.2613099999999982</v>
      </c>
      <c r="G354" s="3">
        <v>5.3295099999999991</v>
      </c>
      <c r="H354" s="3">
        <v>5.7424199999999992</v>
      </c>
      <c r="I354" s="3">
        <v>1.5534600000000012</v>
      </c>
      <c r="J354" s="3">
        <v>2.6216600000000021</v>
      </c>
      <c r="K354" s="3">
        <v>3.0345700000000022</v>
      </c>
      <c r="L354" s="3">
        <v>1.0682000000000009</v>
      </c>
      <c r="M354" s="3">
        <v>1.481110000000001</v>
      </c>
      <c r="N354" s="3">
        <v>0.41291000000000011</v>
      </c>
      <c r="P354" s="3">
        <f t="shared" si="66"/>
        <v>0.31975255648767137</v>
      </c>
      <c r="Q354" s="3">
        <f t="shared" si="67"/>
        <v>-1.5108657935465823</v>
      </c>
      <c r="R354" s="3">
        <f t="shared" si="68"/>
        <v>0.81137131868700696</v>
      </c>
      <c r="S354" s="3">
        <f t="shared" si="69"/>
        <v>0.88817701571441476</v>
      </c>
      <c r="T354" s="3">
        <f t="shared" si="70"/>
        <v>0.99771682922011828</v>
      </c>
      <c r="U354" s="3">
        <f t="shared" si="71"/>
        <v>1.197458344653441</v>
      </c>
      <c r="V354" s="3">
        <f t="shared" si="72"/>
        <v>1.1317667801482532</v>
      </c>
      <c r="W354" s="3">
        <f t="shared" si="73"/>
        <v>0.43152224911209763</v>
      </c>
      <c r="X354" s="3">
        <f t="shared" si="74"/>
        <v>0.73683653728626797</v>
      </c>
      <c r="Y354" s="3">
        <f t="shared" si="75"/>
        <v>0.6257844778140319</v>
      </c>
      <c r="Z354" s="3">
        <f t="shared" si="76"/>
        <v>1.0670368276444797</v>
      </c>
      <c r="AA354" s="3">
        <f t="shared" si="77"/>
        <v>0.72792186131756398</v>
      </c>
      <c r="AB354" s="3">
        <f t="shared" si="78"/>
        <v>-2.7106951929012821E-3</v>
      </c>
    </row>
    <row r="355" spans="1:28" x14ac:dyDescent="0.25">
      <c r="A355" s="3">
        <v>1.2376614659863301E+18</v>
      </c>
      <c r="B355" s="3">
        <v>236.37747999999999</v>
      </c>
      <c r="C355" s="3">
        <v>35.666274000000001</v>
      </c>
      <c r="D355" s="16">
        <v>0.55253479999999999</v>
      </c>
      <c r="E355" s="3">
        <v>2.3498200000000011</v>
      </c>
      <c r="F355" s="3">
        <v>3.88795</v>
      </c>
      <c r="G355" s="3">
        <v>4.9644500000000029</v>
      </c>
      <c r="H355" s="3">
        <v>5.2017699999999998</v>
      </c>
      <c r="I355" s="3">
        <v>1.5381299999999989</v>
      </c>
      <c r="J355" s="3">
        <v>2.6146300000000018</v>
      </c>
      <c r="K355" s="3">
        <v>2.8519499999999987</v>
      </c>
      <c r="L355" s="3">
        <v>1.0765000000000029</v>
      </c>
      <c r="M355" s="3">
        <v>1.3138199999999998</v>
      </c>
      <c r="N355" s="3">
        <v>0.23731999999999687</v>
      </c>
      <c r="P355" s="3">
        <f t="shared" si="66"/>
        <v>0.34187451124444967</v>
      </c>
      <c r="Q355" s="3">
        <f t="shared" si="67"/>
        <v>-1.4910450069956935</v>
      </c>
      <c r="R355" s="3">
        <f t="shared" si="68"/>
        <v>0.81782175791175871</v>
      </c>
      <c r="S355" s="3">
        <f t="shared" si="69"/>
        <v>0.53574748067012112</v>
      </c>
      <c r="T355" s="3">
        <f t="shared" si="70"/>
        <v>0.66560573315100124</v>
      </c>
      <c r="U355" s="3">
        <f t="shared" si="71"/>
        <v>0.90192149392493071</v>
      </c>
      <c r="V355" s="3">
        <f t="shared" si="72"/>
        <v>0.71795382648789674</v>
      </c>
      <c r="W355" s="3">
        <f t="shared" si="73"/>
        <v>0.40136310967655131</v>
      </c>
      <c r="X355" s="3">
        <f t="shared" si="74"/>
        <v>0.72785698297195112</v>
      </c>
      <c r="Y355" s="3">
        <f t="shared" si="75"/>
        <v>0.4275082515610904</v>
      </c>
      <c r="Z355" s="3">
        <f t="shared" si="76"/>
        <v>1.0918087872449187</v>
      </c>
      <c r="AA355" s="3">
        <f t="shared" si="77"/>
        <v>0.38684402583026312</v>
      </c>
      <c r="AB355" s="3">
        <f t="shared" si="78"/>
        <v>-0.97366197453877812</v>
      </c>
    </row>
    <row r="356" spans="1:28" x14ac:dyDescent="0.25">
      <c r="A356" s="3">
        <v>1.2376614659861299E+18</v>
      </c>
      <c r="B356" s="3">
        <v>235.92670000000001</v>
      </c>
      <c r="C356" s="3">
        <v>35.834781</v>
      </c>
      <c r="D356" s="16">
        <v>0.55517689999999997</v>
      </c>
      <c r="E356" s="3">
        <v>0.99632999999999683</v>
      </c>
      <c r="F356" s="3">
        <v>2.5353599999999972</v>
      </c>
      <c r="G356" s="3">
        <v>3.5350399999999986</v>
      </c>
      <c r="H356" s="3">
        <v>4.0209699999999984</v>
      </c>
      <c r="I356" s="3">
        <v>1.5390300000000003</v>
      </c>
      <c r="J356" s="3">
        <v>2.5387100000000018</v>
      </c>
      <c r="K356" s="3">
        <v>3.0246400000000015</v>
      </c>
      <c r="L356" s="3">
        <v>0.99968000000000146</v>
      </c>
      <c r="M356" s="3">
        <v>1.4856100000000012</v>
      </c>
      <c r="N356" s="3">
        <v>0.48592999999999975</v>
      </c>
      <c r="P356" s="3">
        <f t="shared" si="66"/>
        <v>-1.0450705186982132</v>
      </c>
      <c r="Q356" s="3">
        <f t="shared" si="67"/>
        <v>-0.89452039914994053</v>
      </c>
      <c r="R356" s="3">
        <f t="shared" si="68"/>
        <v>0.82817074107651267</v>
      </c>
      <c r="S356" s="3">
        <f t="shared" si="69"/>
        <v>-0.79657062503919951</v>
      </c>
      <c r="T356" s="3">
        <f t="shared" si="70"/>
        <v>-0.53754979350458654</v>
      </c>
      <c r="U356" s="3">
        <f t="shared" si="71"/>
        <v>-0.25526726901772484</v>
      </c>
      <c r="V356" s="3">
        <f t="shared" si="72"/>
        <v>-0.18582927844533145</v>
      </c>
      <c r="W356" s="3">
        <f t="shared" si="73"/>
        <v>0.40313370494674255</v>
      </c>
      <c r="X356" s="3">
        <f t="shared" si="74"/>
        <v>0.63088290565432714</v>
      </c>
      <c r="Y356" s="3">
        <f t="shared" si="75"/>
        <v>0.61500316729660875</v>
      </c>
      <c r="Z356" s="3">
        <f t="shared" si="76"/>
        <v>0.8625338551358458</v>
      </c>
      <c r="AA356" s="3">
        <f t="shared" si="77"/>
        <v>0.7370966491691564</v>
      </c>
      <c r="AB356" s="3">
        <f t="shared" si="78"/>
        <v>0.4010643627137806</v>
      </c>
    </row>
    <row r="357" spans="1:28" x14ac:dyDescent="0.25">
      <c r="A357" s="3">
        <v>1.2376614659861299E+18</v>
      </c>
      <c r="B357" s="3">
        <v>235.81912</v>
      </c>
      <c r="C357" s="3">
        <v>35.868046</v>
      </c>
      <c r="D357" s="16">
        <v>0.55590569999999995</v>
      </c>
      <c r="E357" s="3">
        <v>1.3466799999999992</v>
      </c>
      <c r="F357" s="3">
        <v>3.0365299999999991</v>
      </c>
      <c r="G357" s="3">
        <v>4.0319900000000004</v>
      </c>
      <c r="H357" s="3">
        <v>4.4812899999999978</v>
      </c>
      <c r="I357" s="3">
        <v>1.6898499999999999</v>
      </c>
      <c r="J357" s="3">
        <v>2.6853100000000012</v>
      </c>
      <c r="K357" s="3">
        <v>3.1346099999999986</v>
      </c>
      <c r="L357" s="3">
        <v>0.99546000000000134</v>
      </c>
      <c r="M357" s="3">
        <v>1.4447599999999987</v>
      </c>
      <c r="N357" s="3">
        <v>0.44929999999999737</v>
      </c>
      <c r="P357" s="3">
        <f t="shared" si="66"/>
        <v>-1.3760691129598399</v>
      </c>
      <c r="Q357" s="3">
        <f t="shared" si="67"/>
        <v>-0.77676035903297658</v>
      </c>
      <c r="R357" s="3">
        <f t="shared" si="68"/>
        <v>0.83102541687624487</v>
      </c>
      <c r="S357" s="3">
        <f t="shared" si="69"/>
        <v>-0.4517009560093122</v>
      </c>
      <c r="T357" s="3">
        <f t="shared" si="70"/>
        <v>-9.1749177431732276E-2</v>
      </c>
      <c r="U357" s="3">
        <f t="shared" si="71"/>
        <v>0.14704204443632474</v>
      </c>
      <c r="V357" s="3">
        <f t="shared" si="72"/>
        <v>0.1664991758761985</v>
      </c>
      <c r="W357" s="3">
        <f t="shared" si="73"/>
        <v>0.69984612566875171</v>
      </c>
      <c r="X357" s="3">
        <f t="shared" si="74"/>
        <v>0.81813790742940129</v>
      </c>
      <c r="Y357" s="3">
        <f t="shared" si="75"/>
        <v>0.73440102405400087</v>
      </c>
      <c r="Z357" s="3">
        <f t="shared" si="76"/>
        <v>0.84993895519442042</v>
      </c>
      <c r="AA357" s="3">
        <f t="shared" si="77"/>
        <v>0.65380996389414303</v>
      </c>
      <c r="AB357" s="3">
        <f t="shared" si="78"/>
        <v>0.19851327573592806</v>
      </c>
    </row>
    <row r="358" spans="1:28" x14ac:dyDescent="0.25">
      <c r="A358" s="3">
        <v>1.2376623378635799E+18</v>
      </c>
      <c r="B358" s="3">
        <v>235.88399000000001</v>
      </c>
      <c r="C358" s="3">
        <v>35.804220999999998</v>
      </c>
      <c r="D358" s="16">
        <v>0.55748390000000003</v>
      </c>
      <c r="E358" s="3">
        <v>0.83626000000000289</v>
      </c>
      <c r="F358" s="3">
        <v>2.4074300000000015</v>
      </c>
      <c r="G358" s="3">
        <v>3.2617100000000008</v>
      </c>
      <c r="H358" s="3">
        <v>3.5693300000000008</v>
      </c>
      <c r="I358" s="3">
        <v>1.5711699999999986</v>
      </c>
      <c r="J358" s="3">
        <v>2.4254499999999979</v>
      </c>
      <c r="K358" s="3">
        <v>2.7330699999999979</v>
      </c>
      <c r="L358" s="3">
        <v>0.85427999999999926</v>
      </c>
      <c r="M358" s="3">
        <v>1.1618999999999993</v>
      </c>
      <c r="N358" s="3">
        <v>0.30762</v>
      </c>
      <c r="P358" s="3">
        <f t="shared" si="66"/>
        <v>-1.1764792374276447</v>
      </c>
      <c r="Q358" s="3">
        <f t="shared" si="67"/>
        <v>-1.0027045815030009</v>
      </c>
      <c r="R358" s="3">
        <f t="shared" si="68"/>
        <v>0.83720715308252625</v>
      </c>
      <c r="S358" s="3">
        <f t="shared" si="69"/>
        <v>-0.95413673870157023</v>
      </c>
      <c r="T358" s="3">
        <f t="shared" si="70"/>
        <v>-0.6513460558790265</v>
      </c>
      <c r="U358" s="3">
        <f t="shared" si="71"/>
        <v>-0.47654346309438061</v>
      </c>
      <c r="V358" s="3">
        <f t="shared" si="72"/>
        <v>-0.53151406969875337</v>
      </c>
      <c r="W358" s="3">
        <f t="shared" si="73"/>
        <v>0.46636362937324366</v>
      </c>
      <c r="X358" s="3">
        <f t="shared" si="74"/>
        <v>0.48621372761172338</v>
      </c>
      <c r="Y358" s="3">
        <f t="shared" si="75"/>
        <v>0.29843653007960225</v>
      </c>
      <c r="Z358" s="3">
        <f t="shared" si="76"/>
        <v>0.42857687611138506</v>
      </c>
      <c r="AA358" s="3">
        <f t="shared" si="77"/>
        <v>7.710318796051284E-2</v>
      </c>
      <c r="AB358" s="3">
        <f t="shared" si="78"/>
        <v>-0.58492756518735189</v>
      </c>
    </row>
    <row r="359" spans="1:28" x14ac:dyDescent="0.25">
      <c r="A359" s="3">
        <v>1.2376623378635799E+18</v>
      </c>
      <c r="B359" s="3">
        <v>235.88399000000001</v>
      </c>
      <c r="C359" s="3">
        <v>35.804220999999998</v>
      </c>
      <c r="D359" s="16">
        <v>0.55753070000000005</v>
      </c>
      <c r="E359" s="3">
        <v>0.83626000000000289</v>
      </c>
      <c r="F359" s="3">
        <v>2.4074300000000015</v>
      </c>
      <c r="G359" s="3">
        <v>3.2617100000000008</v>
      </c>
      <c r="H359" s="3">
        <v>3.5693300000000008</v>
      </c>
      <c r="I359" s="3">
        <v>1.5711699999999986</v>
      </c>
      <c r="J359" s="3">
        <v>2.4254499999999979</v>
      </c>
      <c r="K359" s="3">
        <v>2.7330699999999979</v>
      </c>
      <c r="L359" s="3">
        <v>0.85427999999999926</v>
      </c>
      <c r="M359" s="3">
        <v>1.1618999999999993</v>
      </c>
      <c r="N359" s="3">
        <v>0.30762</v>
      </c>
      <c r="P359" s="3">
        <f t="shared" si="66"/>
        <v>-1.1764792374276447</v>
      </c>
      <c r="Q359" s="3">
        <f t="shared" si="67"/>
        <v>-1.0027045815030009</v>
      </c>
      <c r="R359" s="3">
        <f t="shared" si="68"/>
        <v>0.83739046651203708</v>
      </c>
      <c r="S359" s="3">
        <f t="shared" si="69"/>
        <v>-0.95413673870157023</v>
      </c>
      <c r="T359" s="3">
        <f t="shared" si="70"/>
        <v>-0.6513460558790265</v>
      </c>
      <c r="U359" s="3">
        <f t="shared" si="71"/>
        <v>-0.47654346309438061</v>
      </c>
      <c r="V359" s="3">
        <f t="shared" si="72"/>
        <v>-0.53151406969875337</v>
      </c>
      <c r="W359" s="3">
        <f t="shared" si="73"/>
        <v>0.46636362937324366</v>
      </c>
      <c r="X359" s="3">
        <f t="shared" si="74"/>
        <v>0.48621372761172338</v>
      </c>
      <c r="Y359" s="3">
        <f t="shared" si="75"/>
        <v>0.29843653007960225</v>
      </c>
      <c r="Z359" s="3">
        <f t="shared" si="76"/>
        <v>0.42857687611138506</v>
      </c>
      <c r="AA359" s="3">
        <f t="shared" si="77"/>
        <v>7.710318796051284E-2</v>
      </c>
      <c r="AB359" s="3">
        <f t="shared" si="78"/>
        <v>-0.58492756518735189</v>
      </c>
    </row>
    <row r="360" spans="1:28" x14ac:dyDescent="0.25">
      <c r="A360" s="3">
        <v>1.2376624736911301E+18</v>
      </c>
      <c r="B360" s="3">
        <v>236.75480999999999</v>
      </c>
      <c r="C360" s="3">
        <v>35.893577000000001</v>
      </c>
      <c r="D360" s="16">
        <v>0.55971649999999995</v>
      </c>
      <c r="E360" s="3">
        <v>1.6011400000000009</v>
      </c>
      <c r="F360" s="3">
        <v>4.2295300000000005</v>
      </c>
      <c r="G360" s="3">
        <v>5.3381800000000013</v>
      </c>
      <c r="H360" s="3">
        <v>5.91629</v>
      </c>
      <c r="I360" s="3">
        <v>2.6283899999999996</v>
      </c>
      <c r="J360" s="3">
        <v>3.7370400000000004</v>
      </c>
      <c r="K360" s="3">
        <v>4.3151499999999992</v>
      </c>
      <c r="L360" s="3">
        <v>1.1086500000000008</v>
      </c>
      <c r="M360" s="3">
        <v>1.6867599999999996</v>
      </c>
      <c r="N360" s="3">
        <v>0.57810999999999879</v>
      </c>
      <c r="P360" s="3">
        <f t="shared" si="66"/>
        <v>1.502831004762992</v>
      </c>
      <c r="Q360" s="3">
        <f t="shared" si="67"/>
        <v>-0.68637912998664263</v>
      </c>
      <c r="R360" s="3">
        <f t="shared" si="68"/>
        <v>0.84595214373906047</v>
      </c>
      <c r="S360" s="3">
        <f t="shared" si="69"/>
        <v>-0.20122133282864968</v>
      </c>
      <c r="T360" s="3">
        <f t="shared" si="70"/>
        <v>0.96944789137708254</v>
      </c>
      <c r="U360" s="3">
        <f t="shared" si="71"/>
        <v>1.2044772031857833</v>
      </c>
      <c r="V360" s="3">
        <f t="shared" si="72"/>
        <v>1.2648466992325527</v>
      </c>
      <c r="W360" s="3">
        <f t="shared" si="73"/>
        <v>2.5462622199827374</v>
      </c>
      <c r="X360" s="3">
        <f t="shared" si="74"/>
        <v>2.1615328802595468</v>
      </c>
      <c r="Y360" s="3">
        <f t="shared" si="75"/>
        <v>2.0161500994052388</v>
      </c>
      <c r="Z360" s="3">
        <f t="shared" si="76"/>
        <v>1.1877628235285176</v>
      </c>
      <c r="AA360" s="3">
        <f t="shared" si="77"/>
        <v>1.1472096661353199</v>
      </c>
      <c r="AB360" s="3">
        <f t="shared" si="78"/>
        <v>0.91078751853188156</v>
      </c>
    </row>
    <row r="361" spans="1:28" x14ac:dyDescent="0.25">
      <c r="A361" s="3">
        <v>1.2376623378636401E+18</v>
      </c>
      <c r="B361" s="3">
        <v>235.96710999999999</v>
      </c>
      <c r="C361" s="3">
        <v>35.660018000000001</v>
      </c>
      <c r="D361" s="16">
        <v>0.56007799999999996</v>
      </c>
      <c r="E361" s="3">
        <v>0.6490399999999994</v>
      </c>
      <c r="F361" s="3">
        <v>2.0432699999999997</v>
      </c>
      <c r="G361" s="3">
        <v>2.9311500000000024</v>
      </c>
      <c r="H361" s="3">
        <v>3.5090199999999996</v>
      </c>
      <c r="I361" s="3">
        <v>1.3942300000000003</v>
      </c>
      <c r="J361" s="3">
        <v>2.282110000000003</v>
      </c>
      <c r="K361" s="3">
        <v>2.8599800000000002</v>
      </c>
      <c r="L361" s="3">
        <v>0.88788000000000267</v>
      </c>
      <c r="M361" s="3">
        <v>1.4657499999999999</v>
      </c>
      <c r="N361" s="3">
        <v>0.57786999999999722</v>
      </c>
      <c r="P361" s="3">
        <f t="shared" si="66"/>
        <v>-0.92073836407742748</v>
      </c>
      <c r="Q361" s="3">
        <f t="shared" si="67"/>
        <v>-1.5131916118648288</v>
      </c>
      <c r="R361" s="3">
        <f t="shared" si="68"/>
        <v>0.84736812247342275</v>
      </c>
      <c r="S361" s="3">
        <f t="shared" si="69"/>
        <v>-1.1384281599539643</v>
      </c>
      <c r="T361" s="3">
        <f t="shared" si="70"/>
        <v>-0.97527357019371175</v>
      </c>
      <c r="U361" s="3">
        <f t="shared" si="71"/>
        <v>-0.7441505999398772</v>
      </c>
      <c r="V361" s="3">
        <f t="shared" si="72"/>
        <v>-0.57767528163856019</v>
      </c>
      <c r="W361" s="3">
        <f t="shared" si="73"/>
        <v>0.11826459925421451</v>
      </c>
      <c r="X361" s="3">
        <f t="shared" si="74"/>
        <v>0.30312278658554137</v>
      </c>
      <c r="Y361" s="3">
        <f t="shared" si="75"/>
        <v>0.43622667285564409</v>
      </c>
      <c r="Z361" s="3">
        <f t="shared" si="76"/>
        <v>0.5288585438914617</v>
      </c>
      <c r="AA361" s="3">
        <f t="shared" si="77"/>
        <v>0.6966052521174606</v>
      </c>
      <c r="AB361" s="3">
        <f t="shared" si="78"/>
        <v>0.90946040248287796</v>
      </c>
    </row>
    <row r="362" spans="1:28" x14ac:dyDescent="0.25">
      <c r="A362" s="3">
        <v>1.23766250375584E+18</v>
      </c>
      <c r="B362" s="3">
        <v>236.7901</v>
      </c>
      <c r="C362" s="3">
        <v>36.223827999999997</v>
      </c>
      <c r="D362" s="16">
        <v>0.56812600000000002</v>
      </c>
      <c r="E362" s="3">
        <v>0.5154999999999994</v>
      </c>
      <c r="F362" s="3">
        <v>1.6514200000000017</v>
      </c>
      <c r="G362" s="3">
        <v>2.4845000000000006</v>
      </c>
      <c r="H362" s="3">
        <v>2.6333200000000012</v>
      </c>
      <c r="I362" s="3">
        <v>1.1359200000000023</v>
      </c>
      <c r="J362" s="3">
        <v>1.9690000000000012</v>
      </c>
      <c r="K362" s="3">
        <v>2.1178200000000018</v>
      </c>
      <c r="L362" s="3">
        <v>0.83307999999999893</v>
      </c>
      <c r="M362" s="3">
        <v>0.98189999999999955</v>
      </c>
      <c r="N362" s="3">
        <v>0.14882000000000062</v>
      </c>
      <c r="P362" s="3">
        <f t="shared" si="66"/>
        <v>1.6114101123247371</v>
      </c>
      <c r="Q362" s="3">
        <f t="shared" si="67"/>
        <v>0.48272867126593477</v>
      </c>
      <c r="R362" s="3">
        <f t="shared" si="68"/>
        <v>0.87889176522348578</v>
      </c>
      <c r="S362" s="3">
        <f t="shared" si="69"/>
        <v>-1.2698792677097823</v>
      </c>
      <c r="T362" s="3">
        <f t="shared" si="70"/>
        <v>-1.3238318865497314</v>
      </c>
      <c r="U362" s="3">
        <f t="shared" si="71"/>
        <v>-1.105739200109414</v>
      </c>
      <c r="V362" s="3">
        <f t="shared" si="72"/>
        <v>-1.2479351605257769</v>
      </c>
      <c r="W362" s="3">
        <f t="shared" si="73"/>
        <v>-0.38991591657062208</v>
      </c>
      <c r="X362" s="3">
        <f t="shared" si="74"/>
        <v>-9.6818643194772569E-2</v>
      </c>
      <c r="Y362" s="3">
        <f t="shared" si="75"/>
        <v>-0.36955957222090735</v>
      </c>
      <c r="Z362" s="3">
        <f t="shared" si="76"/>
        <v>0.36530391905967552</v>
      </c>
      <c r="AA362" s="3">
        <f t="shared" si="77"/>
        <v>-0.2898883261031705</v>
      </c>
      <c r="AB362" s="3">
        <f t="shared" si="78"/>
        <v>-1.4630360176056092</v>
      </c>
    </row>
    <row r="363" spans="1:28" x14ac:dyDescent="0.25">
      <c r="A363" s="3">
        <v>1.2376625037557701E+18</v>
      </c>
      <c r="B363" s="3">
        <v>236.65296000000001</v>
      </c>
      <c r="C363" s="3">
        <v>36.262743</v>
      </c>
      <c r="D363" s="16">
        <v>0.5693281</v>
      </c>
      <c r="E363" s="3">
        <v>3.7239199999999997</v>
      </c>
      <c r="F363" s="3">
        <v>5.6038999999999994</v>
      </c>
      <c r="G363" s="3">
        <v>6.5047700000000006</v>
      </c>
      <c r="H363" s="3">
        <v>7.0387199999999979</v>
      </c>
      <c r="I363" s="3">
        <v>1.8799799999999998</v>
      </c>
      <c r="J363" s="3">
        <v>2.7808500000000009</v>
      </c>
      <c r="K363" s="3">
        <v>3.3147999999999982</v>
      </c>
      <c r="L363" s="3">
        <v>0.90087000000000117</v>
      </c>
      <c r="M363" s="3">
        <v>1.4348199999999984</v>
      </c>
      <c r="N363" s="3">
        <v>0.53394999999999726</v>
      </c>
      <c r="P363" s="3">
        <f t="shared" si="66"/>
        <v>1.1894622854328418</v>
      </c>
      <c r="Q363" s="3">
        <f t="shared" si="67"/>
        <v>0.62049004090826099</v>
      </c>
      <c r="R363" s="3">
        <f t="shared" si="68"/>
        <v>0.88360033517252279</v>
      </c>
      <c r="S363" s="3">
        <f t="shared" si="69"/>
        <v>1.8883531955665516</v>
      </c>
      <c r="T363" s="3">
        <f t="shared" si="70"/>
        <v>2.1919771583165359</v>
      </c>
      <c r="U363" s="3">
        <f t="shared" si="71"/>
        <v>2.1488982153245453</v>
      </c>
      <c r="V363" s="3">
        <f t="shared" si="72"/>
        <v>2.1239534662296733</v>
      </c>
      <c r="W363" s="3">
        <f t="shared" si="73"/>
        <v>1.0738942131364335</v>
      </c>
      <c r="X363" s="3">
        <f t="shared" si="74"/>
        <v>0.94017298839523078</v>
      </c>
      <c r="Y363" s="3">
        <f t="shared" si="75"/>
        <v>0.93003892356400397</v>
      </c>
      <c r="Z363" s="3">
        <f t="shared" si="76"/>
        <v>0.56762815295285785</v>
      </c>
      <c r="AA363" s="3">
        <f t="shared" si="77"/>
        <v>0.63354387695084791</v>
      </c>
      <c r="AB363" s="3">
        <f t="shared" si="78"/>
        <v>0.66659816551682027</v>
      </c>
    </row>
    <row r="364" spans="1:28" x14ac:dyDescent="0.25">
      <c r="A364" s="3">
        <v>1.23766250375584E+18</v>
      </c>
      <c r="B364" s="3">
        <v>236.76983000000001</v>
      </c>
      <c r="C364" s="3">
        <v>36.157921999999999</v>
      </c>
      <c r="D364" s="16">
        <v>0.57193450000000001</v>
      </c>
      <c r="E364" s="3">
        <v>2.922349999999998</v>
      </c>
      <c r="F364" s="3">
        <v>4.6615399999999987</v>
      </c>
      <c r="G364" s="3">
        <v>5.6639799999999987</v>
      </c>
      <c r="H364" s="3">
        <v>6.2942800000000005</v>
      </c>
      <c r="I364" s="3">
        <v>1.7391900000000007</v>
      </c>
      <c r="J364" s="3">
        <v>2.7416300000000007</v>
      </c>
      <c r="K364" s="3">
        <v>3.3719300000000025</v>
      </c>
      <c r="L364" s="3">
        <v>1.00244</v>
      </c>
      <c r="M364" s="3">
        <v>1.6327400000000019</v>
      </c>
      <c r="N364" s="3">
        <v>0.63030000000000186</v>
      </c>
      <c r="P364" s="3">
        <f t="shared" si="66"/>
        <v>1.5490440451591254</v>
      </c>
      <c r="Q364" s="3">
        <f t="shared" si="67"/>
        <v>0.24941758742561024</v>
      </c>
      <c r="R364" s="3">
        <f t="shared" si="68"/>
        <v>0.89380948309297059</v>
      </c>
      <c r="S364" s="3">
        <f t="shared" si="69"/>
        <v>1.0993217110388351</v>
      </c>
      <c r="T364" s="3">
        <f t="shared" si="70"/>
        <v>1.3537293211307235</v>
      </c>
      <c r="U364" s="3">
        <f t="shared" si="71"/>
        <v>1.468230849072347</v>
      </c>
      <c r="V364" s="3">
        <f t="shared" si="72"/>
        <v>1.554159856273297</v>
      </c>
      <c r="W364" s="3">
        <f t="shared" si="73"/>
        <v>0.79691409303663541</v>
      </c>
      <c r="X364" s="3">
        <f t="shared" si="74"/>
        <v>0.8900765274837813</v>
      </c>
      <c r="Y364" s="3">
        <f t="shared" si="75"/>
        <v>0.99206674530220995</v>
      </c>
      <c r="Z364" s="3">
        <f t="shared" si="76"/>
        <v>0.87077127784634689</v>
      </c>
      <c r="AA364" s="3">
        <f t="shared" si="77"/>
        <v>1.0370714350813233</v>
      </c>
      <c r="AB364" s="3">
        <f t="shared" si="78"/>
        <v>1.1993799626862376</v>
      </c>
    </row>
    <row r="365" spans="1:28" x14ac:dyDescent="0.25">
      <c r="A365" s="3">
        <v>1.2376624736909399E+18</v>
      </c>
      <c r="B365" s="3">
        <v>236.42551</v>
      </c>
      <c r="C365" s="3">
        <v>36.336641999999998</v>
      </c>
      <c r="D365" s="16">
        <v>0.57215170000000004</v>
      </c>
      <c r="E365" s="3">
        <v>3.6820800000000027</v>
      </c>
      <c r="F365" s="3">
        <v>5.3453900000000019</v>
      </c>
      <c r="G365" s="3">
        <v>6.3961900000000007</v>
      </c>
      <c r="H365" s="3">
        <v>7.0280000000000022</v>
      </c>
      <c r="I365" s="3">
        <v>1.6633099999999992</v>
      </c>
      <c r="J365" s="3">
        <v>2.714109999999998</v>
      </c>
      <c r="K365" s="3">
        <v>3.3459199999999996</v>
      </c>
      <c r="L365" s="3">
        <v>1.0507999999999988</v>
      </c>
      <c r="M365" s="3">
        <v>1.6826100000000004</v>
      </c>
      <c r="N365" s="3">
        <v>0.63181000000000154</v>
      </c>
      <c r="P365" s="3">
        <f t="shared" si="66"/>
        <v>0.48965163043377641</v>
      </c>
      <c r="Q365" s="3">
        <f t="shared" si="67"/>
        <v>0.88209681092489023</v>
      </c>
      <c r="R365" s="3">
        <f t="shared" si="68"/>
        <v>0.8946602454196747</v>
      </c>
      <c r="S365" s="3">
        <f t="shared" si="69"/>
        <v>1.8471676755088682</v>
      </c>
      <c r="T365" s="3">
        <f t="shared" si="70"/>
        <v>1.9620274062144709</v>
      </c>
      <c r="U365" s="3">
        <f t="shared" si="71"/>
        <v>2.0609965245008395</v>
      </c>
      <c r="V365" s="3">
        <f t="shared" si="72"/>
        <v>2.1157483892607707</v>
      </c>
      <c r="W365" s="3">
        <f t="shared" si="73"/>
        <v>0.64763323847897347</v>
      </c>
      <c r="X365" s="3">
        <f t="shared" si="74"/>
        <v>0.85492470177538737</v>
      </c>
      <c r="Y365" s="3">
        <f t="shared" si="75"/>
        <v>0.96382687757228169</v>
      </c>
      <c r="Z365" s="3">
        <f t="shared" si="76"/>
        <v>1.015105249686939</v>
      </c>
      <c r="AA365" s="3">
        <f t="shared" si="77"/>
        <v>1.1387484728944088</v>
      </c>
      <c r="AB365" s="3">
        <f t="shared" si="78"/>
        <v>1.2077297344944951</v>
      </c>
    </row>
    <row r="366" spans="1:28" x14ac:dyDescent="0.25">
      <c r="A366" s="3">
        <v>1.2376624736911301E+18</v>
      </c>
      <c r="B366" s="3">
        <v>236.74807999999999</v>
      </c>
      <c r="C366" s="3">
        <v>36.076872000000002</v>
      </c>
      <c r="D366" s="16">
        <v>0.57257769999999997</v>
      </c>
      <c r="E366" s="3">
        <v>2.3820399999999999</v>
      </c>
      <c r="F366" s="3">
        <v>3.863430000000001</v>
      </c>
      <c r="G366" s="3">
        <v>4.9128900000000009</v>
      </c>
      <c r="H366" s="3">
        <v>5.64405</v>
      </c>
      <c r="I366" s="3">
        <v>1.4813900000000011</v>
      </c>
      <c r="J366" s="3">
        <v>2.5308500000000009</v>
      </c>
      <c r="K366" s="3">
        <v>3.2620100000000001</v>
      </c>
      <c r="L366" s="3">
        <v>1.0494599999999998</v>
      </c>
      <c r="M366" s="3">
        <v>1.780619999999999</v>
      </c>
      <c r="N366" s="3">
        <v>0.73115999999999914</v>
      </c>
      <c r="P366" s="3">
        <f t="shared" si="66"/>
        <v>1.4821243628278555</v>
      </c>
      <c r="Q366" s="3">
        <f t="shared" si="67"/>
        <v>-3.7504139659302438E-2</v>
      </c>
      <c r="R366" s="3">
        <f t="shared" si="68"/>
        <v>0.89632886766265729</v>
      </c>
      <c r="S366" s="3">
        <f t="shared" si="69"/>
        <v>0.56746348105871103</v>
      </c>
      <c r="T366" s="3">
        <f t="shared" si="70"/>
        <v>0.64379470873592071</v>
      </c>
      <c r="U366" s="3">
        <f t="shared" si="71"/>
        <v>0.860180738915993</v>
      </c>
      <c r="V366" s="3">
        <f t="shared" si="72"/>
        <v>1.0564744833729476</v>
      </c>
      <c r="W366" s="3">
        <f t="shared" si="73"/>
        <v>0.28973691453156925</v>
      </c>
      <c r="X366" s="3">
        <f t="shared" si="74"/>
        <v>0.62084317636406627</v>
      </c>
      <c r="Y366" s="3">
        <f t="shared" si="75"/>
        <v>0.87272317510330844</v>
      </c>
      <c r="Z366" s="3">
        <f t="shared" si="76"/>
        <v>1.0111059212695226</v>
      </c>
      <c r="AA366" s="3">
        <f t="shared" si="77"/>
        <v>1.3385753523020818</v>
      </c>
      <c r="AB366" s="3">
        <f t="shared" si="78"/>
        <v>1.7571004822763092</v>
      </c>
    </row>
    <row r="367" spans="1:28" x14ac:dyDescent="0.25">
      <c r="A367" s="3">
        <v>1.2376625037557701E+18</v>
      </c>
      <c r="B367" s="3">
        <v>236.55561</v>
      </c>
      <c r="C367" s="3">
        <v>36.29954</v>
      </c>
      <c r="D367" s="16">
        <v>0.57280359999999997</v>
      </c>
      <c r="E367" s="3">
        <v>-0.59562000000000026</v>
      </c>
      <c r="F367" s="3">
        <v>1.2538099999999979</v>
      </c>
      <c r="G367" s="3">
        <v>2.3265600000000006</v>
      </c>
      <c r="H367" s="3">
        <v>3.1030499999999996</v>
      </c>
      <c r="I367" s="3">
        <v>1.8494299999999981</v>
      </c>
      <c r="J367" s="3">
        <v>2.9221800000000009</v>
      </c>
      <c r="K367" s="3">
        <v>3.6986699999999999</v>
      </c>
      <c r="L367" s="3">
        <v>1.0727500000000028</v>
      </c>
      <c r="M367" s="3">
        <v>1.8492400000000018</v>
      </c>
      <c r="N367" s="3">
        <v>0.77648999999999901</v>
      </c>
      <c r="P367" s="3">
        <f t="shared" si="66"/>
        <v>0.88993901761942484</v>
      </c>
      <c r="Q367" s="3">
        <f t="shared" si="67"/>
        <v>0.750753567022312</v>
      </c>
      <c r="R367" s="3">
        <f t="shared" si="68"/>
        <v>0.89721370748587292</v>
      </c>
      <c r="S367" s="3">
        <f t="shared" si="69"/>
        <v>-2.3636186330658138</v>
      </c>
      <c r="T367" s="3">
        <f t="shared" si="70"/>
        <v>-1.6775138366998374</v>
      </c>
      <c r="U367" s="3">
        <f t="shared" si="71"/>
        <v>-1.2336006207089358</v>
      </c>
      <c r="V367" s="3">
        <f t="shared" si="72"/>
        <v>-0.88840430188732566</v>
      </c>
      <c r="W367" s="3">
        <f t="shared" si="73"/>
        <v>1.0137923403539253</v>
      </c>
      <c r="X367" s="3">
        <f t="shared" si="74"/>
        <v>1.1206965177326886</v>
      </c>
      <c r="Y367" s="3">
        <f t="shared" si="75"/>
        <v>1.3468185477657095</v>
      </c>
      <c r="Z367" s="3">
        <f t="shared" si="76"/>
        <v>1.0806166368230359</v>
      </c>
      <c r="AA367" s="3">
        <f t="shared" si="77"/>
        <v>1.478480672830143</v>
      </c>
      <c r="AB367" s="3">
        <f t="shared" si="78"/>
        <v>2.0077595260302115</v>
      </c>
    </row>
    <row r="368" spans="1:28" x14ac:dyDescent="0.25">
      <c r="A368" s="3">
        <v>1.2376625037557701E+18</v>
      </c>
      <c r="B368" s="3">
        <v>236.55592999999999</v>
      </c>
      <c r="C368" s="3">
        <v>36.315261</v>
      </c>
      <c r="D368" s="16">
        <v>0.57286389999999998</v>
      </c>
      <c r="E368" s="3">
        <v>3.8868900000000011</v>
      </c>
      <c r="F368" s="3">
        <v>5.0514499999999991</v>
      </c>
      <c r="G368" s="3">
        <v>6.1054500000000012</v>
      </c>
      <c r="H368" s="3">
        <v>6.5373800000000024</v>
      </c>
      <c r="I368" s="3">
        <v>1.164559999999998</v>
      </c>
      <c r="J368" s="3">
        <v>2.2185600000000001</v>
      </c>
      <c r="K368" s="3">
        <v>2.6504900000000013</v>
      </c>
      <c r="L368" s="3">
        <v>1.054000000000002</v>
      </c>
      <c r="M368" s="3">
        <v>1.4859300000000033</v>
      </c>
      <c r="N368" s="3">
        <v>0.43193000000000126</v>
      </c>
      <c r="P368" s="3">
        <f t="shared" si="66"/>
        <v>0.89092358306058206</v>
      </c>
      <c r="Q368" s="3">
        <f t="shared" si="67"/>
        <v>0.80640682391931162</v>
      </c>
      <c r="R368" s="3">
        <f t="shared" si="68"/>
        <v>0.89744989978928114</v>
      </c>
      <c r="S368" s="3">
        <f t="shared" si="69"/>
        <v>2.0487739461354137</v>
      </c>
      <c r="T368" s="3">
        <f t="shared" si="70"/>
        <v>1.7005619691602667</v>
      </c>
      <c r="U368" s="3">
        <f t="shared" si="71"/>
        <v>1.8256259443748113</v>
      </c>
      <c r="V368" s="3">
        <f t="shared" si="72"/>
        <v>1.7402283461185455</v>
      </c>
      <c r="W368" s="3">
        <f t="shared" si="73"/>
        <v>-0.33357164041708065</v>
      </c>
      <c r="X368" s="3">
        <f t="shared" si="74"/>
        <v>0.22194914836721569</v>
      </c>
      <c r="Y368" s="3">
        <f t="shared" si="75"/>
        <v>0.20877685006664146</v>
      </c>
      <c r="Z368" s="3">
        <f t="shared" si="76"/>
        <v>1.0246558847136216</v>
      </c>
      <c r="AA368" s="3">
        <f t="shared" si="77"/>
        <v>0.73774907852749605</v>
      </c>
      <c r="AB368" s="3">
        <f t="shared" si="78"/>
        <v>0.10246325168994712</v>
      </c>
    </row>
    <row r="369" spans="1:28" x14ac:dyDescent="0.25">
      <c r="A369" s="3">
        <v>1.2376625037557701E+18</v>
      </c>
      <c r="B369" s="3">
        <v>236.55592999999999</v>
      </c>
      <c r="C369" s="3">
        <v>36.315261</v>
      </c>
      <c r="D369" s="16">
        <v>0.57297379999999998</v>
      </c>
      <c r="E369" s="3">
        <v>3.8868900000000011</v>
      </c>
      <c r="F369" s="3">
        <v>5.0514499999999991</v>
      </c>
      <c r="G369" s="3">
        <v>6.1054500000000012</v>
      </c>
      <c r="H369" s="3">
        <v>6.5373800000000024</v>
      </c>
      <c r="I369" s="3">
        <v>1.164559999999998</v>
      </c>
      <c r="J369" s="3">
        <v>2.2185600000000001</v>
      </c>
      <c r="K369" s="3">
        <v>2.6504900000000013</v>
      </c>
      <c r="L369" s="3">
        <v>1.054000000000002</v>
      </c>
      <c r="M369" s="3">
        <v>1.4859300000000033</v>
      </c>
      <c r="N369" s="3">
        <v>0.43193000000000126</v>
      </c>
      <c r="P369" s="3">
        <f t="shared" si="66"/>
        <v>0.89092358306058206</v>
      </c>
      <c r="Q369" s="3">
        <f t="shared" si="67"/>
        <v>0.80640682391931162</v>
      </c>
      <c r="R369" s="3">
        <f t="shared" si="68"/>
        <v>0.89788037299234169</v>
      </c>
      <c r="S369" s="3">
        <f t="shared" si="69"/>
        <v>2.0487739461354137</v>
      </c>
      <c r="T369" s="3">
        <f t="shared" si="70"/>
        <v>1.7005619691602667</v>
      </c>
      <c r="U369" s="3">
        <f t="shared" si="71"/>
        <v>1.8256259443748113</v>
      </c>
      <c r="V369" s="3">
        <f t="shared" si="72"/>
        <v>1.7402283461185455</v>
      </c>
      <c r="W369" s="3">
        <f t="shared" si="73"/>
        <v>-0.33357164041708065</v>
      </c>
      <c r="X369" s="3">
        <f t="shared" si="74"/>
        <v>0.22194914836721569</v>
      </c>
      <c r="Y369" s="3">
        <f t="shared" si="75"/>
        <v>0.20877685006664146</v>
      </c>
      <c r="Z369" s="3">
        <f t="shared" si="76"/>
        <v>1.0246558847136216</v>
      </c>
      <c r="AA369" s="3">
        <f t="shared" si="77"/>
        <v>0.73774907852749605</v>
      </c>
      <c r="AB369" s="3">
        <f t="shared" si="78"/>
        <v>0.10246325168994712</v>
      </c>
    </row>
    <row r="370" spans="1:28" x14ac:dyDescent="0.25">
      <c r="A370" s="3">
        <v>1.2376625032189701E+18</v>
      </c>
      <c r="B370" s="3">
        <v>236.48553999999999</v>
      </c>
      <c r="C370" s="3">
        <v>36.019148000000001</v>
      </c>
      <c r="D370" s="16">
        <v>0.57327910000000004</v>
      </c>
      <c r="E370" s="3">
        <v>0.50534000000000034</v>
      </c>
      <c r="F370" s="3">
        <v>2.337530000000001</v>
      </c>
      <c r="G370" s="3">
        <v>3.397120000000001</v>
      </c>
      <c r="H370" s="3">
        <v>4.036719999999999</v>
      </c>
      <c r="I370" s="3">
        <v>1.8321900000000007</v>
      </c>
      <c r="J370" s="3">
        <v>2.8917800000000007</v>
      </c>
      <c r="K370" s="3">
        <v>3.5313799999999986</v>
      </c>
      <c r="L370" s="3">
        <v>1.05959</v>
      </c>
      <c r="M370" s="3">
        <v>1.699189999999998</v>
      </c>
      <c r="N370" s="3">
        <v>0.63959999999999795</v>
      </c>
      <c r="P370" s="3">
        <f t="shared" si="66"/>
        <v>0.67434995366781214</v>
      </c>
      <c r="Q370" s="3">
        <f t="shared" si="67"/>
        <v>-0.2418504663002658</v>
      </c>
      <c r="R370" s="3">
        <f t="shared" si="68"/>
        <v>0.89907621893314649</v>
      </c>
      <c r="S370" s="3">
        <f t="shared" si="69"/>
        <v>-1.279880340458015</v>
      </c>
      <c r="T370" s="3">
        <f t="shared" si="70"/>
        <v>-0.71352348681761546</v>
      </c>
      <c r="U370" s="3">
        <f t="shared" si="71"/>
        <v>-0.36692135999585412</v>
      </c>
      <c r="V370" s="3">
        <f t="shared" si="72"/>
        <v>-0.17377424465239541</v>
      </c>
      <c r="W370" s="3">
        <f t="shared" si="73"/>
        <v>0.97987560428943299</v>
      </c>
      <c r="X370" s="3">
        <f t="shared" si="74"/>
        <v>1.0818660125896988</v>
      </c>
      <c r="Y370" s="3">
        <f t="shared" si="75"/>
        <v>1.1651865803478245</v>
      </c>
      <c r="Z370" s="3">
        <f t="shared" si="76"/>
        <v>1.041339650275835</v>
      </c>
      <c r="AA370" s="3">
        <f t="shared" si="77"/>
        <v>1.1725524690231588</v>
      </c>
      <c r="AB370" s="3">
        <f t="shared" si="78"/>
        <v>1.2508057095847664</v>
      </c>
    </row>
    <row r="371" spans="1:28" x14ac:dyDescent="0.25">
      <c r="A371" s="3">
        <v>1.23766247422787E+18</v>
      </c>
      <c r="B371" s="3">
        <v>236.81554</v>
      </c>
      <c r="C371" s="3">
        <v>36.612485999999997</v>
      </c>
      <c r="D371" s="16">
        <v>0.5733279</v>
      </c>
      <c r="E371" s="3">
        <v>3.4845499999999987</v>
      </c>
      <c r="F371" s="3">
        <v>5.445529999999998</v>
      </c>
      <c r="G371" s="3">
        <v>6.4363399999999977</v>
      </c>
      <c r="H371" s="3">
        <v>7.1474399999999996</v>
      </c>
      <c r="I371" s="3">
        <v>1.9609799999999993</v>
      </c>
      <c r="J371" s="3">
        <v>2.951789999999999</v>
      </c>
      <c r="K371" s="3">
        <v>3.6628900000000009</v>
      </c>
      <c r="L371" s="3">
        <v>0.99080999999999975</v>
      </c>
      <c r="M371" s="3">
        <v>1.7019100000000016</v>
      </c>
      <c r="N371" s="3">
        <v>0.71110000000000184</v>
      </c>
      <c r="P371" s="3">
        <f t="shared" si="66"/>
        <v>1.6896830648997123</v>
      </c>
      <c r="Q371" s="3">
        <f t="shared" si="67"/>
        <v>1.8586006589941411</v>
      </c>
      <c r="R371" s="3">
        <f t="shared" si="68"/>
        <v>0.89926736626990111</v>
      </c>
      <c r="S371" s="3">
        <f t="shared" si="69"/>
        <v>1.6527275278751461</v>
      </c>
      <c r="T371" s="3">
        <f t="shared" si="70"/>
        <v>2.0511039145719816</v>
      </c>
      <c r="U371" s="3">
        <f t="shared" si="71"/>
        <v>2.0935002350052745</v>
      </c>
      <c r="V371" s="3">
        <f t="shared" si="72"/>
        <v>2.2071676423546243</v>
      </c>
      <c r="W371" s="3">
        <f t="shared" si="73"/>
        <v>1.2332477874533854</v>
      </c>
      <c r="X371" s="3">
        <f t="shared" si="74"/>
        <v>1.1585179406696573</v>
      </c>
      <c r="Y371" s="3">
        <f t="shared" si="75"/>
        <v>1.3079710865055523</v>
      </c>
      <c r="Z371" s="3">
        <f t="shared" si="76"/>
        <v>0.83606068867128147</v>
      </c>
      <c r="AA371" s="3">
        <f t="shared" si="77"/>
        <v>1.1780981185690174</v>
      </c>
      <c r="AB371" s="3">
        <f t="shared" si="78"/>
        <v>1.6461756991811711</v>
      </c>
    </row>
    <row r="372" spans="1:28" x14ac:dyDescent="0.25">
      <c r="A372" s="3">
        <v>1.2376614659863301E+18</v>
      </c>
      <c r="B372" s="3">
        <v>236.34151</v>
      </c>
      <c r="C372" s="3">
        <v>35.652872000000002</v>
      </c>
      <c r="D372" s="16">
        <v>0.57405360000000005</v>
      </c>
      <c r="E372" s="3">
        <v>1.3901699999999977</v>
      </c>
      <c r="F372" s="3">
        <v>2.7086000000000006</v>
      </c>
      <c r="G372" s="3">
        <v>3.7061700000000002</v>
      </c>
      <c r="H372" s="3">
        <v>4.1977899999999977</v>
      </c>
      <c r="I372" s="3">
        <v>1.3184300000000029</v>
      </c>
      <c r="J372" s="3">
        <v>2.3160000000000025</v>
      </c>
      <c r="K372" s="3">
        <v>2.80762</v>
      </c>
      <c r="L372" s="3">
        <v>0.99756999999999962</v>
      </c>
      <c r="M372" s="3">
        <v>1.4891899999999971</v>
      </c>
      <c r="N372" s="3">
        <v>0.4916199999999975</v>
      </c>
      <c r="P372" s="3">
        <f t="shared" si="66"/>
        <v>0.23120320212020182</v>
      </c>
      <c r="Q372" s="3">
        <f t="shared" si="67"/>
        <v>-1.538488868641491</v>
      </c>
      <c r="R372" s="3">
        <f t="shared" si="68"/>
        <v>0.90210989951340537</v>
      </c>
      <c r="S372" s="3">
        <f t="shared" si="69"/>
        <v>-0.40889124598759341</v>
      </c>
      <c r="T372" s="3">
        <f t="shared" si="70"/>
        <v>-0.38344939098954672</v>
      </c>
      <c r="U372" s="3">
        <f t="shared" si="71"/>
        <v>-0.11672779258872415</v>
      </c>
      <c r="V372" s="3">
        <f t="shared" si="72"/>
        <v>-5.0491432396641917E-2</v>
      </c>
      <c r="W372" s="3">
        <f t="shared" si="73"/>
        <v>-3.0858869057200439E-2</v>
      </c>
      <c r="X372" s="3">
        <f t="shared" si="74"/>
        <v>0.34641113590448547</v>
      </c>
      <c r="Y372" s="3">
        <f t="shared" si="75"/>
        <v>0.37937778879801709</v>
      </c>
      <c r="Z372" s="3">
        <f t="shared" si="76"/>
        <v>0.85623640516512778</v>
      </c>
      <c r="AA372" s="3">
        <f t="shared" si="77"/>
        <v>0.74439570261552579</v>
      </c>
      <c r="AB372" s="3">
        <f t="shared" si="78"/>
        <v>0.43252807237535446</v>
      </c>
    </row>
    <row r="373" spans="1:28" x14ac:dyDescent="0.25">
      <c r="A373" s="3">
        <v>1.2376614659863301E+18</v>
      </c>
      <c r="B373" s="3">
        <v>236.26297</v>
      </c>
      <c r="C373" s="3">
        <v>35.624699999999997</v>
      </c>
      <c r="D373" s="16">
        <v>0.57423290000000005</v>
      </c>
      <c r="E373" s="3">
        <v>0.79211000000000098</v>
      </c>
      <c r="F373" s="3">
        <v>2.6312700000000007</v>
      </c>
      <c r="G373" s="3">
        <v>3.6668900000000022</v>
      </c>
      <c r="H373" s="3">
        <v>4.3609299999999998</v>
      </c>
      <c r="I373" s="3">
        <v>1.8391599999999997</v>
      </c>
      <c r="J373" s="3">
        <v>2.8747800000000012</v>
      </c>
      <c r="K373" s="3">
        <v>3.5688199999999988</v>
      </c>
      <c r="L373" s="3">
        <v>1.0356200000000015</v>
      </c>
      <c r="M373" s="3">
        <v>1.7296599999999991</v>
      </c>
      <c r="N373" s="3">
        <v>0.69403999999999755</v>
      </c>
      <c r="P373" s="3">
        <f t="shared" si="66"/>
        <v>-1.0446078352993058E-2</v>
      </c>
      <c r="Q373" s="3">
        <f t="shared" si="67"/>
        <v>-1.6382193917190706</v>
      </c>
      <c r="R373" s="3">
        <f t="shared" si="68"/>
        <v>0.90281220929783457</v>
      </c>
      <c r="S373" s="3">
        <f t="shared" si="69"/>
        <v>-0.99759612470890591</v>
      </c>
      <c r="T373" s="3">
        <f t="shared" si="70"/>
        <v>-0.45223595371459741</v>
      </c>
      <c r="U373" s="3">
        <f t="shared" si="71"/>
        <v>-0.14852718856915317</v>
      </c>
      <c r="V373" s="3">
        <f t="shared" si="72"/>
        <v>7.4375755729042828E-2</v>
      </c>
      <c r="W373" s="3">
        <f t="shared" si="73"/>
        <v>0.99358788099300099</v>
      </c>
      <c r="X373" s="3">
        <f t="shared" si="74"/>
        <v>1.0601515853715802</v>
      </c>
      <c r="Y373" s="3">
        <f t="shared" si="75"/>
        <v>1.2058363553500697</v>
      </c>
      <c r="Z373" s="3">
        <f t="shared" si="76"/>
        <v>0.96979942477916703</v>
      </c>
      <c r="AA373" s="3">
        <f t="shared" si="77"/>
        <v>1.2346759769871636</v>
      </c>
      <c r="AB373" s="3">
        <f t="shared" si="78"/>
        <v>1.5518398666984299</v>
      </c>
    </row>
    <row r="374" spans="1:28" x14ac:dyDescent="0.25">
      <c r="A374" s="3">
        <v>1.2376625037556401E+18</v>
      </c>
      <c r="B374" s="3">
        <v>236.37797</v>
      </c>
      <c r="C374" s="3">
        <v>36.483097999999998</v>
      </c>
      <c r="D374" s="16">
        <v>0.57434810000000003</v>
      </c>
      <c r="E374" s="3">
        <v>0.46713000000000093</v>
      </c>
      <c r="F374" s="3">
        <v>2.5321899999999999</v>
      </c>
      <c r="G374" s="3">
        <v>3.5280099999999983</v>
      </c>
      <c r="H374" s="3">
        <v>4.1841399999999993</v>
      </c>
      <c r="I374" s="3">
        <v>2.065059999999999</v>
      </c>
      <c r="J374" s="3">
        <v>3.0608799999999974</v>
      </c>
      <c r="K374" s="3">
        <v>3.7170099999999984</v>
      </c>
      <c r="L374" s="3">
        <v>0.99581999999999837</v>
      </c>
      <c r="M374" s="3">
        <v>1.6519499999999994</v>
      </c>
      <c r="N374" s="3">
        <v>0.65613000000000099</v>
      </c>
      <c r="P374" s="3">
        <f t="shared" si="66"/>
        <v>0.3433821270763201</v>
      </c>
      <c r="Q374" s="3">
        <f t="shared" si="67"/>
        <v>1.4005595926886085</v>
      </c>
      <c r="R374" s="3">
        <f t="shared" si="68"/>
        <v>0.90326344235509182</v>
      </c>
      <c r="S374" s="3">
        <f t="shared" si="69"/>
        <v>-1.3174926425948259</v>
      </c>
      <c r="T374" s="3">
        <f t="shared" si="70"/>
        <v>-0.5403695711308405</v>
      </c>
      <c r="U374" s="3">
        <f t="shared" si="71"/>
        <v>-0.26095845419446712</v>
      </c>
      <c r="V374" s="3">
        <f t="shared" si="72"/>
        <v>-6.0939128350518179E-2</v>
      </c>
      <c r="W374" s="3">
        <f t="shared" si="73"/>
        <v>1.4380072938102793</v>
      </c>
      <c r="X374" s="3">
        <f t="shared" si="74"/>
        <v>1.2978606974475742</v>
      </c>
      <c r="Y374" s="3">
        <f t="shared" si="75"/>
        <v>1.3667308574222563</v>
      </c>
      <c r="Z374" s="3">
        <f t="shared" si="76"/>
        <v>0.85101340163491224</v>
      </c>
      <c r="AA374" s="3">
        <f t="shared" si="77"/>
        <v>1.0762375849988925</v>
      </c>
      <c r="AB374" s="3">
        <f t="shared" si="78"/>
        <v>1.3422108274593036</v>
      </c>
    </row>
    <row r="375" spans="1:28" x14ac:dyDescent="0.25">
      <c r="A375" s="3">
        <v>1.2376624736909399E+18</v>
      </c>
      <c r="B375" s="3">
        <v>236.43976000000001</v>
      </c>
      <c r="C375" s="3">
        <v>36.321854000000002</v>
      </c>
      <c r="D375" s="16">
        <v>0.57486490000000001</v>
      </c>
      <c r="E375" s="3">
        <v>2.8939199999999978</v>
      </c>
      <c r="F375" s="3">
        <v>4.9783099999999969</v>
      </c>
      <c r="G375" s="3">
        <v>6.2745999999999995</v>
      </c>
      <c r="H375" s="3">
        <v>6.8351299999999995</v>
      </c>
      <c r="I375" s="3">
        <v>2.0843899999999991</v>
      </c>
      <c r="J375" s="3">
        <v>3.3806800000000017</v>
      </c>
      <c r="K375" s="3">
        <v>3.9412100000000017</v>
      </c>
      <c r="L375" s="3">
        <v>1.2962900000000026</v>
      </c>
      <c r="M375" s="3">
        <v>1.8568200000000026</v>
      </c>
      <c r="N375" s="3">
        <v>0.56052999999999997</v>
      </c>
      <c r="P375" s="3">
        <f t="shared" si="66"/>
        <v>0.53349556023698308</v>
      </c>
      <c r="Q375" s="3">
        <f t="shared" si="67"/>
        <v>0.82974642844332813</v>
      </c>
      <c r="R375" s="3">
        <f t="shared" si="68"/>
        <v>0.90528772398695467</v>
      </c>
      <c r="S375" s="3">
        <f t="shared" si="69"/>
        <v>1.0713364257797522</v>
      </c>
      <c r="T375" s="3">
        <f t="shared" si="70"/>
        <v>1.6355024942125056</v>
      </c>
      <c r="U375" s="3">
        <f t="shared" si="71"/>
        <v>1.9625624980940015</v>
      </c>
      <c r="V375" s="3">
        <f t="shared" si="72"/>
        <v>1.9681258897278491</v>
      </c>
      <c r="W375" s="3">
        <f t="shared" si="73"/>
        <v>1.4760357455577693</v>
      </c>
      <c r="X375" s="3">
        <f t="shared" si="74"/>
        <v>1.7063473929978454</v>
      </c>
      <c r="Y375" s="3">
        <f t="shared" si="75"/>
        <v>1.61015178572096</v>
      </c>
      <c r="Z375" s="3">
        <f t="shared" si="76"/>
        <v>1.7477881849050607</v>
      </c>
      <c r="AA375" s="3">
        <f t="shared" si="77"/>
        <v>1.4939350932557154</v>
      </c>
      <c r="AB375" s="3">
        <f t="shared" si="78"/>
        <v>0.81357626794301519</v>
      </c>
    </row>
    <row r="376" spans="1:28" x14ac:dyDescent="0.25">
      <c r="A376" s="3">
        <v>1.23766250375571E+18</v>
      </c>
      <c r="B376" s="3">
        <v>236.51935</v>
      </c>
      <c r="C376" s="3">
        <v>36.546565999999999</v>
      </c>
      <c r="D376" s="16">
        <v>0.57981760000000004</v>
      </c>
      <c r="E376" s="3">
        <v>3.2913199999999989</v>
      </c>
      <c r="F376" s="3">
        <v>4.9806300000000014</v>
      </c>
      <c r="G376" s="3">
        <v>6.0606200000000001</v>
      </c>
      <c r="H376" s="3">
        <v>6.6753</v>
      </c>
      <c r="I376" s="3">
        <v>1.6893100000000025</v>
      </c>
      <c r="J376" s="3">
        <v>2.7693000000000012</v>
      </c>
      <c r="K376" s="3">
        <v>3.3839800000000011</v>
      </c>
      <c r="L376" s="3">
        <v>1.0799899999999987</v>
      </c>
      <c r="M376" s="3">
        <v>1.6946699999999986</v>
      </c>
      <c r="N376" s="3">
        <v>0.61467999999999989</v>
      </c>
      <c r="P376" s="3">
        <f t="shared" si="66"/>
        <v>0.77837544606407361</v>
      </c>
      <c r="Q376" s="3">
        <f t="shared" si="67"/>
        <v>1.6252400143372929</v>
      </c>
      <c r="R376" s="3">
        <f t="shared" si="68"/>
        <v>0.92468722019076144</v>
      </c>
      <c r="S376" s="3">
        <f t="shared" si="69"/>
        <v>1.4625201177234561</v>
      </c>
      <c r="T376" s="3">
        <f t="shared" si="70"/>
        <v>1.6375661800462367</v>
      </c>
      <c r="U376" s="3">
        <f t="shared" si="71"/>
        <v>1.7893335074653729</v>
      </c>
      <c r="V376" s="3">
        <f t="shared" si="72"/>
        <v>1.8457921721961101</v>
      </c>
      <c r="W376" s="3">
        <f t="shared" si="73"/>
        <v>0.69878376850664392</v>
      </c>
      <c r="X376" s="3">
        <f t="shared" si="74"/>
        <v>0.92541995107939123</v>
      </c>
      <c r="Y376" s="3">
        <f t="shared" si="75"/>
        <v>1.005149805899886</v>
      </c>
      <c r="Z376" s="3">
        <f t="shared" si="76"/>
        <v>1.1022249485708713</v>
      </c>
      <c r="AA376" s="3">
        <f t="shared" si="77"/>
        <v>1.1633369043366719</v>
      </c>
      <c r="AB376" s="3">
        <f t="shared" si="78"/>
        <v>1.1130068264974784</v>
      </c>
    </row>
    <row r="377" spans="1:28" x14ac:dyDescent="0.25">
      <c r="A377" s="3">
        <v>1.2376625037557701E+18</v>
      </c>
      <c r="B377" s="3">
        <v>236.49377000000001</v>
      </c>
      <c r="C377" s="3">
        <v>36.316184</v>
      </c>
      <c r="D377" s="16">
        <v>0.58962110000000001</v>
      </c>
      <c r="E377" s="3">
        <v>1.0610899999999965</v>
      </c>
      <c r="F377" s="3">
        <v>2.2819299999999991</v>
      </c>
      <c r="G377" s="3">
        <v>3.4177999999999997</v>
      </c>
      <c r="H377" s="3">
        <v>4.06494</v>
      </c>
      <c r="I377" s="3">
        <v>1.2208400000000026</v>
      </c>
      <c r="J377" s="3">
        <v>2.3567100000000032</v>
      </c>
      <c r="K377" s="3">
        <v>3.0038500000000035</v>
      </c>
      <c r="L377" s="3">
        <v>1.1358700000000006</v>
      </c>
      <c r="M377" s="3">
        <v>1.7830100000000009</v>
      </c>
      <c r="N377" s="3">
        <v>0.64714000000000027</v>
      </c>
      <c r="P377" s="3">
        <f t="shared" si="66"/>
        <v>0.69967174610861382</v>
      </c>
      <c r="Q377" s="3">
        <f t="shared" si="67"/>
        <v>0.80967429775150712</v>
      </c>
      <c r="R377" s="3">
        <f t="shared" si="68"/>
        <v>0.96308707502429014</v>
      </c>
      <c r="S377" s="3">
        <f t="shared" si="69"/>
        <v>-0.73282362984475036</v>
      </c>
      <c r="T377" s="3">
        <f t="shared" si="70"/>
        <v>-0.76298078524659452</v>
      </c>
      <c r="U377" s="3">
        <f t="shared" si="71"/>
        <v>-0.35017972280452864</v>
      </c>
      <c r="V377" s="3">
        <f t="shared" si="72"/>
        <v>-0.15217468569133802</v>
      </c>
      <c r="W377" s="3">
        <f t="shared" si="73"/>
        <v>-0.22285041618795931</v>
      </c>
      <c r="X377" s="3">
        <f t="shared" si="74"/>
        <v>0.39841080249564115</v>
      </c>
      <c r="Y377" s="3">
        <f t="shared" si="75"/>
        <v>0.59243081627372962</v>
      </c>
      <c r="Z377" s="3">
        <f t="shared" si="76"/>
        <v>1.2690029127241542</v>
      </c>
      <c r="AA377" s="3">
        <f t="shared" si="77"/>
        <v>1.3434481840721535</v>
      </c>
      <c r="AB377" s="3">
        <f t="shared" si="78"/>
        <v>1.2924992721240343</v>
      </c>
    </row>
    <row r="378" spans="1:28" x14ac:dyDescent="0.25">
      <c r="A378" s="3">
        <v>1.23766247369074E+18</v>
      </c>
      <c r="B378" s="3">
        <v>235.86815000000001</v>
      </c>
      <c r="C378" s="3">
        <v>36.585321</v>
      </c>
      <c r="D378" s="16">
        <v>0.59100940000000002</v>
      </c>
      <c r="E378" s="3">
        <v>0.99209000000000103</v>
      </c>
      <c r="F378" s="3">
        <v>2.7683</v>
      </c>
      <c r="G378" s="3">
        <v>3.8323800000000006</v>
      </c>
      <c r="H378" s="3">
        <v>4.3556400000000011</v>
      </c>
      <c r="I378" s="3">
        <v>1.776209999999999</v>
      </c>
      <c r="J378" s="3">
        <v>2.8402899999999995</v>
      </c>
      <c r="K378" s="3">
        <v>3.36355</v>
      </c>
      <c r="L378" s="3">
        <v>1.0640800000000006</v>
      </c>
      <c r="M378" s="3">
        <v>1.5873400000000011</v>
      </c>
      <c r="N378" s="3">
        <v>0.5232600000000005</v>
      </c>
      <c r="P378" s="3">
        <f t="shared" si="66"/>
        <v>-1.2252152267667655</v>
      </c>
      <c r="Q378" s="3">
        <f t="shared" si="67"/>
        <v>1.762434974647924</v>
      </c>
      <c r="R378" s="3">
        <f t="shared" si="68"/>
        <v>0.96852498173774848</v>
      </c>
      <c r="S378" s="3">
        <f t="shared" si="69"/>
        <v>-0.80074430106798566</v>
      </c>
      <c r="T378" s="3">
        <f t="shared" si="70"/>
        <v>-0.33034506156131072</v>
      </c>
      <c r="U378" s="3">
        <f t="shared" si="71"/>
        <v>-1.4553613192335049E-2</v>
      </c>
      <c r="V378" s="3">
        <f t="shared" si="72"/>
        <v>7.0326795172559436E-2</v>
      </c>
      <c r="W378" s="3">
        <f t="shared" si="73"/>
        <v>0.86974457848371345</v>
      </c>
      <c r="X378" s="3">
        <f t="shared" si="74"/>
        <v>1.0160968445037586</v>
      </c>
      <c r="Y378" s="3">
        <f t="shared" si="75"/>
        <v>0.98296831809817908</v>
      </c>
      <c r="Z378" s="3">
        <f t="shared" si="76"/>
        <v>1.0547403850476371</v>
      </c>
      <c r="AA378" s="3">
        <f t="shared" si="77"/>
        <v>0.94450801986748156</v>
      </c>
      <c r="AB378" s="3">
        <f t="shared" si="78"/>
        <v>0.60748620483452576</v>
      </c>
    </row>
    <row r="379" spans="1:28" x14ac:dyDescent="0.25">
      <c r="A379" s="3">
        <v>1.23766247369074E+18</v>
      </c>
      <c r="B379" s="3">
        <v>235.99646999999999</v>
      </c>
      <c r="C379" s="3">
        <v>36.586255000000001</v>
      </c>
      <c r="D379" s="16">
        <v>0.59242760000000005</v>
      </c>
      <c r="E379" s="3">
        <v>0.4826599999999992</v>
      </c>
      <c r="F379" s="3">
        <v>2.2841299999999976</v>
      </c>
      <c r="G379" s="3">
        <v>3.2886299999999977</v>
      </c>
      <c r="H379" s="3">
        <v>3.7980299999999971</v>
      </c>
      <c r="I379" s="3">
        <v>1.8014699999999984</v>
      </c>
      <c r="J379" s="3">
        <v>2.8059699999999985</v>
      </c>
      <c r="K379" s="3">
        <v>3.3153699999999979</v>
      </c>
      <c r="L379" s="3">
        <v>1.0045000000000002</v>
      </c>
      <c r="M379" s="3">
        <v>1.5138999999999996</v>
      </c>
      <c r="N379" s="3">
        <v>0.50939999999999941</v>
      </c>
      <c r="P379" s="3">
        <f t="shared" si="66"/>
        <v>-0.83040448484783858</v>
      </c>
      <c r="Q379" s="3">
        <f t="shared" si="67"/>
        <v>1.7657413891216756</v>
      </c>
      <c r="R379" s="3">
        <f t="shared" si="68"/>
        <v>0.97408000536450545</v>
      </c>
      <c r="S379" s="3">
        <f t="shared" si="69"/>
        <v>-1.3022055697818287</v>
      </c>
      <c r="T379" s="3">
        <f t="shared" si="70"/>
        <v>-0.76102384178357885</v>
      </c>
      <c r="U379" s="3">
        <f t="shared" si="71"/>
        <v>-0.45475019069638939</v>
      </c>
      <c r="V379" s="3">
        <f t="shared" si="72"/>
        <v>-0.35646732503562173</v>
      </c>
      <c r="W379" s="3">
        <f t="shared" si="73"/>
        <v>0.91943928573366562</v>
      </c>
      <c r="X379" s="3">
        <f t="shared" si="74"/>
        <v>0.97225924790811902</v>
      </c>
      <c r="Y379" s="3">
        <f t="shared" si="75"/>
        <v>0.93065779033086471</v>
      </c>
      <c r="Z379" s="3">
        <f t="shared" si="76"/>
        <v>0.87691949914476808</v>
      </c>
      <c r="AA379" s="3">
        <f t="shared" si="77"/>
        <v>0.79477548212949545</v>
      </c>
      <c r="AB379" s="3">
        <f t="shared" si="78"/>
        <v>0.53084525300506702</v>
      </c>
    </row>
    <row r="380" spans="1:28" x14ac:dyDescent="0.25">
      <c r="A380" s="3">
        <v>1.23766247369074E+18</v>
      </c>
      <c r="B380" s="3">
        <v>235.953</v>
      </c>
      <c r="C380" s="3">
        <v>36.593406999999999</v>
      </c>
      <c r="D380" s="16">
        <v>0.59282840000000003</v>
      </c>
      <c r="E380" s="3">
        <v>1.0743800000000014</v>
      </c>
      <c r="F380" s="3">
        <v>2.4218800000000016</v>
      </c>
      <c r="G380" s="3">
        <v>3.3967700000000001</v>
      </c>
      <c r="H380" s="3">
        <v>3.8523700000000005</v>
      </c>
      <c r="I380" s="3">
        <v>1.3475000000000001</v>
      </c>
      <c r="J380" s="3">
        <v>2.3223899999999986</v>
      </c>
      <c r="K380" s="3">
        <v>2.7779899999999991</v>
      </c>
      <c r="L380" s="3">
        <v>0.97488999999999848</v>
      </c>
      <c r="M380" s="3">
        <v>1.4304899999999989</v>
      </c>
      <c r="N380" s="3">
        <v>0.45560000000000045</v>
      </c>
      <c r="P380" s="3">
        <f t="shared" si="66"/>
        <v>-0.96415154650006218</v>
      </c>
      <c r="Q380" s="3">
        <f t="shared" si="67"/>
        <v>1.7910598862482732</v>
      </c>
      <c r="R380" s="3">
        <f t="shared" si="68"/>
        <v>0.97564992037621323</v>
      </c>
      <c r="S380" s="3">
        <f t="shared" si="69"/>
        <v>-0.7197415179526172</v>
      </c>
      <c r="T380" s="3">
        <f t="shared" si="70"/>
        <v>-0.63849249540602782</v>
      </c>
      <c r="U380" s="3">
        <f t="shared" si="71"/>
        <v>-0.36720470491930579</v>
      </c>
      <c r="V380" s="3">
        <f t="shared" si="72"/>
        <v>-0.31487554495256398</v>
      </c>
      <c r="W380" s="3">
        <f t="shared" si="73"/>
        <v>2.6331358169878347E-2</v>
      </c>
      <c r="X380" s="3">
        <f t="shared" si="74"/>
        <v>0.35457320589999708</v>
      </c>
      <c r="Y380" s="3">
        <f t="shared" si="75"/>
        <v>0.34720757423293808</v>
      </c>
      <c r="Z380" s="3">
        <f t="shared" si="76"/>
        <v>0.78854627941357958</v>
      </c>
      <c r="AA380" s="3">
        <f t="shared" si="77"/>
        <v>0.62471569219587253</v>
      </c>
      <c r="AB380" s="3">
        <f t="shared" si="78"/>
        <v>0.23335007202205998</v>
      </c>
    </row>
    <row r="381" spans="1:28" x14ac:dyDescent="0.25">
      <c r="A381" s="3">
        <v>1.2376625032189E+18</v>
      </c>
      <c r="B381" s="3">
        <v>236.2705</v>
      </c>
      <c r="C381" s="3">
        <v>35.976362999999999</v>
      </c>
      <c r="D381" s="16">
        <v>0.59927739999999996</v>
      </c>
      <c r="E381" s="3">
        <v>2.1902499999999989</v>
      </c>
      <c r="F381" s="3">
        <v>3.688839999999999</v>
      </c>
      <c r="G381" s="3">
        <v>4.7508400000000002</v>
      </c>
      <c r="H381" s="3">
        <v>5.4160600000000017</v>
      </c>
      <c r="I381" s="3">
        <v>1.4985900000000001</v>
      </c>
      <c r="J381" s="3">
        <v>2.5605900000000013</v>
      </c>
      <c r="K381" s="3">
        <v>3.2258100000000027</v>
      </c>
      <c r="L381" s="3">
        <v>1.0620000000000012</v>
      </c>
      <c r="M381" s="3">
        <v>1.7272200000000026</v>
      </c>
      <c r="N381" s="3">
        <v>0.66522000000000148</v>
      </c>
      <c r="P381" s="3">
        <f t="shared" si="66"/>
        <v>1.2721977185124099E-2</v>
      </c>
      <c r="Q381" s="3">
        <f t="shared" si="67"/>
        <v>-0.39331186165287457</v>
      </c>
      <c r="R381" s="3">
        <f t="shared" si="68"/>
        <v>1.0009103542846567</v>
      </c>
      <c r="S381" s="3">
        <f t="shared" si="69"/>
        <v>0.37867354578472218</v>
      </c>
      <c r="T381" s="3">
        <f t="shared" si="70"/>
        <v>0.48849345455039439</v>
      </c>
      <c r="U381" s="3">
        <f t="shared" si="71"/>
        <v>0.7289920393582332</v>
      </c>
      <c r="V381" s="3">
        <f t="shared" si="72"/>
        <v>0.88197117197921027</v>
      </c>
      <c r="W381" s="3">
        <f t="shared" si="73"/>
        <v>0.3235749574729449</v>
      </c>
      <c r="X381" s="3">
        <f t="shared" si="74"/>
        <v>0.65883065080329395</v>
      </c>
      <c r="Y381" s="3">
        <f t="shared" si="75"/>
        <v>0.83341970675178179</v>
      </c>
      <c r="Z381" s="3">
        <f t="shared" si="76"/>
        <v>1.0485324722803016</v>
      </c>
      <c r="AA381" s="3">
        <f t="shared" si="77"/>
        <v>1.2297012031298631</v>
      </c>
      <c r="AB381" s="3">
        <f t="shared" si="78"/>
        <v>1.3924753478149865</v>
      </c>
    </row>
    <row r="382" spans="1:28" x14ac:dyDescent="0.25">
      <c r="A382" s="3">
        <v>1.2376625037556401E+18</v>
      </c>
      <c r="B382" s="3">
        <v>236.38063</v>
      </c>
      <c r="C382" s="3">
        <v>36.562551999999997</v>
      </c>
      <c r="D382" s="16">
        <v>0.6001263</v>
      </c>
      <c r="E382" s="3">
        <v>-1.5900000000002024E-3</v>
      </c>
      <c r="F382" s="3">
        <v>1.4370399999999997</v>
      </c>
      <c r="G382" s="3">
        <v>2.2947699999999998</v>
      </c>
      <c r="H382" s="3">
        <v>2.6332599999999999</v>
      </c>
      <c r="I382" s="3">
        <v>1.4386299999999999</v>
      </c>
      <c r="J382" s="3">
        <v>2.29636</v>
      </c>
      <c r="K382" s="3">
        <v>2.6348500000000001</v>
      </c>
      <c r="L382" s="3">
        <v>0.8577300000000001</v>
      </c>
      <c r="M382" s="3">
        <v>1.1962200000000003</v>
      </c>
      <c r="N382" s="3">
        <v>0.33849000000000018</v>
      </c>
      <c r="P382" s="3">
        <f t="shared" si="66"/>
        <v>0.351566327306224</v>
      </c>
      <c r="Q382" s="3">
        <f t="shared" si="67"/>
        <v>1.6818313866899022</v>
      </c>
      <c r="R382" s="3">
        <f t="shared" si="68"/>
        <v>1.0042354562143945</v>
      </c>
      <c r="S382" s="3">
        <f t="shared" si="69"/>
        <v>-1.7788807152869568</v>
      </c>
      <c r="T382" s="3">
        <f t="shared" si="70"/>
        <v>-1.5145271318231897</v>
      </c>
      <c r="U382" s="3">
        <f t="shared" si="71"/>
        <v>-1.2593364353275183</v>
      </c>
      <c r="V382" s="3">
        <f t="shared" si="72"/>
        <v>-1.2479810844640367</v>
      </c>
      <c r="W382" s="3">
        <f t="shared" si="73"/>
        <v>0.20561396591683961</v>
      </c>
      <c r="X382" s="3">
        <f t="shared" si="74"/>
        <v>0.32132458587131391</v>
      </c>
      <c r="Y382" s="3">
        <f t="shared" si="75"/>
        <v>0.19179601456890744</v>
      </c>
      <c r="Z382" s="3">
        <f t="shared" si="76"/>
        <v>0.43887365449951943</v>
      </c>
      <c r="AA382" s="3">
        <f t="shared" si="77"/>
        <v>0.14707623664199065</v>
      </c>
      <c r="AB382" s="3">
        <f t="shared" si="78"/>
        <v>-0.41422726338538807</v>
      </c>
    </row>
    <row r="383" spans="1:28" x14ac:dyDescent="0.25">
      <c r="A383" s="3">
        <v>1.23766233786351E+18</v>
      </c>
      <c r="B383" s="3">
        <v>235.73212000000001</v>
      </c>
      <c r="C383" s="3">
        <v>35.856115000000003</v>
      </c>
      <c r="D383" s="16">
        <v>0.6017247</v>
      </c>
      <c r="E383" s="3">
        <v>0.7410899999999998</v>
      </c>
      <c r="F383" s="3">
        <v>1.7513000000000005</v>
      </c>
      <c r="G383" s="3">
        <v>2.457259999999998</v>
      </c>
      <c r="H383" s="3">
        <v>3.1222899999999996</v>
      </c>
      <c r="I383" s="3">
        <v>1.0102100000000007</v>
      </c>
      <c r="J383" s="3">
        <v>1.7161699999999982</v>
      </c>
      <c r="K383" s="3">
        <v>2.3811999999999998</v>
      </c>
      <c r="L383" s="3">
        <v>0.70595999999999748</v>
      </c>
      <c r="M383" s="3">
        <v>1.370989999999999</v>
      </c>
      <c r="N383" s="3">
        <v>0.66503000000000156</v>
      </c>
      <c r="P383" s="3">
        <f t="shared" si="66"/>
        <v>-1.6437478422845697</v>
      </c>
      <c r="Q383" s="3">
        <f t="shared" si="67"/>
        <v>-0.81899679488552868</v>
      </c>
      <c r="R383" s="3">
        <f t="shared" si="68"/>
        <v>1.0104963148838404</v>
      </c>
      <c r="S383" s="3">
        <f t="shared" si="69"/>
        <v>-1.0478180471119463</v>
      </c>
      <c r="T383" s="3">
        <f t="shared" si="70"/>
        <v>-1.2349866533287566</v>
      </c>
      <c r="U383" s="3">
        <f t="shared" si="71"/>
        <v>-1.1277915307231363</v>
      </c>
      <c r="V383" s="3">
        <f t="shared" si="72"/>
        <v>-0.87367802568566977</v>
      </c>
      <c r="W383" s="3">
        <f t="shared" si="73"/>
        <v>-0.6372287292543799</v>
      </c>
      <c r="X383" s="3">
        <f t="shared" si="74"/>
        <v>-0.41976326869813368</v>
      </c>
      <c r="Y383" s="3">
        <f t="shared" si="75"/>
        <v>-8.3599696684283284E-2</v>
      </c>
      <c r="Z383" s="3">
        <f t="shared" si="76"/>
        <v>-1.4095057374913502E-2</v>
      </c>
      <c r="AA383" s="3">
        <f t="shared" si="77"/>
        <v>0.50340460838037726</v>
      </c>
      <c r="AB383" s="3">
        <f t="shared" si="78"/>
        <v>1.3914247142761993</v>
      </c>
    </row>
    <row r="384" spans="1:28" x14ac:dyDescent="0.25">
      <c r="A384" s="3">
        <v>1.2376624736909399E+18</v>
      </c>
      <c r="B384" s="3">
        <v>236.33093</v>
      </c>
      <c r="C384" s="3">
        <v>36.296190000000003</v>
      </c>
      <c r="D384" s="16">
        <v>0.60239480000000001</v>
      </c>
      <c r="E384" s="3">
        <v>1.9173299999999998</v>
      </c>
      <c r="F384" s="3">
        <v>3.7025500000000022</v>
      </c>
      <c r="G384" s="3">
        <v>4.72879</v>
      </c>
      <c r="H384" s="3">
        <v>5.3237900000000025</v>
      </c>
      <c r="I384" s="3">
        <v>1.7852200000000025</v>
      </c>
      <c r="J384" s="3">
        <v>2.8114600000000003</v>
      </c>
      <c r="K384" s="3">
        <v>3.4064600000000027</v>
      </c>
      <c r="L384" s="3">
        <v>1.0262399999999978</v>
      </c>
      <c r="M384" s="3">
        <v>1.6212400000000002</v>
      </c>
      <c r="N384" s="3">
        <v>0.59500000000000242</v>
      </c>
      <c r="P384" s="3">
        <f t="shared" si="66"/>
        <v>0.19865100722069381</v>
      </c>
      <c r="Q384" s="3">
        <f t="shared" si="67"/>
        <v>0.73889437164003224</v>
      </c>
      <c r="R384" s="3">
        <f t="shared" si="68"/>
        <v>1.0131210655059597</v>
      </c>
      <c r="S384" s="3">
        <f t="shared" si="69"/>
        <v>0.11002268215796064</v>
      </c>
      <c r="T384" s="3">
        <f t="shared" si="70"/>
        <v>0.50068877040401738</v>
      </c>
      <c r="U384" s="3">
        <f t="shared" si="71"/>
        <v>0.71114130918082741</v>
      </c>
      <c r="V384" s="3">
        <f t="shared" si="72"/>
        <v>0.81134780892688285</v>
      </c>
      <c r="W384" s="3">
        <f t="shared" si="73"/>
        <v>0.88747020446638392</v>
      </c>
      <c r="X384" s="3">
        <f t="shared" si="74"/>
        <v>0.97927173058032568</v>
      </c>
      <c r="Y384" s="3">
        <f t="shared" si="75"/>
        <v>1.0295570425999538</v>
      </c>
      <c r="Z384" s="3">
        <f t="shared" si="76"/>
        <v>0.94180412585722073</v>
      </c>
      <c r="AA384" s="3">
        <f t="shared" si="77"/>
        <v>1.0136247550161404</v>
      </c>
      <c r="AB384" s="3">
        <f t="shared" si="78"/>
        <v>1.0041833104799143</v>
      </c>
    </row>
    <row r="385" spans="1:28" x14ac:dyDescent="0.25">
      <c r="A385" s="3">
        <v>1.2376624736909399E+18</v>
      </c>
      <c r="B385" s="3">
        <v>236.33093</v>
      </c>
      <c r="C385" s="3">
        <v>36.296190000000003</v>
      </c>
      <c r="D385" s="16">
        <v>0.60253420000000002</v>
      </c>
      <c r="E385" s="3">
        <v>1.9173299999999998</v>
      </c>
      <c r="F385" s="3">
        <v>3.7025500000000022</v>
      </c>
      <c r="G385" s="3">
        <v>4.72879</v>
      </c>
      <c r="H385" s="3">
        <v>5.3237900000000025</v>
      </c>
      <c r="I385" s="3">
        <v>1.7852200000000025</v>
      </c>
      <c r="J385" s="3">
        <v>2.8114600000000003</v>
      </c>
      <c r="K385" s="3">
        <v>3.4064600000000027</v>
      </c>
      <c r="L385" s="3">
        <v>1.0262399999999978</v>
      </c>
      <c r="M385" s="3">
        <v>1.6212400000000002</v>
      </c>
      <c r="N385" s="3">
        <v>0.59500000000000242</v>
      </c>
      <c r="P385" s="3">
        <f t="shared" si="66"/>
        <v>0.19865100722069381</v>
      </c>
      <c r="Q385" s="3">
        <f t="shared" si="67"/>
        <v>0.73889437164003224</v>
      </c>
      <c r="R385" s="3">
        <f t="shared" si="68"/>
        <v>1.0136670888408701</v>
      </c>
      <c r="S385" s="3">
        <f t="shared" si="69"/>
        <v>0.11002268215796064</v>
      </c>
      <c r="T385" s="3">
        <f t="shared" si="70"/>
        <v>0.50068877040401738</v>
      </c>
      <c r="U385" s="3">
        <f t="shared" si="71"/>
        <v>0.71114130918082741</v>
      </c>
      <c r="V385" s="3">
        <f t="shared" si="72"/>
        <v>0.81134780892688285</v>
      </c>
      <c r="W385" s="3">
        <f t="shared" si="73"/>
        <v>0.88747020446638392</v>
      </c>
      <c r="X385" s="3">
        <f t="shared" si="74"/>
        <v>0.97927173058032568</v>
      </c>
      <c r="Y385" s="3">
        <f t="shared" si="75"/>
        <v>1.0295570425999538</v>
      </c>
      <c r="Z385" s="3">
        <f t="shared" si="76"/>
        <v>0.94180412585722073</v>
      </c>
      <c r="AA385" s="3">
        <f t="shared" si="77"/>
        <v>1.0136247550161404</v>
      </c>
      <c r="AB385" s="3">
        <f t="shared" si="78"/>
        <v>1.0041833104799143</v>
      </c>
    </row>
    <row r="386" spans="1:28" x14ac:dyDescent="0.25">
      <c r="A386" s="3">
        <v>1.2376625032190999E+18</v>
      </c>
      <c r="B386" s="3">
        <v>236.73903999999999</v>
      </c>
      <c r="C386" s="3">
        <v>35.691412</v>
      </c>
      <c r="D386" s="16">
        <v>0.60596910000000004</v>
      </c>
      <c r="E386" s="3">
        <v>1.6847299999999983</v>
      </c>
      <c r="F386" s="3">
        <v>3.0898699999999977</v>
      </c>
      <c r="G386" s="3">
        <v>4.0293899999999994</v>
      </c>
      <c r="H386" s="3">
        <v>4.5044800000000009</v>
      </c>
      <c r="I386" s="3">
        <v>1.4051399999999994</v>
      </c>
      <c r="J386" s="3">
        <v>2.3446600000000011</v>
      </c>
      <c r="K386" s="3">
        <v>2.8197500000000026</v>
      </c>
      <c r="L386" s="3">
        <v>0.93952000000000169</v>
      </c>
      <c r="M386" s="3">
        <v>1.4146100000000033</v>
      </c>
      <c r="N386" s="3">
        <v>0.47509000000000157</v>
      </c>
      <c r="P386" s="3">
        <f t="shared" si="66"/>
        <v>1.4543103891141136</v>
      </c>
      <c r="Q386" s="3">
        <f t="shared" si="67"/>
        <v>-1.4020550208703355</v>
      </c>
      <c r="R386" s="3">
        <f t="shared" si="68"/>
        <v>1.0271214328371663</v>
      </c>
      <c r="S386" s="3">
        <f t="shared" si="69"/>
        <v>-0.11893888489313612</v>
      </c>
      <c r="T386" s="3">
        <f t="shared" si="70"/>
        <v>-4.4302193651128211E-2</v>
      </c>
      <c r="U386" s="3">
        <f t="shared" si="71"/>
        <v>0.14493719643354588</v>
      </c>
      <c r="V386" s="3">
        <f t="shared" si="72"/>
        <v>0.18424877801322798</v>
      </c>
      <c r="W386" s="3">
        <f t="shared" si="73"/>
        <v>0.13972814858505167</v>
      </c>
      <c r="X386" s="3">
        <f t="shared" si="74"/>
        <v>0.38301910555573632</v>
      </c>
      <c r="Y386" s="3">
        <f t="shared" si="75"/>
        <v>0.39254770788929216</v>
      </c>
      <c r="Z386" s="3">
        <f t="shared" si="76"/>
        <v>0.68298191663439423</v>
      </c>
      <c r="AA386" s="3">
        <f t="shared" si="77"/>
        <v>0.59233888528848522</v>
      </c>
      <c r="AB386" s="3">
        <f t="shared" si="78"/>
        <v>0.34112295450085645</v>
      </c>
    </row>
    <row r="387" spans="1:28" x14ac:dyDescent="0.25">
      <c r="A387" s="3">
        <v>1.2376614659862001E+18</v>
      </c>
      <c r="B387" s="3">
        <v>235.99653000000001</v>
      </c>
      <c r="C387" s="3">
        <v>35.808416000000001</v>
      </c>
      <c r="D387" s="16">
        <v>0.61062159999999999</v>
      </c>
      <c r="E387" s="3">
        <v>2.6701100000000011</v>
      </c>
      <c r="F387" s="3">
        <v>4.2054200000000002</v>
      </c>
      <c r="G387" s="3">
        <v>5.4019399999999997</v>
      </c>
      <c r="H387" s="3">
        <v>6.0510200000000012</v>
      </c>
      <c r="I387" s="3">
        <v>1.5353099999999991</v>
      </c>
      <c r="J387" s="3">
        <v>2.7318299999999986</v>
      </c>
      <c r="K387" s="3">
        <v>3.3809100000000001</v>
      </c>
      <c r="L387" s="3">
        <v>1.1965199999999996</v>
      </c>
      <c r="M387" s="3">
        <v>1.845600000000001</v>
      </c>
      <c r="N387" s="3">
        <v>0.64908000000000143</v>
      </c>
      <c r="P387" s="3">
        <f t="shared" ref="P387:P450" si="79">(B387-B$476)/B$477</f>
        <v>-0.83021987882755599</v>
      </c>
      <c r="Q387" s="3">
        <f t="shared" ref="Q387:Q450" si="80">(C387-C$476)/C$477</f>
        <v>-0.98785403683770723</v>
      </c>
      <c r="R387" s="3">
        <f t="shared" ref="R387:R450" si="81">(D387-D$476)/D$477</f>
        <v>1.0453450595636407</v>
      </c>
      <c r="S387" s="3">
        <f t="shared" ref="S387:S450" si="82">(E387-E$476)/E$477</f>
        <v>0.85102736162796844</v>
      </c>
      <c r="T387" s="3">
        <f t="shared" ref="T387:T450" si="83">(F387-F$476)/F$477</f>
        <v>0.94800157006192676</v>
      </c>
      <c r="U387" s="3">
        <f t="shared" ref="U387:U450" si="84">(G387-G$476)/G$477</f>
        <v>1.2560945526692917</v>
      </c>
      <c r="V387" s="3">
        <f t="shared" ref="V387:V450" si="85">(H387-H$476)/H$477</f>
        <v>1.3679689025926938</v>
      </c>
      <c r="W387" s="3">
        <f t="shared" ref="W387:W450" si="86">(I387-I$476)/I$477</f>
        <v>0.39581524449662814</v>
      </c>
      <c r="X387" s="3">
        <f t="shared" ref="X387:X450" si="87">(J387-J$476)/J$477</f>
        <v>0.87755879885215704</v>
      </c>
      <c r="Y387" s="3">
        <f t="shared" ref="Y387:Y450" si="88">(K387-K$476)/K$477</f>
        <v>1.0018166112081945</v>
      </c>
      <c r="Z387" s="3">
        <f t="shared" ref="Z387:Z450" si="89">(L387-L$476)/L$477</f>
        <v>1.4500172922140626</v>
      </c>
      <c r="AA387" s="3">
        <f t="shared" ref="AA387:AA450" si="90">(M387-M$476)/M$477</f>
        <v>1.4710592888790759</v>
      </c>
      <c r="AB387" s="3">
        <f t="shared" ref="AB387:AB450" si="91">(N387-N$476)/N$477</f>
        <v>1.3032267935200823</v>
      </c>
    </row>
    <row r="388" spans="1:28" x14ac:dyDescent="0.25">
      <c r="A388" s="3">
        <v>1.23766250375571E+18</v>
      </c>
      <c r="B388" s="3">
        <v>236.41127</v>
      </c>
      <c r="C388" s="3">
        <v>36.389094</v>
      </c>
      <c r="D388" s="16">
        <v>0.61104910000000001</v>
      </c>
      <c r="E388" s="3">
        <v>-8.481000000000094E-2</v>
      </c>
      <c r="F388" s="3">
        <v>1.4992300000000007</v>
      </c>
      <c r="G388" s="3">
        <v>3.0704399999999978</v>
      </c>
      <c r="H388" s="3">
        <v>3.9557199999999995</v>
      </c>
      <c r="I388" s="3">
        <v>1.5840400000000017</v>
      </c>
      <c r="J388" s="3">
        <v>3.1552499999999988</v>
      </c>
      <c r="K388" s="3">
        <v>4.0405300000000004</v>
      </c>
      <c r="L388" s="3">
        <v>1.5712099999999971</v>
      </c>
      <c r="M388" s="3">
        <v>2.4564899999999987</v>
      </c>
      <c r="N388" s="3">
        <v>0.88528000000000162</v>
      </c>
      <c r="P388" s="3">
        <f t="shared" si="79"/>
        <v>0.44583846830061691</v>
      </c>
      <c r="Q388" s="3">
        <f t="shared" si="80"/>
        <v>1.0677799500866296</v>
      </c>
      <c r="R388" s="3">
        <f t="shared" si="81"/>
        <v>1.0470195572370566</v>
      </c>
      <c r="S388" s="3">
        <f t="shared" si="82"/>
        <v>-1.8607989509275085</v>
      </c>
      <c r="T388" s="3">
        <f t="shared" si="83"/>
        <v>-1.4592078982027192</v>
      </c>
      <c r="U388" s="3">
        <f t="shared" si="84"/>
        <v>-0.63138741597567039</v>
      </c>
      <c r="V388" s="3">
        <f t="shared" si="85"/>
        <v>-0.23577156130177801</v>
      </c>
      <c r="W388" s="3">
        <f t="shared" si="86"/>
        <v>0.49168314173694322</v>
      </c>
      <c r="X388" s="3">
        <f t="shared" si="87"/>
        <v>1.4184013148931001</v>
      </c>
      <c r="Y388" s="3">
        <f t="shared" si="88"/>
        <v>1.7179866055185808</v>
      </c>
      <c r="Z388" s="3">
        <f t="shared" si="89"/>
        <v>2.5683071166340876</v>
      </c>
      <c r="AA388" s="3">
        <f t="shared" si="90"/>
        <v>2.7165673223588707</v>
      </c>
      <c r="AB388" s="3">
        <f t="shared" si="91"/>
        <v>2.6093301717391841</v>
      </c>
    </row>
    <row r="389" spans="1:28" x14ac:dyDescent="0.25">
      <c r="A389" s="3">
        <v>1.2376624736910001E+18</v>
      </c>
      <c r="B389" s="3">
        <v>236.40432999999999</v>
      </c>
      <c r="C389" s="3">
        <v>36.202257000000003</v>
      </c>
      <c r="D389" s="16">
        <v>0.61435850000000003</v>
      </c>
      <c r="E389" s="3">
        <v>0.54938999999999893</v>
      </c>
      <c r="F389" s="3">
        <v>2.540379999999999</v>
      </c>
      <c r="G389" s="3">
        <v>3.6705499999999986</v>
      </c>
      <c r="H389" s="3">
        <v>4.3325500000000012</v>
      </c>
      <c r="I389" s="3">
        <v>1.99099</v>
      </c>
      <c r="J389" s="3">
        <v>3.1211599999999997</v>
      </c>
      <c r="K389" s="3">
        <v>3.7831600000000023</v>
      </c>
      <c r="L389" s="3">
        <v>1.1301699999999997</v>
      </c>
      <c r="M389" s="3">
        <v>1.7921700000000023</v>
      </c>
      <c r="N389" s="3">
        <v>0.66200000000000259</v>
      </c>
      <c r="P389" s="3">
        <f t="shared" si="79"/>
        <v>0.42448570529466623</v>
      </c>
      <c r="Q389" s="3">
        <f t="shared" si="80"/>
        <v>0.40636607317898549</v>
      </c>
      <c r="R389" s="3">
        <f t="shared" si="81"/>
        <v>1.0599823235537886</v>
      </c>
      <c r="S389" s="3">
        <f t="shared" si="82"/>
        <v>-1.2365193902060785</v>
      </c>
      <c r="T389" s="3">
        <f t="shared" si="83"/>
        <v>-0.53308440432988224</v>
      </c>
      <c r="U389" s="3">
        <f t="shared" si="84"/>
        <v>-0.14556421022678395</v>
      </c>
      <c r="V389" s="3">
        <f t="shared" si="85"/>
        <v>5.2653732932630523E-2</v>
      </c>
      <c r="W389" s="3">
        <f t="shared" si="86"/>
        <v>1.2922873030737787</v>
      </c>
      <c r="X389" s="3">
        <f t="shared" si="87"/>
        <v>1.3748575017245315</v>
      </c>
      <c r="Y389" s="3">
        <f t="shared" si="88"/>
        <v>1.4385519743132464</v>
      </c>
      <c r="Z389" s="3">
        <f t="shared" si="89"/>
        <v>1.2519908440828902</v>
      </c>
      <c r="AA389" s="3">
        <f t="shared" si="90"/>
        <v>1.3621239744545082</v>
      </c>
      <c r="AB389" s="3">
        <f t="shared" si="91"/>
        <v>1.3746698741576449</v>
      </c>
    </row>
    <row r="390" spans="1:28" x14ac:dyDescent="0.25">
      <c r="A390" s="3">
        <v>1.2376624736910001E+18</v>
      </c>
      <c r="B390" s="3">
        <v>236.40432999999999</v>
      </c>
      <c r="C390" s="3">
        <v>36.202257000000003</v>
      </c>
      <c r="D390" s="16">
        <v>0.61459019999999998</v>
      </c>
      <c r="E390" s="3">
        <v>0.54938999999999893</v>
      </c>
      <c r="F390" s="3">
        <v>2.540379999999999</v>
      </c>
      <c r="G390" s="3">
        <v>3.6705499999999986</v>
      </c>
      <c r="H390" s="3">
        <v>4.3325500000000012</v>
      </c>
      <c r="I390" s="3">
        <v>1.99099</v>
      </c>
      <c r="J390" s="3">
        <v>3.1211599999999997</v>
      </c>
      <c r="K390" s="3">
        <v>3.7831600000000023</v>
      </c>
      <c r="L390" s="3">
        <v>1.1301699999999997</v>
      </c>
      <c r="M390" s="3">
        <v>1.7921700000000023</v>
      </c>
      <c r="N390" s="3">
        <v>0.66200000000000259</v>
      </c>
      <c r="P390" s="3">
        <f t="shared" si="79"/>
        <v>0.42448570529466623</v>
      </c>
      <c r="Q390" s="3">
        <f t="shared" si="80"/>
        <v>0.40636607317898549</v>
      </c>
      <c r="R390" s="3">
        <f t="shared" si="81"/>
        <v>1.0608898817080117</v>
      </c>
      <c r="S390" s="3">
        <f t="shared" si="82"/>
        <v>-1.2365193902060785</v>
      </c>
      <c r="T390" s="3">
        <f t="shared" si="83"/>
        <v>-0.53308440432988224</v>
      </c>
      <c r="U390" s="3">
        <f t="shared" si="84"/>
        <v>-0.14556421022678395</v>
      </c>
      <c r="V390" s="3">
        <f t="shared" si="85"/>
        <v>5.2653732932630523E-2</v>
      </c>
      <c r="W390" s="3">
        <f t="shared" si="86"/>
        <v>1.2922873030737787</v>
      </c>
      <c r="X390" s="3">
        <f t="shared" si="87"/>
        <v>1.3748575017245315</v>
      </c>
      <c r="Y390" s="3">
        <f t="shared" si="88"/>
        <v>1.4385519743132464</v>
      </c>
      <c r="Z390" s="3">
        <f t="shared" si="89"/>
        <v>1.2519908440828902</v>
      </c>
      <c r="AA390" s="3">
        <f t="shared" si="90"/>
        <v>1.3621239744545082</v>
      </c>
      <c r="AB390" s="3">
        <f t="shared" si="91"/>
        <v>1.3746698741576449</v>
      </c>
    </row>
    <row r="391" spans="1:28" x14ac:dyDescent="0.25">
      <c r="A391" s="3">
        <v>1.2376624736910001E+18</v>
      </c>
      <c r="B391" s="3">
        <v>236.40675999999999</v>
      </c>
      <c r="C391" s="3">
        <v>36.208255000000001</v>
      </c>
      <c r="D391" s="16">
        <v>0.61752399999999996</v>
      </c>
      <c r="E391" s="3">
        <v>0.48648000000000025</v>
      </c>
      <c r="F391" s="3">
        <v>2.0130499999999998</v>
      </c>
      <c r="G391" s="3">
        <v>3.1407299999999978</v>
      </c>
      <c r="H391" s="3">
        <v>3.6592599999999997</v>
      </c>
      <c r="I391" s="3">
        <v>1.5265699999999995</v>
      </c>
      <c r="J391" s="3">
        <v>2.6542499999999976</v>
      </c>
      <c r="K391" s="3">
        <v>3.1727799999999995</v>
      </c>
      <c r="L391" s="3">
        <v>1.127679999999998</v>
      </c>
      <c r="M391" s="3">
        <v>1.64621</v>
      </c>
      <c r="N391" s="3">
        <v>0.51853000000000193</v>
      </c>
      <c r="P391" s="3">
        <f t="shared" si="79"/>
        <v>0.43196224911374931</v>
      </c>
      <c r="Q391" s="3">
        <f t="shared" si="80"/>
        <v>0.42759934300076008</v>
      </c>
      <c r="R391" s="3">
        <f t="shared" si="81"/>
        <v>1.0723814402443106</v>
      </c>
      <c r="S391" s="3">
        <f t="shared" si="82"/>
        <v>-1.2984453239257006</v>
      </c>
      <c r="T391" s="3">
        <f t="shared" si="83"/>
        <v>-1.0021548572175192</v>
      </c>
      <c r="U391" s="3">
        <f t="shared" si="84"/>
        <v>-0.5744836597774915</v>
      </c>
      <c r="V391" s="3">
        <f t="shared" si="85"/>
        <v>-0.46268174023851943</v>
      </c>
      <c r="W391" s="3">
        <f t="shared" si="86"/>
        <v>0.37862079709502205</v>
      </c>
      <c r="X391" s="3">
        <f t="shared" si="87"/>
        <v>0.7784643715826447</v>
      </c>
      <c r="Y391" s="3">
        <f t="shared" si="88"/>
        <v>0.77584338281029708</v>
      </c>
      <c r="Z391" s="3">
        <f t="shared" si="89"/>
        <v>1.2445592562027552</v>
      </c>
      <c r="AA391" s="3">
        <f t="shared" si="90"/>
        <v>1.0645346333837518</v>
      </c>
      <c r="AB391" s="3">
        <f t="shared" si="91"/>
        <v>0.58133095936892676</v>
      </c>
    </row>
    <row r="392" spans="1:28" x14ac:dyDescent="0.25">
      <c r="A392" s="3">
        <v>1.23766247369087E+18</v>
      </c>
      <c r="B392" s="3">
        <v>236.17</v>
      </c>
      <c r="C392" s="3">
        <v>36.290598000000003</v>
      </c>
      <c r="D392" s="16">
        <v>0.61812180000000005</v>
      </c>
      <c r="E392" s="3">
        <v>0.78533999999999793</v>
      </c>
      <c r="F392" s="3">
        <v>2.5051399999999973</v>
      </c>
      <c r="G392" s="3">
        <v>3.6074199999999976</v>
      </c>
      <c r="H392" s="3">
        <v>4.2607299999999988</v>
      </c>
      <c r="I392" s="3">
        <v>1.7197999999999993</v>
      </c>
      <c r="J392" s="3">
        <v>2.8220799999999997</v>
      </c>
      <c r="K392" s="3">
        <v>3.4753900000000009</v>
      </c>
      <c r="L392" s="3">
        <v>1.1022800000000004</v>
      </c>
      <c r="M392" s="3">
        <v>1.7555900000000015</v>
      </c>
      <c r="N392" s="3">
        <v>0.65331000000000117</v>
      </c>
      <c r="P392" s="3">
        <f t="shared" si="79"/>
        <v>-0.2964931066900674</v>
      </c>
      <c r="Q392" s="3">
        <f t="shared" si="80"/>
        <v>0.7190983654974179</v>
      </c>
      <c r="R392" s="3">
        <f t="shared" si="81"/>
        <v>1.074722995119558</v>
      </c>
      <c r="S392" s="3">
        <f t="shared" si="82"/>
        <v>-1.0042602253492181</v>
      </c>
      <c r="T392" s="3">
        <f t="shared" si="83"/>
        <v>-0.56443108052839397</v>
      </c>
      <c r="U392" s="3">
        <f t="shared" si="84"/>
        <v>-0.19667153884808281</v>
      </c>
      <c r="V392" s="3">
        <f t="shared" si="85"/>
        <v>-2.3172211631575703E-3</v>
      </c>
      <c r="W392" s="3">
        <f t="shared" si="86"/>
        <v>0.75876760160446344</v>
      </c>
      <c r="X392" s="3">
        <f t="shared" si="87"/>
        <v>0.9928368609954088</v>
      </c>
      <c r="Y392" s="3">
        <f t="shared" si="88"/>
        <v>1.1043964921433478</v>
      </c>
      <c r="Z392" s="3">
        <f t="shared" si="89"/>
        <v>1.1687510906785454</v>
      </c>
      <c r="AA392" s="3">
        <f t="shared" si="90"/>
        <v>1.287543143429787</v>
      </c>
      <c r="AB392" s="3">
        <f t="shared" si="91"/>
        <v>1.3266172138836152</v>
      </c>
    </row>
    <row r="393" spans="1:28" x14ac:dyDescent="0.25">
      <c r="A393" s="3">
        <v>1.2376625032188401E+18</v>
      </c>
      <c r="B393" s="3">
        <v>236.20054999999999</v>
      </c>
      <c r="C393" s="3">
        <v>36.196964000000001</v>
      </c>
      <c r="D393" s="16">
        <v>0.62161840000000002</v>
      </c>
      <c r="E393" s="3">
        <v>3.30715</v>
      </c>
      <c r="F393" s="3">
        <v>5.1374500000000012</v>
      </c>
      <c r="G393" s="3">
        <v>6.2598100000000017</v>
      </c>
      <c r="H393" s="3">
        <v>6.9848099999999995</v>
      </c>
      <c r="I393" s="3">
        <v>1.8303000000000011</v>
      </c>
      <c r="J393" s="3">
        <v>2.9526600000000016</v>
      </c>
      <c r="K393" s="3">
        <v>3.6776599999999995</v>
      </c>
      <c r="L393" s="3">
        <v>1.1223600000000005</v>
      </c>
      <c r="M393" s="3">
        <v>1.8473599999999983</v>
      </c>
      <c r="N393" s="3">
        <v>0.72499999999999787</v>
      </c>
      <c r="P393" s="3">
        <f t="shared" si="79"/>
        <v>-0.20249787472601088</v>
      </c>
      <c r="Q393" s="3">
        <f t="shared" si="80"/>
        <v>0.38762854447496331</v>
      </c>
      <c r="R393" s="3">
        <f t="shared" si="81"/>
        <v>1.0884190151543329</v>
      </c>
      <c r="S393" s="3">
        <f t="shared" si="82"/>
        <v>1.4781024978026438</v>
      </c>
      <c r="T393" s="3">
        <f t="shared" si="83"/>
        <v>1.7770606681691183</v>
      </c>
      <c r="U393" s="3">
        <f t="shared" si="84"/>
        <v>1.950589151185893</v>
      </c>
      <c r="V393" s="3">
        <f t="shared" si="85"/>
        <v>2.0826908077041408</v>
      </c>
      <c r="W393" s="3">
        <f t="shared" si="86"/>
        <v>0.97615735422203842</v>
      </c>
      <c r="X393" s="3">
        <f t="shared" si="87"/>
        <v>1.1596292084155291</v>
      </c>
      <c r="Y393" s="3">
        <f t="shared" si="88"/>
        <v>1.3240073358854429</v>
      </c>
      <c r="Z393" s="3">
        <f t="shared" si="89"/>
        <v>1.2286813254709188</v>
      </c>
      <c r="AA393" s="3">
        <f t="shared" si="90"/>
        <v>1.4746476503499153</v>
      </c>
      <c r="AB393" s="3">
        <f t="shared" si="91"/>
        <v>1.7230378370187676</v>
      </c>
    </row>
    <row r="394" spans="1:28" x14ac:dyDescent="0.25">
      <c r="A394" s="3">
        <v>1.23766247369074E+18</v>
      </c>
      <c r="B394" s="3">
        <v>235.80663000000001</v>
      </c>
      <c r="C394" s="3">
        <v>36.589880000000001</v>
      </c>
      <c r="D394" s="16">
        <v>0.62682689999999996</v>
      </c>
      <c r="E394" s="3">
        <v>-0.18815999999999988</v>
      </c>
      <c r="F394" s="3">
        <v>1.4453700000000005</v>
      </c>
      <c r="G394" s="3">
        <v>2.5507199999999983</v>
      </c>
      <c r="H394" s="3">
        <v>2.8666799999999988</v>
      </c>
      <c r="I394" s="3">
        <v>1.6335300000000004</v>
      </c>
      <c r="J394" s="3">
        <v>2.7388799999999982</v>
      </c>
      <c r="K394" s="3">
        <v>3.0548399999999987</v>
      </c>
      <c r="L394" s="3">
        <v>1.1053499999999978</v>
      </c>
      <c r="M394" s="3">
        <v>1.4213099999999983</v>
      </c>
      <c r="N394" s="3">
        <v>0.31596000000000046</v>
      </c>
      <c r="P394" s="3">
        <f t="shared" si="79"/>
        <v>-1.4144979328364191</v>
      </c>
      <c r="Q394" s="3">
        <f t="shared" si="80"/>
        <v>1.7785741005428071</v>
      </c>
      <c r="R394" s="3">
        <f t="shared" si="81"/>
        <v>1.1088204680946534</v>
      </c>
      <c r="S394" s="3">
        <f t="shared" si="82"/>
        <v>-1.962532304129273</v>
      </c>
      <c r="T394" s="3">
        <f t="shared" si="83"/>
        <v>-1.5071174322564014</v>
      </c>
      <c r="U394" s="3">
        <f t="shared" si="84"/>
        <v>-1.0521303405925084</v>
      </c>
      <c r="V394" s="3">
        <f t="shared" si="85"/>
        <v>-1.0693216566578776</v>
      </c>
      <c r="W394" s="3">
        <f t="shared" si="86"/>
        <v>0.58904620831652088</v>
      </c>
      <c r="X394" s="3">
        <f t="shared" si="87"/>
        <v>0.88656389955143533</v>
      </c>
      <c r="Y394" s="3">
        <f t="shared" si="88"/>
        <v>0.64779224862854479</v>
      </c>
      <c r="Z394" s="3">
        <f t="shared" si="89"/>
        <v>1.1779137311572523</v>
      </c>
      <c r="AA394" s="3">
        <f t="shared" si="90"/>
        <v>0.6059991249786234</v>
      </c>
      <c r="AB394" s="3">
        <f t="shared" si="91"/>
        <v>-0.53881028248477825</v>
      </c>
    </row>
    <row r="395" spans="1:28" x14ac:dyDescent="0.25">
      <c r="A395" s="3">
        <v>1.2376625032186399E+18</v>
      </c>
      <c r="B395" s="3">
        <v>235.72863000000001</v>
      </c>
      <c r="C395" s="3">
        <v>36.440753000000001</v>
      </c>
      <c r="D395" s="16">
        <v>0.62733669999999997</v>
      </c>
      <c r="E395" s="3">
        <v>-1.1891500000000015</v>
      </c>
      <c r="F395" s="3">
        <v>1.7695399999999992</v>
      </c>
      <c r="G395" s="3">
        <v>2.8894999999999982</v>
      </c>
      <c r="H395" s="3">
        <v>3.7974899999999998</v>
      </c>
      <c r="I395" s="3">
        <v>2.9586900000000007</v>
      </c>
      <c r="J395" s="3">
        <v>4.0786499999999997</v>
      </c>
      <c r="K395" s="3">
        <v>4.9866400000000013</v>
      </c>
      <c r="L395" s="3">
        <v>1.119959999999999</v>
      </c>
      <c r="M395" s="3">
        <v>2.0279500000000006</v>
      </c>
      <c r="N395" s="3">
        <v>0.90799000000000163</v>
      </c>
      <c r="P395" s="3">
        <f t="shared" si="79"/>
        <v>-1.6544857591275957</v>
      </c>
      <c r="Q395" s="3">
        <f t="shared" si="80"/>
        <v>1.2506558229981677</v>
      </c>
      <c r="R395" s="3">
        <f t="shared" si="81"/>
        <v>1.1108173310511622</v>
      </c>
      <c r="S395" s="3">
        <f t="shared" si="82"/>
        <v>-2.9478643720676918</v>
      </c>
      <c r="T395" s="3">
        <f t="shared" si="83"/>
        <v>-1.2187618129808342</v>
      </c>
      <c r="U395" s="3">
        <f t="shared" si="84"/>
        <v>-0.77786864583053572</v>
      </c>
      <c r="V395" s="3">
        <f t="shared" si="85"/>
        <v>-0.35688064047994894</v>
      </c>
      <c r="W395" s="3">
        <f t="shared" si="86"/>
        <v>3.1960706841418691</v>
      </c>
      <c r="X395" s="3">
        <f t="shared" si="87"/>
        <v>2.5978779086114105</v>
      </c>
      <c r="Y395" s="3">
        <f t="shared" si="88"/>
        <v>2.745207722702717</v>
      </c>
      <c r="Z395" s="3">
        <f t="shared" si="89"/>
        <v>1.2215183492009094</v>
      </c>
      <c r="AA395" s="3">
        <f t="shared" si="90"/>
        <v>1.8428420810430348</v>
      </c>
      <c r="AB395" s="3">
        <f t="shared" si="91"/>
        <v>2.734908527875322</v>
      </c>
    </row>
    <row r="396" spans="1:28" x14ac:dyDescent="0.25">
      <c r="A396" s="3">
        <v>1.23766247315406E+18</v>
      </c>
      <c r="B396" s="3">
        <v>236.05430000000001</v>
      </c>
      <c r="C396" s="3">
        <v>36.013688999999999</v>
      </c>
      <c r="D396" s="16">
        <v>0.62873049999999997</v>
      </c>
      <c r="E396" s="3">
        <v>3.6886200000000002</v>
      </c>
      <c r="F396" s="3">
        <v>5.2229400000000012</v>
      </c>
      <c r="G396" s="3">
        <v>6.5292400000000015</v>
      </c>
      <c r="H396" s="3">
        <v>6.9950299999999999</v>
      </c>
      <c r="I396" s="3">
        <v>1.534320000000001</v>
      </c>
      <c r="J396" s="3">
        <v>2.8406200000000013</v>
      </c>
      <c r="K396" s="3">
        <v>3.3064099999999996</v>
      </c>
      <c r="L396" s="3">
        <v>1.3063000000000002</v>
      </c>
      <c r="M396" s="3">
        <v>1.7720899999999986</v>
      </c>
      <c r="N396" s="3">
        <v>0.46578999999999837</v>
      </c>
      <c r="P396" s="3">
        <f t="shared" si="79"/>
        <v>-0.65247504902189013</v>
      </c>
      <c r="Q396" s="3">
        <f t="shared" si="80"/>
        <v>-0.26117564468591814</v>
      </c>
      <c r="R396" s="3">
        <f t="shared" si="81"/>
        <v>1.1162767810095415</v>
      </c>
      <c r="S396" s="3">
        <f t="shared" si="82"/>
        <v>1.8536053739117642</v>
      </c>
      <c r="T396" s="3">
        <f t="shared" si="83"/>
        <v>1.8531057121024508</v>
      </c>
      <c r="U396" s="3">
        <f t="shared" si="84"/>
        <v>2.1687080732583834</v>
      </c>
      <c r="V396" s="3">
        <f t="shared" si="85"/>
        <v>2.0905131851875574</v>
      </c>
      <c r="W396" s="3">
        <f t="shared" si="86"/>
        <v>0.39386758969942476</v>
      </c>
      <c r="X396" s="3">
        <f t="shared" si="87"/>
        <v>1.016518359855642</v>
      </c>
      <c r="Y396" s="3">
        <f t="shared" si="88"/>
        <v>0.92092963904827807</v>
      </c>
      <c r="Z396" s="3">
        <f t="shared" si="89"/>
        <v>1.7776637650978651</v>
      </c>
      <c r="AA396" s="3">
        <f t="shared" si="90"/>
        <v>1.3211840322189521</v>
      </c>
      <c r="AB396" s="3">
        <f t="shared" si="91"/>
        <v>0.28969720760228829</v>
      </c>
    </row>
    <row r="397" spans="1:28" x14ac:dyDescent="0.25">
      <c r="A397" s="3">
        <v>1.23766247315406E+18</v>
      </c>
      <c r="B397" s="3">
        <v>236.05430000000001</v>
      </c>
      <c r="C397" s="3">
        <v>36.013688999999999</v>
      </c>
      <c r="D397" s="16">
        <v>0.6288996</v>
      </c>
      <c r="E397" s="3">
        <v>3.6886200000000002</v>
      </c>
      <c r="F397" s="3">
        <v>5.2229400000000012</v>
      </c>
      <c r="G397" s="3">
        <v>6.5292400000000015</v>
      </c>
      <c r="H397" s="3">
        <v>6.9950299999999999</v>
      </c>
      <c r="I397" s="3">
        <v>1.534320000000001</v>
      </c>
      <c r="J397" s="3">
        <v>2.8406200000000013</v>
      </c>
      <c r="K397" s="3">
        <v>3.3064099999999996</v>
      </c>
      <c r="L397" s="3">
        <v>1.3063000000000002</v>
      </c>
      <c r="M397" s="3">
        <v>1.7720899999999986</v>
      </c>
      <c r="N397" s="3">
        <v>0.46578999999999837</v>
      </c>
      <c r="P397" s="3">
        <f t="shared" si="79"/>
        <v>-0.65247504902189013</v>
      </c>
      <c r="Q397" s="3">
        <f t="shared" si="80"/>
        <v>-0.26117564468591814</v>
      </c>
      <c r="R397" s="3">
        <f t="shared" si="81"/>
        <v>1.1169391378670264</v>
      </c>
      <c r="S397" s="3">
        <f t="shared" si="82"/>
        <v>1.8536053739117642</v>
      </c>
      <c r="T397" s="3">
        <f t="shared" si="83"/>
        <v>1.8531057121024508</v>
      </c>
      <c r="U397" s="3">
        <f t="shared" si="84"/>
        <v>2.1687080732583834</v>
      </c>
      <c r="V397" s="3">
        <f t="shared" si="85"/>
        <v>2.0905131851875574</v>
      </c>
      <c r="W397" s="3">
        <f t="shared" si="86"/>
        <v>0.39386758969942476</v>
      </c>
      <c r="X397" s="3">
        <f t="shared" si="87"/>
        <v>1.016518359855642</v>
      </c>
      <c r="Y397" s="3">
        <f t="shared" si="88"/>
        <v>0.92092963904827807</v>
      </c>
      <c r="Z397" s="3">
        <f t="shared" si="89"/>
        <v>1.7776637650978651</v>
      </c>
      <c r="AA397" s="3">
        <f t="shared" si="90"/>
        <v>1.3211840322189521</v>
      </c>
      <c r="AB397" s="3">
        <f t="shared" si="91"/>
        <v>0.28969720760228829</v>
      </c>
    </row>
    <row r="398" spans="1:28" x14ac:dyDescent="0.25">
      <c r="A398" s="3">
        <v>1.23766247369087E+18</v>
      </c>
      <c r="B398" s="3">
        <v>236.16084000000001</v>
      </c>
      <c r="C398" s="3">
        <v>36.439591</v>
      </c>
      <c r="D398" s="16">
        <v>0.63015180000000004</v>
      </c>
      <c r="E398" s="3">
        <v>0.3759200000000007</v>
      </c>
      <c r="F398" s="3">
        <v>2.0870499999999979</v>
      </c>
      <c r="G398" s="3">
        <v>3.3371999999999993</v>
      </c>
      <c r="H398" s="3">
        <v>4.0568500000000007</v>
      </c>
      <c r="I398" s="3">
        <v>1.7111299999999972</v>
      </c>
      <c r="J398" s="3">
        <v>2.9612799999999986</v>
      </c>
      <c r="K398" s="3">
        <v>3.68093</v>
      </c>
      <c r="L398" s="3">
        <v>1.2501500000000014</v>
      </c>
      <c r="M398" s="3">
        <v>1.9698000000000029</v>
      </c>
      <c r="N398" s="3">
        <v>0.71965000000000146</v>
      </c>
      <c r="P398" s="3">
        <f t="shared" si="79"/>
        <v>-0.32467629244419954</v>
      </c>
      <c r="Q398" s="3">
        <f t="shared" si="80"/>
        <v>1.2465422752267561</v>
      </c>
      <c r="R398" s="3">
        <f t="shared" si="81"/>
        <v>1.121843947192527</v>
      </c>
      <c r="S398" s="3">
        <f t="shared" si="82"/>
        <v>-1.4072758950915174</v>
      </c>
      <c r="T398" s="3">
        <f t="shared" si="83"/>
        <v>-0.93633039527967332</v>
      </c>
      <c r="U398" s="3">
        <f t="shared" si="84"/>
        <v>-0.41543001089064691</v>
      </c>
      <c r="V398" s="3">
        <f t="shared" si="85"/>
        <v>-0.15836676336656594</v>
      </c>
      <c r="W398" s="3">
        <f t="shared" si="86"/>
        <v>0.74171086716831125</v>
      </c>
      <c r="X398" s="3">
        <f t="shared" si="87"/>
        <v>1.1706397003343598</v>
      </c>
      <c r="Y398" s="3">
        <f t="shared" si="88"/>
        <v>1.3275576768111204</v>
      </c>
      <c r="Z398" s="3">
        <f t="shared" si="89"/>
        <v>1.610079966114216</v>
      </c>
      <c r="AA398" s="3">
        <f t="shared" si="90"/>
        <v>1.7242834335830217</v>
      </c>
      <c r="AB398" s="3">
        <f t="shared" si="91"/>
        <v>1.6934542084266104</v>
      </c>
    </row>
    <row r="399" spans="1:28" x14ac:dyDescent="0.25">
      <c r="A399" s="3">
        <v>1.23766146598607E+18</v>
      </c>
      <c r="B399" s="3">
        <v>235.78863999999999</v>
      </c>
      <c r="C399" s="3">
        <v>36.057056000000003</v>
      </c>
      <c r="D399" s="16">
        <v>0.63020189999999998</v>
      </c>
      <c r="E399" s="3">
        <v>-0.87587999999999866</v>
      </c>
      <c r="F399" s="3">
        <v>1.1196999999999981</v>
      </c>
      <c r="G399" s="3">
        <v>2.3041699999999992</v>
      </c>
      <c r="H399" s="3">
        <v>2.7668199999999992</v>
      </c>
      <c r="I399" s="3">
        <v>1.9955799999999968</v>
      </c>
      <c r="J399" s="3">
        <v>3.1800499999999978</v>
      </c>
      <c r="K399" s="3">
        <v>3.6426999999999978</v>
      </c>
      <c r="L399" s="3">
        <v>1.184470000000001</v>
      </c>
      <c r="M399" s="3">
        <v>1.647120000000001</v>
      </c>
      <c r="N399" s="3">
        <v>0.46265000000000001</v>
      </c>
      <c r="P399" s="3">
        <f t="shared" si="79"/>
        <v>-1.469848971233654</v>
      </c>
      <c r="Q399" s="3">
        <f t="shared" si="80"/>
        <v>-0.10765393538927689</v>
      </c>
      <c r="R399" s="3">
        <f t="shared" si="81"/>
        <v>1.1220401865689902</v>
      </c>
      <c r="S399" s="3">
        <f t="shared" si="82"/>
        <v>-2.6394946811386411</v>
      </c>
      <c r="T399" s="3">
        <f t="shared" si="83"/>
        <v>-1.7968073311658472</v>
      </c>
      <c r="U399" s="3">
        <f t="shared" si="84"/>
        <v>-1.251726600240552</v>
      </c>
      <c r="V399" s="3">
        <f t="shared" si="85"/>
        <v>-1.1457543978999436</v>
      </c>
      <c r="W399" s="3">
        <f t="shared" si="86"/>
        <v>1.3013173389517332</v>
      </c>
      <c r="X399" s="3">
        <f t="shared" si="87"/>
        <v>1.4500788322465903</v>
      </c>
      <c r="Y399" s="3">
        <f t="shared" si="88"/>
        <v>1.2860501741846269</v>
      </c>
      <c r="Z399" s="3">
        <f t="shared" si="89"/>
        <v>1.4140531821917515</v>
      </c>
      <c r="AA399" s="3">
        <f t="shared" si="90"/>
        <v>1.0663899793715204</v>
      </c>
      <c r="AB399" s="3">
        <f t="shared" si="91"/>
        <v>0.27233410596128133</v>
      </c>
    </row>
    <row r="400" spans="1:28" x14ac:dyDescent="0.25">
      <c r="A400" s="3">
        <v>1.23766247369087E+18</v>
      </c>
      <c r="B400" s="3">
        <v>236.16084000000001</v>
      </c>
      <c r="C400" s="3">
        <v>36.439591</v>
      </c>
      <c r="D400" s="16">
        <v>0.63024000000000002</v>
      </c>
      <c r="E400" s="3">
        <v>0.3759200000000007</v>
      </c>
      <c r="F400" s="3">
        <v>2.0870499999999979</v>
      </c>
      <c r="G400" s="3">
        <v>3.3371999999999993</v>
      </c>
      <c r="H400" s="3">
        <v>4.0568500000000007</v>
      </c>
      <c r="I400" s="3">
        <v>1.7111299999999972</v>
      </c>
      <c r="J400" s="3">
        <v>2.9612799999999986</v>
      </c>
      <c r="K400" s="3">
        <v>3.68093</v>
      </c>
      <c r="L400" s="3">
        <v>1.2501500000000014</v>
      </c>
      <c r="M400" s="3">
        <v>1.9698000000000029</v>
      </c>
      <c r="N400" s="3">
        <v>0.71965000000000146</v>
      </c>
      <c r="P400" s="3">
        <f t="shared" si="79"/>
        <v>-0.32467629244419954</v>
      </c>
      <c r="Q400" s="3">
        <f t="shared" si="80"/>
        <v>1.2465422752267561</v>
      </c>
      <c r="R400" s="3">
        <f t="shared" si="81"/>
        <v>1.1221894225019895</v>
      </c>
      <c r="S400" s="3">
        <f t="shared" si="82"/>
        <v>-1.4072758950915174</v>
      </c>
      <c r="T400" s="3">
        <f t="shared" si="83"/>
        <v>-0.93633039527967332</v>
      </c>
      <c r="U400" s="3">
        <f t="shared" si="84"/>
        <v>-0.41543001089064691</v>
      </c>
      <c r="V400" s="3">
        <f t="shared" si="85"/>
        <v>-0.15836676336656594</v>
      </c>
      <c r="W400" s="3">
        <f t="shared" si="86"/>
        <v>0.74171086716831125</v>
      </c>
      <c r="X400" s="3">
        <f t="shared" si="87"/>
        <v>1.1706397003343598</v>
      </c>
      <c r="Y400" s="3">
        <f t="shared" si="88"/>
        <v>1.3275576768111204</v>
      </c>
      <c r="Z400" s="3">
        <f t="shared" si="89"/>
        <v>1.610079966114216</v>
      </c>
      <c r="AA400" s="3">
        <f t="shared" si="90"/>
        <v>1.7242834335830217</v>
      </c>
      <c r="AB400" s="3">
        <f t="shared" si="91"/>
        <v>1.6934542084266104</v>
      </c>
    </row>
    <row r="401" spans="1:28" x14ac:dyDescent="0.25">
      <c r="A401" s="3">
        <v>1.2376625037555799E+18</v>
      </c>
      <c r="B401" s="3">
        <v>236.15545</v>
      </c>
      <c r="C401" s="3">
        <v>36.553722999999998</v>
      </c>
      <c r="D401" s="16">
        <v>0.63042010000000004</v>
      </c>
      <c r="E401" s="3">
        <v>1.5155100000000026</v>
      </c>
      <c r="F401" s="3">
        <v>2.9701100000000018</v>
      </c>
      <c r="G401" s="3">
        <v>4.175690000000003</v>
      </c>
      <c r="H401" s="3">
        <v>4.7441100000000027</v>
      </c>
      <c r="I401" s="3">
        <v>1.4545999999999992</v>
      </c>
      <c r="J401" s="3">
        <v>2.6601800000000004</v>
      </c>
      <c r="K401" s="3">
        <v>3.2286000000000001</v>
      </c>
      <c r="L401" s="3">
        <v>1.2055800000000012</v>
      </c>
      <c r="M401" s="3">
        <v>1.7740000000000009</v>
      </c>
      <c r="N401" s="3">
        <v>0.5684199999999997</v>
      </c>
      <c r="P401" s="3">
        <f t="shared" si="79"/>
        <v>-0.34126006659433705</v>
      </c>
      <c r="Q401" s="3">
        <f t="shared" si="80"/>
        <v>1.6505762117555114</v>
      </c>
      <c r="R401" s="3">
        <f t="shared" si="81"/>
        <v>1.1228948658493165</v>
      </c>
      <c r="S401" s="3">
        <f t="shared" si="82"/>
        <v>-0.28551187017424257</v>
      </c>
      <c r="T401" s="3">
        <f t="shared" si="83"/>
        <v>-0.15083107961972766</v>
      </c>
      <c r="U401" s="3">
        <f t="shared" si="84"/>
        <v>0.26337537443601838</v>
      </c>
      <c r="V401" s="3">
        <f t="shared" si="85"/>
        <v>0.36766133342917551</v>
      </c>
      <c r="W401" s="3">
        <f t="shared" si="86"/>
        <v>0.23703219532229192</v>
      </c>
      <c r="X401" s="3">
        <f t="shared" si="87"/>
        <v>0.78603887472402767</v>
      </c>
      <c r="Y401" s="3">
        <f t="shared" si="88"/>
        <v>0.83644889671588851</v>
      </c>
      <c r="Z401" s="3">
        <f t="shared" si="89"/>
        <v>1.4770575276333355</v>
      </c>
      <c r="AA401" s="3">
        <f t="shared" si="90"/>
        <v>1.3250782199515214</v>
      </c>
      <c r="AB401" s="3">
        <f t="shared" si="91"/>
        <v>0.85720520805371947</v>
      </c>
    </row>
    <row r="402" spans="1:28" x14ac:dyDescent="0.25">
      <c r="A402" s="3">
        <v>1.23766233786351E+18</v>
      </c>
      <c r="B402" s="3">
        <v>235.71995999999999</v>
      </c>
      <c r="C402" s="3">
        <v>35.916905999999997</v>
      </c>
      <c r="D402" s="16">
        <v>0.63062130000000005</v>
      </c>
      <c r="E402" s="3">
        <v>2.3513200000000012</v>
      </c>
      <c r="F402" s="3">
        <v>3.9729299999999981</v>
      </c>
      <c r="G402" s="3">
        <v>5.1124699999999983</v>
      </c>
      <c r="H402" s="3">
        <v>5.7416499999999999</v>
      </c>
      <c r="I402" s="3">
        <v>1.6216099999999969</v>
      </c>
      <c r="J402" s="3">
        <v>2.7611499999999971</v>
      </c>
      <c r="K402" s="3">
        <v>3.3903299999999987</v>
      </c>
      <c r="L402" s="3">
        <v>1.1395400000000002</v>
      </c>
      <c r="M402" s="3">
        <v>1.7687200000000018</v>
      </c>
      <c r="N402" s="3">
        <v>0.62918000000000163</v>
      </c>
      <c r="P402" s="3">
        <f t="shared" si="79"/>
        <v>-1.6811613290500322</v>
      </c>
      <c r="Q402" s="3">
        <f t="shared" si="80"/>
        <v>-0.60379310936772579</v>
      </c>
      <c r="R402" s="3">
        <f t="shared" si="81"/>
        <v>1.1236829569180682</v>
      </c>
      <c r="S402" s="3">
        <f t="shared" si="82"/>
        <v>0.53722401700106115</v>
      </c>
      <c r="T402" s="3">
        <f t="shared" si="83"/>
        <v>0.74119712200881427</v>
      </c>
      <c r="U402" s="3">
        <f t="shared" si="84"/>
        <v>1.0217521098369264</v>
      </c>
      <c r="V402" s="3">
        <f t="shared" si="85"/>
        <v>1.1311774229405991</v>
      </c>
      <c r="W402" s="3">
        <f t="shared" si="86"/>
        <v>0.56559565762690811</v>
      </c>
      <c r="X402" s="3">
        <f t="shared" si="87"/>
        <v>0.91500979920717007</v>
      </c>
      <c r="Y402" s="3">
        <f t="shared" si="88"/>
        <v>1.0120441988289501</v>
      </c>
      <c r="Z402" s="3">
        <f t="shared" si="89"/>
        <v>1.2799562972703686</v>
      </c>
      <c r="AA402" s="3">
        <f t="shared" si="90"/>
        <v>1.3143131355389885</v>
      </c>
      <c r="AB402" s="3">
        <f t="shared" si="91"/>
        <v>1.1931867544575936</v>
      </c>
    </row>
    <row r="403" spans="1:28" x14ac:dyDescent="0.25">
      <c r="A403" s="3">
        <v>1.2376625032186399E+18</v>
      </c>
      <c r="B403" s="3">
        <v>235.74715</v>
      </c>
      <c r="C403" s="3">
        <v>36.449482000000003</v>
      </c>
      <c r="D403" s="16">
        <v>0.63072620000000001</v>
      </c>
      <c r="E403" s="3">
        <v>3.0398199999999989</v>
      </c>
      <c r="F403" s="3">
        <v>4.4746699999999997</v>
      </c>
      <c r="G403" s="3">
        <v>5.6852300000000007</v>
      </c>
      <c r="H403" s="3">
        <v>6.3260100000000001</v>
      </c>
      <c r="I403" s="3">
        <v>1.4348500000000008</v>
      </c>
      <c r="J403" s="3">
        <v>2.6454100000000018</v>
      </c>
      <c r="K403" s="3">
        <v>3.2861900000000013</v>
      </c>
      <c r="L403" s="3">
        <v>1.210560000000001</v>
      </c>
      <c r="M403" s="3">
        <v>1.8513400000000004</v>
      </c>
      <c r="N403" s="3">
        <v>0.64077999999999946</v>
      </c>
      <c r="P403" s="3">
        <f t="shared" si="79"/>
        <v>-1.5975040342184768</v>
      </c>
      <c r="Q403" s="3">
        <f t="shared" si="80"/>
        <v>1.2815569921002647</v>
      </c>
      <c r="R403" s="3">
        <f t="shared" si="81"/>
        <v>1.1240938453530185</v>
      </c>
      <c r="S403" s="3">
        <f t="shared" si="82"/>
        <v>1.2149541929025167</v>
      </c>
      <c r="T403" s="3">
        <f t="shared" si="83"/>
        <v>1.1875047643425409</v>
      </c>
      <c r="U403" s="3">
        <f t="shared" si="84"/>
        <v>1.4854339337104381</v>
      </c>
      <c r="V403" s="3">
        <f t="shared" si="85"/>
        <v>1.5784459656224934</v>
      </c>
      <c r="W403" s="3">
        <f t="shared" si="86"/>
        <v>0.19817746578205042</v>
      </c>
      <c r="X403" s="3">
        <f t="shared" si="87"/>
        <v>0.76717286942922813</v>
      </c>
      <c r="Y403" s="3">
        <f t="shared" si="88"/>
        <v>0.89897615479225967</v>
      </c>
      <c r="Z403" s="3">
        <f t="shared" si="89"/>
        <v>1.4919207033935946</v>
      </c>
      <c r="AA403" s="3">
        <f t="shared" si="90"/>
        <v>1.4827622404942167</v>
      </c>
      <c r="AB403" s="3">
        <f t="shared" si="91"/>
        <v>1.2573306968256661</v>
      </c>
    </row>
    <row r="404" spans="1:28" x14ac:dyDescent="0.25">
      <c r="A404" s="3">
        <v>1.2376625032186399E+18</v>
      </c>
      <c r="B404" s="3">
        <v>235.74715</v>
      </c>
      <c r="C404" s="3">
        <v>36.449482000000003</v>
      </c>
      <c r="D404" s="16">
        <v>0.63086900000000001</v>
      </c>
      <c r="E404" s="3">
        <v>3.0398199999999989</v>
      </c>
      <c r="F404" s="3">
        <v>4.4746699999999997</v>
      </c>
      <c r="G404" s="3">
        <v>5.6852300000000007</v>
      </c>
      <c r="H404" s="3">
        <v>6.3260100000000001</v>
      </c>
      <c r="I404" s="3">
        <v>1.4348500000000008</v>
      </c>
      <c r="J404" s="3">
        <v>2.6454100000000018</v>
      </c>
      <c r="K404" s="3">
        <v>3.2861900000000013</v>
      </c>
      <c r="L404" s="3">
        <v>1.210560000000001</v>
      </c>
      <c r="M404" s="3">
        <v>1.8513400000000004</v>
      </c>
      <c r="N404" s="3">
        <v>0.64077999999999946</v>
      </c>
      <c r="P404" s="3">
        <f t="shared" si="79"/>
        <v>-1.5975040342184768</v>
      </c>
      <c r="Q404" s="3">
        <f t="shared" si="80"/>
        <v>1.2815569921002647</v>
      </c>
      <c r="R404" s="3">
        <f t="shared" si="81"/>
        <v>1.1246531863302438</v>
      </c>
      <c r="S404" s="3">
        <f t="shared" si="82"/>
        <v>1.2149541929025167</v>
      </c>
      <c r="T404" s="3">
        <f t="shared" si="83"/>
        <v>1.1875047643425409</v>
      </c>
      <c r="U404" s="3">
        <f t="shared" si="84"/>
        <v>1.4854339337104381</v>
      </c>
      <c r="V404" s="3">
        <f t="shared" si="85"/>
        <v>1.5784459656224934</v>
      </c>
      <c r="W404" s="3">
        <f t="shared" si="86"/>
        <v>0.19817746578205042</v>
      </c>
      <c r="X404" s="3">
        <f t="shared" si="87"/>
        <v>0.76717286942922813</v>
      </c>
      <c r="Y404" s="3">
        <f t="shared" si="88"/>
        <v>0.89897615479225967</v>
      </c>
      <c r="Z404" s="3">
        <f t="shared" si="89"/>
        <v>1.4919207033935946</v>
      </c>
      <c r="AA404" s="3">
        <f t="shared" si="90"/>
        <v>1.4827622404942167</v>
      </c>
      <c r="AB404" s="3">
        <f t="shared" si="91"/>
        <v>1.2573306968256661</v>
      </c>
    </row>
    <row r="405" spans="1:28" x14ac:dyDescent="0.25">
      <c r="A405" s="3">
        <v>1.23766247422781E+18</v>
      </c>
      <c r="B405" s="3">
        <v>236.56397000000001</v>
      </c>
      <c r="C405" s="3">
        <v>36.598655999999998</v>
      </c>
      <c r="D405" s="16">
        <v>0.63153570000000003</v>
      </c>
      <c r="E405" s="3">
        <v>-0.17698999999999998</v>
      </c>
      <c r="F405" s="3">
        <v>1.4757299999999987</v>
      </c>
      <c r="G405" s="3">
        <v>2.5270099999999971</v>
      </c>
      <c r="H405" s="3">
        <v>3.2111099999999979</v>
      </c>
      <c r="I405" s="3">
        <v>1.6527199999999986</v>
      </c>
      <c r="J405" s="3">
        <v>2.7039999999999971</v>
      </c>
      <c r="K405" s="3">
        <v>3.3880999999999979</v>
      </c>
      <c r="L405" s="3">
        <v>1.0512799999999984</v>
      </c>
      <c r="M405" s="3">
        <v>1.7353799999999993</v>
      </c>
      <c r="N405" s="3">
        <v>0.68410000000000082</v>
      </c>
      <c r="P405" s="3">
        <f t="shared" si="79"/>
        <v>0.9156607897706639</v>
      </c>
      <c r="Q405" s="3">
        <f t="shared" si="80"/>
        <v>1.809641652386071</v>
      </c>
      <c r="R405" s="3">
        <f t="shared" si="81"/>
        <v>1.1272646193100484</v>
      </c>
      <c r="S405" s="3">
        <f t="shared" si="82"/>
        <v>-1.95153703025154</v>
      </c>
      <c r="T405" s="3">
        <f t="shared" si="83"/>
        <v>-1.4801116124667673</v>
      </c>
      <c r="U405" s="3">
        <f t="shared" si="84"/>
        <v>-1.0713249352639966</v>
      </c>
      <c r="V405" s="3">
        <f t="shared" si="85"/>
        <v>-0.80569528908322419</v>
      </c>
      <c r="W405" s="3">
        <f t="shared" si="86"/>
        <v>0.62679923413308936</v>
      </c>
      <c r="X405" s="3">
        <f t="shared" si="87"/>
        <v>0.84201100417684582</v>
      </c>
      <c r="Y405" s="3">
        <f t="shared" si="88"/>
        <v>1.0096230183200015</v>
      </c>
      <c r="Z405" s="3">
        <f t="shared" si="89"/>
        <v>1.0165378449409388</v>
      </c>
      <c r="AA405" s="3">
        <f t="shared" si="90"/>
        <v>1.2463381517674099</v>
      </c>
      <c r="AB405" s="3">
        <f t="shared" si="91"/>
        <v>1.4968751436692445</v>
      </c>
    </row>
    <row r="406" spans="1:28" x14ac:dyDescent="0.25">
      <c r="A406" s="3">
        <v>1.2376625032188301E+18</v>
      </c>
      <c r="B406" s="3">
        <v>236.20272</v>
      </c>
      <c r="C406" s="3">
        <v>36.101491000000003</v>
      </c>
      <c r="D406" s="16">
        <v>0.63277079999999997</v>
      </c>
      <c r="E406" s="3">
        <v>0.78077000000000041</v>
      </c>
      <c r="F406" s="3">
        <v>2.4181899999999992</v>
      </c>
      <c r="G406" s="3">
        <v>3.4537999999999975</v>
      </c>
      <c r="H406" s="3">
        <v>3.9785299999999992</v>
      </c>
      <c r="I406" s="3">
        <v>1.6374199999999988</v>
      </c>
      <c r="J406" s="3">
        <v>2.6730299999999971</v>
      </c>
      <c r="K406" s="3">
        <v>3.1977599999999988</v>
      </c>
      <c r="L406" s="3">
        <v>1.0356099999999984</v>
      </c>
      <c r="M406" s="3">
        <v>1.5603400000000001</v>
      </c>
      <c r="N406" s="3">
        <v>0.5247300000000017</v>
      </c>
      <c r="P406" s="3">
        <f t="shared" si="79"/>
        <v>-0.19582129032788995</v>
      </c>
      <c r="Q406" s="3">
        <f t="shared" si="80"/>
        <v>4.9648556196392059E-2</v>
      </c>
      <c r="R406" s="3">
        <f t="shared" si="81"/>
        <v>1.132102448728612</v>
      </c>
      <c r="S406" s="3">
        <f t="shared" si="82"/>
        <v>-1.0087587393708128</v>
      </c>
      <c r="T406" s="3">
        <f t="shared" si="83"/>
        <v>-0.64177482330536317</v>
      </c>
      <c r="U406" s="3">
        <f t="shared" si="84"/>
        <v>-0.32103567353529661</v>
      </c>
      <c r="V406" s="3">
        <f t="shared" si="85"/>
        <v>-0.21831281077372355</v>
      </c>
      <c r="W406" s="3">
        <f t="shared" si="86"/>
        <v>0.59669911453988744</v>
      </c>
      <c r="X406" s="3">
        <f t="shared" si="87"/>
        <v>0.80245242706242526</v>
      </c>
      <c r="Y406" s="3">
        <f t="shared" si="88"/>
        <v>0.80296494743519176</v>
      </c>
      <c r="Z406" s="3">
        <f t="shared" si="89"/>
        <v>0.96976957904469929</v>
      </c>
      <c r="AA406" s="3">
        <f t="shared" si="90"/>
        <v>0.88945929275792679</v>
      </c>
      <c r="AB406" s="3">
        <f t="shared" si="91"/>
        <v>0.61561479063462587</v>
      </c>
    </row>
    <row r="407" spans="1:28" x14ac:dyDescent="0.25">
      <c r="A407" s="3">
        <v>1.2376624736910001E+18</v>
      </c>
      <c r="B407" s="3">
        <v>236.48539</v>
      </c>
      <c r="C407" s="3">
        <v>36.315657000000002</v>
      </c>
      <c r="D407" s="16">
        <v>0.6336775</v>
      </c>
      <c r="E407" s="3">
        <v>-0.23215000000000074</v>
      </c>
      <c r="F407" s="3">
        <v>1.4701400000000007</v>
      </c>
      <c r="G407" s="3">
        <v>2.6447199999999995</v>
      </c>
      <c r="H407" s="3">
        <v>3.2927</v>
      </c>
      <c r="I407" s="3">
        <v>1.7022900000000014</v>
      </c>
      <c r="J407" s="3">
        <v>2.8768700000000003</v>
      </c>
      <c r="K407" s="3">
        <v>3.5248500000000007</v>
      </c>
      <c r="L407" s="3">
        <v>1.1745799999999988</v>
      </c>
      <c r="M407" s="3">
        <v>1.8225599999999993</v>
      </c>
      <c r="N407" s="3">
        <v>0.64798000000000044</v>
      </c>
      <c r="P407" s="3">
        <f t="shared" si="79"/>
        <v>0.67388843861728054</v>
      </c>
      <c r="Q407" s="3">
        <f t="shared" si="80"/>
        <v>0.8078086870152551</v>
      </c>
      <c r="R407" s="3">
        <f t="shared" si="81"/>
        <v>1.1356539505777028</v>
      </c>
      <c r="S407" s="3">
        <f t="shared" si="82"/>
        <v>-2.0058341929279742</v>
      </c>
      <c r="T407" s="3">
        <f t="shared" si="83"/>
        <v>-1.4850840279023407</v>
      </c>
      <c r="U407" s="3">
        <f t="shared" si="84"/>
        <v>-0.97603198972284155</v>
      </c>
      <c r="V407" s="3">
        <f t="shared" si="85"/>
        <v>-0.74324638704096146</v>
      </c>
      <c r="W407" s="3">
        <f t="shared" si="86"/>
        <v>0.72431968695891391</v>
      </c>
      <c r="X407" s="3">
        <f t="shared" si="87"/>
        <v>1.0628211826001595</v>
      </c>
      <c r="Y407" s="3">
        <f t="shared" si="88"/>
        <v>1.1580967558081723</v>
      </c>
      <c r="Z407" s="3">
        <f t="shared" si="89"/>
        <v>1.3845357508124339</v>
      </c>
      <c r="AA407" s="3">
        <f t="shared" si="90"/>
        <v>1.4240843750789209</v>
      </c>
      <c r="AB407" s="3">
        <f t="shared" si="91"/>
        <v>1.2971441782955171</v>
      </c>
    </row>
    <row r="408" spans="1:28" x14ac:dyDescent="0.25">
      <c r="A408" s="3">
        <v>1.2376614659859999E+18</v>
      </c>
      <c r="B408" s="3">
        <v>235.67941999999999</v>
      </c>
      <c r="C408" s="3">
        <v>36.139108</v>
      </c>
      <c r="D408" s="16">
        <v>0.63405750000000005</v>
      </c>
      <c r="E408" s="3">
        <v>1.1124000000000009</v>
      </c>
      <c r="F408" s="3">
        <v>2.7790099999999995</v>
      </c>
      <c r="G408" s="3">
        <v>3.9434100000000001</v>
      </c>
      <c r="H408" s="3">
        <v>4.4520699999999991</v>
      </c>
      <c r="I408" s="3">
        <v>1.6666099999999986</v>
      </c>
      <c r="J408" s="3">
        <v>2.8310099999999991</v>
      </c>
      <c r="K408" s="3">
        <v>3.3396699999999981</v>
      </c>
      <c r="L408" s="3">
        <v>1.1644000000000005</v>
      </c>
      <c r="M408" s="3">
        <v>1.6730599999999995</v>
      </c>
      <c r="N408" s="3">
        <v>0.508659999999999</v>
      </c>
      <c r="P408" s="3">
        <f t="shared" si="79"/>
        <v>-1.8058934633813428</v>
      </c>
      <c r="Q408" s="3">
        <f t="shared" si="80"/>
        <v>0.18281493013535216</v>
      </c>
      <c r="R408" s="3">
        <f t="shared" si="81"/>
        <v>1.1371423929540727</v>
      </c>
      <c r="S408" s="3">
        <f t="shared" si="82"/>
        <v>-0.68231624375105859</v>
      </c>
      <c r="T408" s="3">
        <f t="shared" si="83"/>
        <v>-0.32081830497544156</v>
      </c>
      <c r="U408" s="3">
        <f t="shared" si="84"/>
        <v>7.5331492095526448E-2</v>
      </c>
      <c r="V408" s="3">
        <f t="shared" si="85"/>
        <v>0.14413421794416284</v>
      </c>
      <c r="W408" s="3">
        <f t="shared" si="86"/>
        <v>0.65412542113632965</v>
      </c>
      <c r="X408" s="3">
        <f t="shared" si="87"/>
        <v>1.0042433218811613</v>
      </c>
      <c r="Y408" s="3">
        <f t="shared" si="88"/>
        <v>0.95704105776020665</v>
      </c>
      <c r="Z408" s="3">
        <f t="shared" si="89"/>
        <v>1.3541527931338353</v>
      </c>
      <c r="AA408" s="3">
        <f t="shared" si="90"/>
        <v>1.1192775342315839</v>
      </c>
      <c r="AB408" s="3">
        <f t="shared" si="91"/>
        <v>0.52675331185399732</v>
      </c>
    </row>
    <row r="409" spans="1:28" x14ac:dyDescent="0.25">
      <c r="A409" s="3">
        <v>1.23766250375571E+18</v>
      </c>
      <c r="B409" s="3">
        <v>236.57463000000001</v>
      </c>
      <c r="C409" s="3">
        <v>36.423673000000001</v>
      </c>
      <c r="D409" s="16">
        <v>0.63505820000000002</v>
      </c>
      <c r="E409" s="3">
        <v>0.78532000000000224</v>
      </c>
      <c r="F409" s="3">
        <v>2.4095300000000002</v>
      </c>
      <c r="G409" s="3">
        <v>3.5254500000000029</v>
      </c>
      <c r="H409" s="3">
        <v>4.0446200000000019</v>
      </c>
      <c r="I409" s="3">
        <v>1.6242099999999979</v>
      </c>
      <c r="J409" s="3">
        <v>2.7401300000000006</v>
      </c>
      <c r="K409" s="3">
        <v>3.2592999999999996</v>
      </c>
      <c r="L409" s="3">
        <v>1.1159200000000027</v>
      </c>
      <c r="M409" s="3">
        <v>1.6350900000000017</v>
      </c>
      <c r="N409" s="3">
        <v>0.51916999999999902</v>
      </c>
      <c r="P409" s="3">
        <f t="shared" si="79"/>
        <v>0.94845912603046112</v>
      </c>
      <c r="Q409" s="3">
        <f t="shared" si="80"/>
        <v>1.1901916268401116</v>
      </c>
      <c r="R409" s="3">
        <f t="shared" si="81"/>
        <v>1.1410620884436338</v>
      </c>
      <c r="S409" s="3">
        <f t="shared" si="82"/>
        <v>-1.004279912500293</v>
      </c>
      <c r="T409" s="3">
        <f t="shared" si="83"/>
        <v>-0.64947806439160227</v>
      </c>
      <c r="U409" s="3">
        <f t="shared" si="84"/>
        <v>-0.26303091992027561</v>
      </c>
      <c r="V409" s="3">
        <f t="shared" si="85"/>
        <v>-0.16772759278165092</v>
      </c>
      <c r="W409" s="3">
        <f t="shared" si="86"/>
        <v>0.5707107106296766</v>
      </c>
      <c r="X409" s="3">
        <f t="shared" si="87"/>
        <v>0.88816054861159421</v>
      </c>
      <c r="Y409" s="3">
        <f t="shared" si="88"/>
        <v>0.86978084363279295</v>
      </c>
      <c r="Z409" s="3">
        <f t="shared" si="89"/>
        <v>1.2094606724797459</v>
      </c>
      <c r="AA409" s="3">
        <f t="shared" si="90"/>
        <v>1.041862713181599</v>
      </c>
      <c r="AB409" s="3">
        <f t="shared" si="91"/>
        <v>0.58486993549956368</v>
      </c>
    </row>
    <row r="410" spans="1:28" x14ac:dyDescent="0.25">
      <c r="A410" s="3">
        <v>1.23766250375571E+18</v>
      </c>
      <c r="B410" s="3">
        <v>236.57463000000001</v>
      </c>
      <c r="C410" s="3">
        <v>36.423673000000001</v>
      </c>
      <c r="D410" s="16">
        <v>0.63524349999999996</v>
      </c>
      <c r="E410" s="3">
        <v>0.78532000000000224</v>
      </c>
      <c r="F410" s="3">
        <v>2.4095300000000002</v>
      </c>
      <c r="G410" s="3">
        <v>3.5254500000000029</v>
      </c>
      <c r="H410" s="3">
        <v>4.0446200000000019</v>
      </c>
      <c r="I410" s="3">
        <v>1.6242099999999979</v>
      </c>
      <c r="J410" s="3">
        <v>2.7401300000000006</v>
      </c>
      <c r="K410" s="3">
        <v>3.2592999999999996</v>
      </c>
      <c r="L410" s="3">
        <v>1.1159200000000027</v>
      </c>
      <c r="M410" s="3">
        <v>1.6350900000000017</v>
      </c>
      <c r="N410" s="3">
        <v>0.51916999999999902</v>
      </c>
      <c r="P410" s="3">
        <f t="shared" si="79"/>
        <v>0.94845912603046112</v>
      </c>
      <c r="Q410" s="3">
        <f t="shared" si="80"/>
        <v>1.1901916268401116</v>
      </c>
      <c r="R410" s="3">
        <f t="shared" si="81"/>
        <v>1.1417878999497948</v>
      </c>
      <c r="S410" s="3">
        <f t="shared" si="82"/>
        <v>-1.004279912500293</v>
      </c>
      <c r="T410" s="3">
        <f t="shared" si="83"/>
        <v>-0.64947806439160227</v>
      </c>
      <c r="U410" s="3">
        <f t="shared" si="84"/>
        <v>-0.26303091992027561</v>
      </c>
      <c r="V410" s="3">
        <f t="shared" si="85"/>
        <v>-0.16772759278165092</v>
      </c>
      <c r="W410" s="3">
        <f t="shared" si="86"/>
        <v>0.5707107106296766</v>
      </c>
      <c r="X410" s="3">
        <f t="shared" si="87"/>
        <v>0.88816054861159421</v>
      </c>
      <c r="Y410" s="3">
        <f t="shared" si="88"/>
        <v>0.86978084363279295</v>
      </c>
      <c r="Z410" s="3">
        <f t="shared" si="89"/>
        <v>1.2094606724797459</v>
      </c>
      <c r="AA410" s="3">
        <f t="shared" si="90"/>
        <v>1.041862713181599</v>
      </c>
      <c r="AB410" s="3">
        <f t="shared" si="91"/>
        <v>0.58486993549956368</v>
      </c>
    </row>
    <row r="411" spans="1:28" x14ac:dyDescent="0.25">
      <c r="A411" s="3">
        <v>1.2376624731539999E+18</v>
      </c>
      <c r="B411" s="3">
        <v>235.9084</v>
      </c>
      <c r="C411" s="3">
        <v>36.087780000000002</v>
      </c>
      <c r="D411" s="16">
        <v>0.63723180000000001</v>
      </c>
      <c r="E411" s="3">
        <v>1.2085600000000021</v>
      </c>
      <c r="F411" s="3">
        <v>2.4418000000000006</v>
      </c>
      <c r="G411" s="3">
        <v>3.5644500000000008</v>
      </c>
      <c r="H411" s="3">
        <v>4.1427399999999999</v>
      </c>
      <c r="I411" s="3">
        <v>1.2332399999999986</v>
      </c>
      <c r="J411" s="3">
        <v>2.3558899999999987</v>
      </c>
      <c r="K411" s="3">
        <v>2.9341799999999978</v>
      </c>
      <c r="L411" s="3">
        <v>1.1226500000000001</v>
      </c>
      <c r="M411" s="3">
        <v>1.7009399999999992</v>
      </c>
      <c r="N411" s="3">
        <v>0.57828999999999908</v>
      </c>
      <c r="P411" s="3">
        <f t="shared" si="79"/>
        <v>-1.1013753548665584</v>
      </c>
      <c r="Q411" s="3">
        <f t="shared" si="80"/>
        <v>1.1108165287603204E-3</v>
      </c>
      <c r="R411" s="3">
        <f t="shared" si="81"/>
        <v>1.1495759788364688</v>
      </c>
      <c r="S411" s="3">
        <f t="shared" si="82"/>
        <v>-0.58766042136226415</v>
      </c>
      <c r="T411" s="3">
        <f t="shared" si="83"/>
        <v>-0.62077326186816484</v>
      </c>
      <c r="U411" s="3">
        <f t="shared" si="84"/>
        <v>-0.23145819987860736</v>
      </c>
      <c r="V411" s="3">
        <f t="shared" si="85"/>
        <v>-9.2626645749091269E-2</v>
      </c>
      <c r="W411" s="3">
        <f t="shared" si="86"/>
        <v>-0.19845554802092755</v>
      </c>
      <c r="X411" s="3">
        <f t="shared" si="87"/>
        <v>0.39736340071217319</v>
      </c>
      <c r="Y411" s="3">
        <f t="shared" si="88"/>
        <v>0.51678792566457787</v>
      </c>
      <c r="Z411" s="3">
        <f t="shared" si="89"/>
        <v>1.2295468517702099</v>
      </c>
      <c r="AA411" s="3">
        <f t="shared" si="90"/>
        <v>1.1761204420765583</v>
      </c>
      <c r="AB411" s="3">
        <f t="shared" si="91"/>
        <v>0.91178285556862926</v>
      </c>
    </row>
    <row r="412" spans="1:28" x14ac:dyDescent="0.25">
      <c r="A412" s="3">
        <v>1.2376624731539999E+18</v>
      </c>
      <c r="B412" s="3">
        <v>235.9084</v>
      </c>
      <c r="C412" s="3">
        <v>36.087780000000002</v>
      </c>
      <c r="D412" s="16">
        <v>0.63753910000000003</v>
      </c>
      <c r="E412" s="3">
        <v>1.2085600000000021</v>
      </c>
      <c r="F412" s="3">
        <v>2.4418000000000006</v>
      </c>
      <c r="G412" s="3">
        <v>3.5644500000000008</v>
      </c>
      <c r="H412" s="3">
        <v>4.1427399999999999</v>
      </c>
      <c r="I412" s="3">
        <v>1.2332399999999986</v>
      </c>
      <c r="J412" s="3">
        <v>2.3558899999999987</v>
      </c>
      <c r="K412" s="3">
        <v>2.9341799999999978</v>
      </c>
      <c r="L412" s="3">
        <v>1.1226500000000001</v>
      </c>
      <c r="M412" s="3">
        <v>1.7009399999999992</v>
      </c>
      <c r="N412" s="3">
        <v>0.57828999999999908</v>
      </c>
      <c r="P412" s="3">
        <f t="shared" si="79"/>
        <v>-1.1013753548665584</v>
      </c>
      <c r="Q412" s="3">
        <f t="shared" si="80"/>
        <v>1.1108165287603204E-3</v>
      </c>
      <c r="R412" s="3">
        <f t="shared" si="81"/>
        <v>1.1507796586845174</v>
      </c>
      <c r="S412" s="3">
        <f t="shared" si="82"/>
        <v>-0.58766042136226415</v>
      </c>
      <c r="T412" s="3">
        <f t="shared" si="83"/>
        <v>-0.62077326186816484</v>
      </c>
      <c r="U412" s="3">
        <f t="shared" si="84"/>
        <v>-0.23145819987860736</v>
      </c>
      <c r="V412" s="3">
        <f t="shared" si="85"/>
        <v>-9.2626645749091269E-2</v>
      </c>
      <c r="W412" s="3">
        <f t="shared" si="86"/>
        <v>-0.19845554802092755</v>
      </c>
      <c r="X412" s="3">
        <f t="shared" si="87"/>
        <v>0.39736340071217319</v>
      </c>
      <c r="Y412" s="3">
        <f t="shared" si="88"/>
        <v>0.51678792566457787</v>
      </c>
      <c r="Z412" s="3">
        <f t="shared" si="89"/>
        <v>1.2295468517702099</v>
      </c>
      <c r="AA412" s="3">
        <f t="shared" si="90"/>
        <v>1.1761204420765583</v>
      </c>
      <c r="AB412" s="3">
        <f t="shared" si="91"/>
        <v>0.91178285556862926</v>
      </c>
    </row>
    <row r="413" spans="1:28" x14ac:dyDescent="0.25">
      <c r="A413" s="3">
        <v>1.2376625032189701E+18</v>
      </c>
      <c r="B413" s="3">
        <v>236.46351000000001</v>
      </c>
      <c r="C413" s="3">
        <v>35.956130999999999</v>
      </c>
      <c r="D413" s="16">
        <v>0.63840030000000003</v>
      </c>
      <c r="E413" s="3">
        <v>1.9139400000000002</v>
      </c>
      <c r="F413" s="3">
        <v>3.7738700000000023</v>
      </c>
      <c r="G413" s="3">
        <v>5.0765700000000002</v>
      </c>
      <c r="H413" s="3">
        <v>5.7396899999999995</v>
      </c>
      <c r="I413" s="3">
        <v>1.8599300000000021</v>
      </c>
      <c r="J413" s="3">
        <v>3.1626300000000001</v>
      </c>
      <c r="K413" s="3">
        <v>3.8257499999999993</v>
      </c>
      <c r="L413" s="3">
        <v>1.302699999999998</v>
      </c>
      <c r="M413" s="3">
        <v>1.9658199999999972</v>
      </c>
      <c r="N413" s="3">
        <v>0.66311999999999927</v>
      </c>
      <c r="P413" s="3">
        <f t="shared" si="79"/>
        <v>0.60656877657566077</v>
      </c>
      <c r="Q413" s="3">
        <f t="shared" si="80"/>
        <v>-0.46493432164525128</v>
      </c>
      <c r="R413" s="3">
        <f t="shared" si="81"/>
        <v>1.1541529391438059</v>
      </c>
      <c r="S413" s="3">
        <f t="shared" si="82"/>
        <v>0.10668571005003667</v>
      </c>
      <c r="T413" s="3">
        <f t="shared" si="83"/>
        <v>0.56412931939600786</v>
      </c>
      <c r="U413" s="3">
        <f t="shared" si="84"/>
        <v>0.99268901626010886</v>
      </c>
      <c r="V413" s="3">
        <f t="shared" si="85"/>
        <v>1.1296772409574778</v>
      </c>
      <c r="W413" s="3">
        <f t="shared" si="86"/>
        <v>1.0344492851727973</v>
      </c>
      <c r="X413" s="3">
        <f t="shared" si="87"/>
        <v>1.4278279309442616</v>
      </c>
      <c r="Y413" s="3">
        <f t="shared" si="88"/>
        <v>1.4847932648406368</v>
      </c>
      <c r="Z413" s="3">
        <f t="shared" si="89"/>
        <v>1.7669193006928512</v>
      </c>
      <c r="AA413" s="3">
        <f t="shared" si="90"/>
        <v>1.716168843438713</v>
      </c>
      <c r="AB413" s="3">
        <f t="shared" si="91"/>
        <v>1.3808630823862693</v>
      </c>
    </row>
    <row r="414" spans="1:28" x14ac:dyDescent="0.25">
      <c r="A414" s="3">
        <v>1.2376625032189701E+18</v>
      </c>
      <c r="B414" s="3">
        <v>236.38307</v>
      </c>
      <c r="C414" s="3">
        <v>35.919638999999997</v>
      </c>
      <c r="D414" s="16">
        <v>0.63867180000000001</v>
      </c>
      <c r="E414" s="3">
        <v>0.67327999999999832</v>
      </c>
      <c r="F414" s="3">
        <v>3.9604299999999988</v>
      </c>
      <c r="G414" s="3">
        <v>5.3558299999999974</v>
      </c>
      <c r="H414" s="3">
        <v>5.8882499999999993</v>
      </c>
      <c r="I414" s="3">
        <v>3.2871500000000005</v>
      </c>
      <c r="J414" s="3">
        <v>4.6825499999999991</v>
      </c>
      <c r="K414" s="3">
        <v>5.214970000000001</v>
      </c>
      <c r="L414" s="3">
        <v>1.3953999999999986</v>
      </c>
      <c r="M414" s="3">
        <v>1.9278200000000005</v>
      </c>
      <c r="N414" s="3">
        <v>0.53242000000000189</v>
      </c>
      <c r="P414" s="3">
        <f t="shared" si="79"/>
        <v>0.35907363879535414</v>
      </c>
      <c r="Q414" s="3">
        <f t="shared" si="80"/>
        <v>-0.59411812997077496</v>
      </c>
      <c r="R414" s="3">
        <f t="shared" si="81"/>
        <v>1.1552163920521858</v>
      </c>
      <c r="S414" s="3">
        <f t="shared" si="82"/>
        <v>-1.1145673328459751</v>
      </c>
      <c r="T414" s="3">
        <f t="shared" si="83"/>
        <v>0.73007812505985414</v>
      </c>
      <c r="U414" s="3">
        <f t="shared" si="84"/>
        <v>1.2187658828969463</v>
      </c>
      <c r="V414" s="3">
        <f t="shared" si="85"/>
        <v>1.2433849120862719</v>
      </c>
      <c r="W414" s="3">
        <f t="shared" si="86"/>
        <v>3.8422592646375024</v>
      </c>
      <c r="X414" s="3">
        <f t="shared" si="87"/>
        <v>3.3692510025538907</v>
      </c>
      <c r="Y414" s="3">
        <f t="shared" si="88"/>
        <v>2.9931127207332349</v>
      </c>
      <c r="Z414" s="3">
        <f t="shared" si="89"/>
        <v>2.0435892591217866</v>
      </c>
      <c r="AA414" s="3">
        <f t="shared" si="90"/>
        <v>1.6386928571363866</v>
      </c>
      <c r="AB414" s="3">
        <f t="shared" si="91"/>
        <v>0.65813780070450367</v>
      </c>
    </row>
    <row r="415" spans="1:28" x14ac:dyDescent="0.25">
      <c r="A415" s="3">
        <v>1.23766146598626E+18</v>
      </c>
      <c r="B415" s="3">
        <v>236.13403</v>
      </c>
      <c r="C415" s="3">
        <v>35.749065000000002</v>
      </c>
      <c r="D415" s="16">
        <v>0.64022860000000004</v>
      </c>
      <c r="E415" s="3">
        <v>1.2862600000000022</v>
      </c>
      <c r="F415" s="3">
        <v>2.4418700000000015</v>
      </c>
      <c r="G415" s="3">
        <v>3.4232200000000006</v>
      </c>
      <c r="H415" s="3">
        <v>3.8572400000000009</v>
      </c>
      <c r="I415" s="3">
        <v>1.1556099999999994</v>
      </c>
      <c r="J415" s="3">
        <v>2.1369599999999984</v>
      </c>
      <c r="K415" s="3">
        <v>2.5709799999999987</v>
      </c>
      <c r="L415" s="3">
        <v>0.98134999999999906</v>
      </c>
      <c r="M415" s="3">
        <v>1.4153699999999994</v>
      </c>
      <c r="N415" s="3">
        <v>0.43402000000000029</v>
      </c>
      <c r="P415" s="3">
        <f t="shared" si="79"/>
        <v>-0.40716441581431523</v>
      </c>
      <c r="Q415" s="3">
        <f t="shared" si="80"/>
        <v>-1.1979600383703044</v>
      </c>
      <c r="R415" s="3">
        <f t="shared" si="81"/>
        <v>1.1613143054509554</v>
      </c>
      <c r="S415" s="3">
        <f t="shared" si="82"/>
        <v>-0.51117583941957223</v>
      </c>
      <c r="T415" s="3">
        <f t="shared" si="83"/>
        <v>-0.62071099548524988</v>
      </c>
      <c r="U415" s="3">
        <f t="shared" si="84"/>
        <v>-0.34579192427565997</v>
      </c>
      <c r="V415" s="3">
        <f t="shared" si="85"/>
        <v>-0.31114805196389089</v>
      </c>
      <c r="W415" s="3">
        <f t="shared" si="86"/>
        <v>-0.35117922671506235</v>
      </c>
      <c r="X415" s="3">
        <f t="shared" si="87"/>
        <v>0.11771989772024145</v>
      </c>
      <c r="Y415" s="3">
        <f t="shared" si="88"/>
        <v>0.12245036474536454</v>
      </c>
      <c r="Z415" s="3">
        <f t="shared" si="89"/>
        <v>0.80782662387367732</v>
      </c>
      <c r="AA415" s="3">
        <f t="shared" si="90"/>
        <v>0.59388840501452389</v>
      </c>
      <c r="AB415" s="3">
        <f t="shared" si="91"/>
        <v>0.1140202206166053</v>
      </c>
    </row>
    <row r="416" spans="1:28" x14ac:dyDescent="0.25">
      <c r="A416" s="3">
        <v>1.23766146598627E+18</v>
      </c>
      <c r="B416" s="3">
        <v>236.17788999999999</v>
      </c>
      <c r="C416" s="3">
        <v>35.799301999999997</v>
      </c>
      <c r="D416" s="16">
        <v>0.64137339999999998</v>
      </c>
      <c r="E416" s="3">
        <v>1.1644900000000007</v>
      </c>
      <c r="F416" s="3">
        <v>2.3896699999999989</v>
      </c>
      <c r="G416" s="3">
        <v>3.801759999999998</v>
      </c>
      <c r="H416" s="3">
        <v>4.5852800000000009</v>
      </c>
      <c r="I416" s="3">
        <v>1.2251799999999982</v>
      </c>
      <c r="J416" s="3">
        <v>2.6372699999999973</v>
      </c>
      <c r="K416" s="3">
        <v>3.4207900000000002</v>
      </c>
      <c r="L416" s="3">
        <v>1.4120899999999992</v>
      </c>
      <c r="M416" s="3">
        <v>2.1956100000000021</v>
      </c>
      <c r="N416" s="3">
        <v>0.78352000000000288</v>
      </c>
      <c r="P416" s="3">
        <f t="shared" si="79"/>
        <v>-0.27221741503060459</v>
      </c>
      <c r="Q416" s="3">
        <f t="shared" si="80"/>
        <v>-1.0201181283941918</v>
      </c>
      <c r="R416" s="3">
        <f t="shared" si="81"/>
        <v>1.1657984339574503</v>
      </c>
      <c r="S416" s="3">
        <f t="shared" si="82"/>
        <v>-0.6310410587652826</v>
      </c>
      <c r="T416" s="3">
        <f t="shared" si="83"/>
        <v>-0.66714392674411227</v>
      </c>
      <c r="U416" s="3">
        <f t="shared" si="84"/>
        <v>-3.9342246209668731E-2</v>
      </c>
      <c r="V416" s="3">
        <f t="shared" si="85"/>
        <v>0.24609301486841489</v>
      </c>
      <c r="W416" s="3">
        <f t="shared" si="86"/>
        <v>-0.21431221232950415</v>
      </c>
      <c r="X416" s="3">
        <f t="shared" si="87"/>
        <v>0.7567754907494878</v>
      </c>
      <c r="Y416" s="3">
        <f t="shared" si="88"/>
        <v>1.0451155702650732</v>
      </c>
      <c r="Z416" s="3">
        <f t="shared" si="89"/>
        <v>2.0934017899327793</v>
      </c>
      <c r="AA416" s="3">
        <f t="shared" si="90"/>
        <v>2.1846742879759113</v>
      </c>
      <c r="AB416" s="3">
        <f t="shared" si="91"/>
        <v>2.0466329669653733</v>
      </c>
    </row>
    <row r="417" spans="1:28" x14ac:dyDescent="0.25">
      <c r="A417" s="3">
        <v>1.2376624736910001E+18</v>
      </c>
      <c r="B417" s="3">
        <v>236.57861</v>
      </c>
      <c r="C417" s="3">
        <v>36.202573999999998</v>
      </c>
      <c r="D417" s="16">
        <v>0.64257410000000004</v>
      </c>
      <c r="E417" s="3">
        <v>2.4270100000000028</v>
      </c>
      <c r="F417" s="3">
        <v>3.7391900000000007</v>
      </c>
      <c r="G417" s="3">
        <v>4.836310000000001</v>
      </c>
      <c r="H417" s="3">
        <v>5.3374200000000016</v>
      </c>
      <c r="I417" s="3">
        <v>1.3121799999999979</v>
      </c>
      <c r="J417" s="3">
        <v>2.4092999999999982</v>
      </c>
      <c r="K417" s="3">
        <v>2.9104099999999988</v>
      </c>
      <c r="L417" s="3">
        <v>1.0971200000000003</v>
      </c>
      <c r="M417" s="3">
        <v>1.5982300000000009</v>
      </c>
      <c r="N417" s="3">
        <v>0.50111000000000061</v>
      </c>
      <c r="P417" s="3">
        <f t="shared" si="79"/>
        <v>0.96070465870526989</v>
      </c>
      <c r="Q417" s="3">
        <f t="shared" si="80"/>
        <v>0.407488271667383</v>
      </c>
      <c r="R417" s="3">
        <f t="shared" si="81"/>
        <v>1.1705015201714166</v>
      </c>
      <c r="S417" s="3">
        <f t="shared" si="82"/>
        <v>0.61173004026029487</v>
      </c>
      <c r="T417" s="3">
        <f t="shared" si="83"/>
        <v>0.53328077426080978</v>
      </c>
      <c r="U417" s="3">
        <f t="shared" si="84"/>
        <v>0.79818486966493973</v>
      </c>
      <c r="V417" s="3">
        <f t="shared" si="85"/>
        <v>0.82178019690134008</v>
      </c>
      <c r="W417" s="3">
        <f t="shared" si="86"/>
        <v>-4.3154669544629425E-2</v>
      </c>
      <c r="X417" s="3">
        <f t="shared" si="87"/>
        <v>0.46558502175451055</v>
      </c>
      <c r="Y417" s="3">
        <f t="shared" si="88"/>
        <v>0.49098009575530116</v>
      </c>
      <c r="Z417" s="3">
        <f t="shared" si="89"/>
        <v>1.1533506916980349</v>
      </c>
      <c r="AA417" s="3">
        <f t="shared" si="90"/>
        <v>0.96671100646833408</v>
      </c>
      <c r="AB417" s="3">
        <f t="shared" si="91"/>
        <v>0.48500445281270976</v>
      </c>
    </row>
    <row r="418" spans="1:28" x14ac:dyDescent="0.25">
      <c r="A418" s="3">
        <v>1.2376624736910001E+18</v>
      </c>
      <c r="B418" s="3">
        <v>236.57861</v>
      </c>
      <c r="C418" s="3">
        <v>36.202573999999998</v>
      </c>
      <c r="D418" s="16">
        <v>0.64261840000000003</v>
      </c>
      <c r="E418" s="3">
        <v>2.4270100000000028</v>
      </c>
      <c r="F418" s="3">
        <v>3.7391900000000007</v>
      </c>
      <c r="G418" s="3">
        <v>4.836310000000001</v>
      </c>
      <c r="H418" s="3">
        <v>5.3374200000000016</v>
      </c>
      <c r="I418" s="3">
        <v>1.3121799999999979</v>
      </c>
      <c r="J418" s="3">
        <v>2.4092999999999982</v>
      </c>
      <c r="K418" s="3">
        <v>2.9104099999999988</v>
      </c>
      <c r="L418" s="3">
        <v>1.0971200000000003</v>
      </c>
      <c r="M418" s="3">
        <v>1.5982300000000009</v>
      </c>
      <c r="N418" s="3">
        <v>0.50111000000000061</v>
      </c>
      <c r="P418" s="3">
        <f t="shared" si="79"/>
        <v>0.96070465870526989</v>
      </c>
      <c r="Q418" s="3">
        <f t="shared" si="80"/>
        <v>0.407488271667383</v>
      </c>
      <c r="R418" s="3">
        <f t="shared" si="81"/>
        <v>1.1706750412168725</v>
      </c>
      <c r="S418" s="3">
        <f t="shared" si="82"/>
        <v>0.61173004026029487</v>
      </c>
      <c r="T418" s="3">
        <f t="shared" si="83"/>
        <v>0.53328077426080978</v>
      </c>
      <c r="U418" s="3">
        <f t="shared" si="84"/>
        <v>0.79818486966493973</v>
      </c>
      <c r="V418" s="3">
        <f t="shared" si="85"/>
        <v>0.82178019690134008</v>
      </c>
      <c r="W418" s="3">
        <f t="shared" si="86"/>
        <v>-4.3154669544629425E-2</v>
      </c>
      <c r="X418" s="3">
        <f t="shared" si="87"/>
        <v>0.46558502175451055</v>
      </c>
      <c r="Y418" s="3">
        <f t="shared" si="88"/>
        <v>0.49098009575530116</v>
      </c>
      <c r="Z418" s="3">
        <f t="shared" si="89"/>
        <v>1.1533506916980349</v>
      </c>
      <c r="AA418" s="3">
        <f t="shared" si="90"/>
        <v>0.96671100646833408</v>
      </c>
      <c r="AB418" s="3">
        <f t="shared" si="91"/>
        <v>0.48500445281270976</v>
      </c>
    </row>
    <row r="419" spans="1:28" x14ac:dyDescent="0.25">
      <c r="A419" s="3">
        <v>1.2376624731541299E+18</v>
      </c>
      <c r="B419" s="3">
        <v>236.28894</v>
      </c>
      <c r="C419" s="3">
        <v>35.889907999999998</v>
      </c>
      <c r="D419" s="16">
        <v>0.64264690000000002</v>
      </c>
      <c r="E419" s="3">
        <v>3.847529999999999</v>
      </c>
      <c r="F419" s="3">
        <v>4.8888699999999972</v>
      </c>
      <c r="G419" s="3">
        <v>5.9206699999999977</v>
      </c>
      <c r="H419" s="3">
        <v>6.5477099999999986</v>
      </c>
      <c r="I419" s="3">
        <v>1.0413399999999982</v>
      </c>
      <c r="J419" s="3">
        <v>2.0731399999999987</v>
      </c>
      <c r="K419" s="3">
        <v>2.7001799999999996</v>
      </c>
      <c r="L419" s="3">
        <v>1.0318000000000005</v>
      </c>
      <c r="M419" s="3">
        <v>1.6588400000000014</v>
      </c>
      <c r="N419" s="3">
        <v>0.62704000000000093</v>
      </c>
      <c r="P419" s="3">
        <f t="shared" si="79"/>
        <v>6.9457560733953608E-2</v>
      </c>
      <c r="Q419" s="3">
        <f t="shared" si="80"/>
        <v>-0.69936760397399844</v>
      </c>
      <c r="R419" s="3">
        <f t="shared" si="81"/>
        <v>1.1707866743951001</v>
      </c>
      <c r="S419" s="3">
        <f t="shared" si="82"/>
        <v>2.0100296328115461</v>
      </c>
      <c r="T419" s="3">
        <f t="shared" si="83"/>
        <v>1.5559438472433018</v>
      </c>
      <c r="U419" s="3">
        <f t="shared" si="84"/>
        <v>1.6760360159312246</v>
      </c>
      <c r="V419" s="3">
        <f t="shared" si="85"/>
        <v>1.7481349174887661</v>
      </c>
      <c r="W419" s="3">
        <f t="shared" si="86"/>
        <v>-0.57598580618664741</v>
      </c>
      <c r="X419" s="3">
        <f t="shared" si="87"/>
        <v>3.6201383304926074E-2</v>
      </c>
      <c r="Y419" s="3">
        <f t="shared" si="88"/>
        <v>0.26272683190054857</v>
      </c>
      <c r="Z419" s="3">
        <f t="shared" si="89"/>
        <v>0.95839835421607311</v>
      </c>
      <c r="AA419" s="3">
        <f t="shared" si="90"/>
        <v>1.0902852046205567</v>
      </c>
      <c r="AB419" s="3">
        <f t="shared" si="91"/>
        <v>1.1813533030207188</v>
      </c>
    </row>
    <row r="420" spans="1:28" x14ac:dyDescent="0.25">
      <c r="A420" s="3">
        <v>1.23766247369107E+18</v>
      </c>
      <c r="B420" s="3">
        <v>236.74435</v>
      </c>
      <c r="C420" s="3">
        <v>36.149721999999997</v>
      </c>
      <c r="D420" s="16">
        <v>0.64500740000000001</v>
      </c>
      <c r="E420" s="3">
        <v>2.2473699999999965</v>
      </c>
      <c r="F420" s="3">
        <v>5.2153499999999973</v>
      </c>
      <c r="G420" s="3">
        <v>6.4538099999999972</v>
      </c>
      <c r="H420" s="3">
        <v>6.985479999999999</v>
      </c>
      <c r="I420" s="3">
        <v>2.9679800000000007</v>
      </c>
      <c r="J420" s="3">
        <v>4.2064400000000006</v>
      </c>
      <c r="K420" s="3">
        <v>4.7381100000000025</v>
      </c>
      <c r="L420" s="3">
        <v>1.2384599999999999</v>
      </c>
      <c r="M420" s="3">
        <v>1.7701300000000018</v>
      </c>
      <c r="N420" s="3">
        <v>0.53167000000000186</v>
      </c>
      <c r="P420" s="3">
        <f t="shared" si="79"/>
        <v>1.4706480219039617</v>
      </c>
      <c r="Q420" s="3">
        <f t="shared" si="80"/>
        <v>0.22038910917641855</v>
      </c>
      <c r="R420" s="3">
        <f t="shared" si="81"/>
        <v>1.1800326434198918</v>
      </c>
      <c r="S420" s="3">
        <f t="shared" si="82"/>
        <v>0.43490004926691489</v>
      </c>
      <c r="T420" s="3">
        <f t="shared" si="83"/>
        <v>1.8463542571550384</v>
      </c>
      <c r="U420" s="3">
        <f t="shared" si="84"/>
        <v>2.1076431944700937</v>
      </c>
      <c r="V420" s="3">
        <f t="shared" si="85"/>
        <v>2.083203625014697</v>
      </c>
      <c r="W420" s="3">
        <f t="shared" si="86"/>
        <v>3.2143471619863693</v>
      </c>
      <c r="X420" s="3">
        <f t="shared" si="87"/>
        <v>2.7611065353292616</v>
      </c>
      <c r="Y420" s="3">
        <f t="shared" si="88"/>
        <v>2.4753709550395784</v>
      </c>
      <c r="Z420" s="3">
        <f t="shared" si="89"/>
        <v>1.5751903025323966</v>
      </c>
      <c r="AA420" s="3">
        <f t="shared" si="90"/>
        <v>1.317187902399154</v>
      </c>
      <c r="AB420" s="3">
        <f t="shared" si="91"/>
        <v>0.65399056305139458</v>
      </c>
    </row>
    <row r="421" spans="1:28" x14ac:dyDescent="0.25">
      <c r="A421" s="3">
        <v>1.2376625032189701E+18</v>
      </c>
      <c r="B421" s="3">
        <v>236.4477</v>
      </c>
      <c r="C421" s="3">
        <v>35.878366</v>
      </c>
      <c r="D421" s="16">
        <v>0.64634170000000002</v>
      </c>
      <c r="E421" s="3">
        <v>2.0907499999999999</v>
      </c>
      <c r="F421" s="3">
        <v>3.8350000000000009</v>
      </c>
      <c r="G421" s="3">
        <v>5.0138499999999979</v>
      </c>
      <c r="H421" s="3">
        <v>5.7064699999999995</v>
      </c>
      <c r="I421" s="3">
        <v>1.744250000000001</v>
      </c>
      <c r="J421" s="3">
        <v>2.923099999999998</v>
      </c>
      <c r="K421" s="3">
        <v>3.6157199999999996</v>
      </c>
      <c r="L421" s="3">
        <v>1.1788499999999971</v>
      </c>
      <c r="M421" s="3">
        <v>1.8714699999999986</v>
      </c>
      <c r="N421" s="3">
        <v>0.69262000000000157</v>
      </c>
      <c r="P421" s="3">
        <f t="shared" si="79"/>
        <v>0.55792509024659387</v>
      </c>
      <c r="Q421" s="3">
        <f t="shared" si="80"/>
        <v>-0.74022695713888143</v>
      </c>
      <c r="R421" s="3">
        <f t="shared" si="81"/>
        <v>1.1852590346377607</v>
      </c>
      <c r="S421" s="3">
        <f t="shared" si="82"/>
        <v>0.28072996916570342</v>
      </c>
      <c r="T421" s="3">
        <f t="shared" si="83"/>
        <v>0.6185056620752043</v>
      </c>
      <c r="U421" s="3">
        <f t="shared" si="84"/>
        <v>0.94191360597770857</v>
      </c>
      <c r="V421" s="3">
        <f t="shared" si="85"/>
        <v>1.104250687141521</v>
      </c>
      <c r="W421" s="3">
        <f t="shared" si="86"/>
        <v>0.8068687731112506</v>
      </c>
      <c r="X421" s="3">
        <f t="shared" si="87"/>
        <v>1.1218716514409597</v>
      </c>
      <c r="Y421" s="3">
        <f t="shared" si="88"/>
        <v>1.25675714721987</v>
      </c>
      <c r="Z421" s="3">
        <f t="shared" si="89"/>
        <v>1.3972798794261452</v>
      </c>
      <c r="AA421" s="3">
        <f t="shared" si="90"/>
        <v>1.5238041248170016</v>
      </c>
      <c r="AB421" s="3">
        <f t="shared" si="91"/>
        <v>1.5439877634085659</v>
      </c>
    </row>
    <row r="422" spans="1:28" x14ac:dyDescent="0.25">
      <c r="A422" s="3">
        <v>1.2376624736910001E+18</v>
      </c>
      <c r="B422" s="3">
        <v>236.46382</v>
      </c>
      <c r="C422" s="3">
        <v>36.181080000000001</v>
      </c>
      <c r="D422" s="16">
        <v>0.64662640000000005</v>
      </c>
      <c r="E422" s="3">
        <v>1.6058200000000014</v>
      </c>
      <c r="F422" s="3">
        <v>3.0132499999999993</v>
      </c>
      <c r="G422" s="3">
        <v>3.8201499999999982</v>
      </c>
      <c r="H422" s="3">
        <v>4.1286300000000011</v>
      </c>
      <c r="I422" s="3">
        <v>1.407429999999998</v>
      </c>
      <c r="J422" s="3">
        <v>2.2143299999999968</v>
      </c>
      <c r="K422" s="3">
        <v>2.5228099999999998</v>
      </c>
      <c r="L422" s="3">
        <v>0.80689999999999884</v>
      </c>
      <c r="M422" s="3">
        <v>1.1153800000000018</v>
      </c>
      <c r="N422" s="3">
        <v>0.30848000000000297</v>
      </c>
      <c r="P422" s="3">
        <f t="shared" si="79"/>
        <v>0.60752257434677093</v>
      </c>
      <c r="Q422" s="3">
        <f t="shared" si="80"/>
        <v>0.33139825807130108</v>
      </c>
      <c r="R422" s="3">
        <f t="shared" si="81"/>
        <v>1.1863741913339514</v>
      </c>
      <c r="S422" s="3">
        <f t="shared" si="82"/>
        <v>-0.19661453947611646</v>
      </c>
      <c r="T422" s="3">
        <f t="shared" si="83"/>
        <v>-0.11245719734947654</v>
      </c>
      <c r="U422" s="3">
        <f t="shared" si="84"/>
        <v>-2.4454494374635032E-2</v>
      </c>
      <c r="V422" s="3">
        <f t="shared" si="85"/>
        <v>-0.1034264252296186</v>
      </c>
      <c r="W422" s="3">
        <f t="shared" si="86"/>
        <v>0.14423332988363924</v>
      </c>
      <c r="X422" s="3">
        <f t="shared" si="87"/>
        <v>0.21654608794764418</v>
      </c>
      <c r="Y422" s="3">
        <f t="shared" si="88"/>
        <v>7.015069428975293E-2</v>
      </c>
      <c r="Z422" s="3">
        <f t="shared" si="89"/>
        <v>0.28716778624770678</v>
      </c>
      <c r="AA422" s="3">
        <f t="shared" si="90"/>
        <v>-1.7743730007496274E-2</v>
      </c>
      <c r="AB422" s="3">
        <f t="shared" si="91"/>
        <v>-0.58017206601177063</v>
      </c>
    </row>
    <row r="423" spans="1:28" x14ac:dyDescent="0.25">
      <c r="A423" s="3">
        <v>1.2376624736910001E+18</v>
      </c>
      <c r="B423" s="3">
        <v>236.46382</v>
      </c>
      <c r="C423" s="3">
        <v>36.181080000000001</v>
      </c>
      <c r="D423" s="16">
        <v>0.64669359999999998</v>
      </c>
      <c r="E423" s="3">
        <v>1.6058200000000014</v>
      </c>
      <c r="F423" s="3">
        <v>3.0132499999999993</v>
      </c>
      <c r="G423" s="3">
        <v>3.8201499999999982</v>
      </c>
      <c r="H423" s="3">
        <v>4.1286300000000011</v>
      </c>
      <c r="I423" s="3">
        <v>1.407429999999998</v>
      </c>
      <c r="J423" s="3">
        <v>2.2143299999999968</v>
      </c>
      <c r="K423" s="3">
        <v>2.5228099999999998</v>
      </c>
      <c r="L423" s="3">
        <v>0.80689999999999884</v>
      </c>
      <c r="M423" s="3">
        <v>1.1153800000000018</v>
      </c>
      <c r="N423" s="3">
        <v>0.30848000000000297</v>
      </c>
      <c r="P423" s="3">
        <f t="shared" si="79"/>
        <v>0.60752257434677093</v>
      </c>
      <c r="Q423" s="3">
        <f t="shared" si="80"/>
        <v>0.33139825807130108</v>
      </c>
      <c r="R423" s="3">
        <f t="shared" si="81"/>
        <v>1.1866374106173514</v>
      </c>
      <c r="S423" s="3">
        <f t="shared" si="82"/>
        <v>-0.19661453947611646</v>
      </c>
      <c r="T423" s="3">
        <f t="shared" si="83"/>
        <v>-0.11245719734947654</v>
      </c>
      <c r="U423" s="3">
        <f t="shared" si="84"/>
        <v>-2.4454494374635032E-2</v>
      </c>
      <c r="V423" s="3">
        <f t="shared" si="85"/>
        <v>-0.1034264252296186</v>
      </c>
      <c r="W423" s="3">
        <f t="shared" si="86"/>
        <v>0.14423332988363924</v>
      </c>
      <c r="X423" s="3">
        <f t="shared" si="87"/>
        <v>0.21654608794764418</v>
      </c>
      <c r="Y423" s="3">
        <f t="shared" si="88"/>
        <v>7.015069428975293E-2</v>
      </c>
      <c r="Z423" s="3">
        <f t="shared" si="89"/>
        <v>0.28716778624770678</v>
      </c>
      <c r="AA423" s="3">
        <f t="shared" si="90"/>
        <v>-1.7743730007496274E-2</v>
      </c>
      <c r="AB423" s="3">
        <f t="shared" si="91"/>
        <v>-0.58017206601177063</v>
      </c>
    </row>
    <row r="424" spans="1:28" x14ac:dyDescent="0.25">
      <c r="A424" s="3">
        <v>1.23766247422787E+18</v>
      </c>
      <c r="B424" s="3">
        <v>236.73444000000001</v>
      </c>
      <c r="C424" s="3">
        <v>36.491458999999999</v>
      </c>
      <c r="D424" s="16">
        <v>0.64683619999999997</v>
      </c>
      <c r="E424" s="3">
        <v>2.3045599999999986</v>
      </c>
      <c r="F424" s="3">
        <v>3.9476200000000006</v>
      </c>
      <c r="G424" s="3">
        <v>4.9762400000000007</v>
      </c>
      <c r="H424" s="3">
        <v>5.2503099999999989</v>
      </c>
      <c r="I424" s="3">
        <v>1.643060000000002</v>
      </c>
      <c r="J424" s="3">
        <v>2.6716800000000021</v>
      </c>
      <c r="K424" s="3">
        <v>2.9457500000000003</v>
      </c>
      <c r="L424" s="3">
        <v>1.0286200000000001</v>
      </c>
      <c r="M424" s="3">
        <v>1.3026899999999983</v>
      </c>
      <c r="N424" s="3">
        <v>0.27406999999999826</v>
      </c>
      <c r="P424" s="3">
        <f t="shared" si="79"/>
        <v>1.440157260896997</v>
      </c>
      <c r="Q424" s="3">
        <f t="shared" si="80"/>
        <v>1.4301580203278095</v>
      </c>
      <c r="R424" s="3">
        <f t="shared" si="81"/>
        <v>1.1871959682038522</v>
      </c>
      <c r="S424" s="3">
        <f t="shared" si="82"/>
        <v>0.49119545777788914</v>
      </c>
      <c r="T424" s="3">
        <f t="shared" si="83"/>
        <v>0.71868337698656071</v>
      </c>
      <c r="U424" s="3">
        <f t="shared" si="84"/>
        <v>0.91146617006060293</v>
      </c>
      <c r="V424" s="3">
        <f t="shared" si="85"/>
        <v>0.75510629253926709</v>
      </c>
      <c r="W424" s="3">
        <f t="shared" si="86"/>
        <v>0.60779484489974078</v>
      </c>
      <c r="X424" s="3">
        <f t="shared" si="87"/>
        <v>0.80072804607746328</v>
      </c>
      <c r="Y424" s="3">
        <f t="shared" si="88"/>
        <v>0.52934983530069113</v>
      </c>
      <c r="Z424" s="3">
        <f t="shared" si="89"/>
        <v>0.94890741065831552</v>
      </c>
      <c r="AA424" s="3">
        <f t="shared" si="90"/>
        <v>0.36415171721065576</v>
      </c>
      <c r="AB424" s="3">
        <f t="shared" si="91"/>
        <v>-0.77044732953643369</v>
      </c>
    </row>
    <row r="425" spans="1:28" x14ac:dyDescent="0.25">
      <c r="A425" s="3">
        <v>1.2376624731541299E+18</v>
      </c>
      <c r="B425" s="3">
        <v>236.29131000000001</v>
      </c>
      <c r="C425" s="3">
        <v>35.892977999999999</v>
      </c>
      <c r="D425" s="16">
        <v>0.64851650000000005</v>
      </c>
      <c r="E425" s="3">
        <v>0.78732000000000113</v>
      </c>
      <c r="F425" s="3">
        <v>2.5596999999999994</v>
      </c>
      <c r="G425" s="3">
        <v>3.8198399999999992</v>
      </c>
      <c r="H425" s="3">
        <v>4.4039999999999999</v>
      </c>
      <c r="I425" s="3">
        <v>1.7723799999999983</v>
      </c>
      <c r="J425" s="3">
        <v>3.0325199999999981</v>
      </c>
      <c r="K425" s="3">
        <v>3.6166799999999988</v>
      </c>
      <c r="L425" s="3">
        <v>1.2601399999999998</v>
      </c>
      <c r="M425" s="3">
        <v>1.8443000000000005</v>
      </c>
      <c r="N425" s="3">
        <v>0.58416000000000068</v>
      </c>
      <c r="P425" s="3">
        <f t="shared" si="79"/>
        <v>7.6749498532841562E-2</v>
      </c>
      <c r="Q425" s="3">
        <f t="shared" si="80"/>
        <v>-0.68849962492216632</v>
      </c>
      <c r="R425" s="3">
        <f t="shared" si="81"/>
        <v>1.1937776253749421</v>
      </c>
      <c r="S425" s="3">
        <f t="shared" si="82"/>
        <v>-1.0023111973923742</v>
      </c>
      <c r="T425" s="3">
        <f t="shared" si="83"/>
        <v>-0.51589888264556816</v>
      </c>
      <c r="U425" s="3">
        <f t="shared" si="84"/>
        <v>-2.4705457021119228E-2</v>
      </c>
      <c r="V425" s="3">
        <f t="shared" si="85"/>
        <v>0.10734148940915313</v>
      </c>
      <c r="W425" s="3">
        <f t="shared" si="86"/>
        <v>0.86220971194502161</v>
      </c>
      <c r="X425" s="3">
        <f t="shared" si="87"/>
        <v>1.2616359235707599</v>
      </c>
      <c r="Y425" s="3">
        <f t="shared" si="88"/>
        <v>1.2577994491430036</v>
      </c>
      <c r="Z425" s="3">
        <f t="shared" si="89"/>
        <v>1.6398958548381057</v>
      </c>
      <c r="AA425" s="3">
        <f t="shared" si="90"/>
        <v>1.4684087946108371</v>
      </c>
      <c r="AB425" s="3">
        <f t="shared" si="91"/>
        <v>0.94424190226697058</v>
      </c>
    </row>
    <row r="426" spans="1:28" x14ac:dyDescent="0.25">
      <c r="A426" s="3">
        <v>1.2376614659861299E+18</v>
      </c>
      <c r="B426" s="3">
        <v>235.85878</v>
      </c>
      <c r="C426" s="3">
        <v>35.840904999999999</v>
      </c>
      <c r="D426" s="16">
        <v>0.65060560000000001</v>
      </c>
      <c r="E426" s="3">
        <v>1.77149</v>
      </c>
      <c r="F426" s="3">
        <v>3.9548800000000028</v>
      </c>
      <c r="G426" s="3">
        <v>5.2367200000000018</v>
      </c>
      <c r="H426" s="3">
        <v>5.8765999999999998</v>
      </c>
      <c r="I426" s="3">
        <v>2.1833900000000028</v>
      </c>
      <c r="J426" s="3">
        <v>3.4652300000000018</v>
      </c>
      <c r="K426" s="3">
        <v>4.1051099999999998</v>
      </c>
      <c r="L426" s="3">
        <v>1.281839999999999</v>
      </c>
      <c r="M426" s="3">
        <v>1.921719999999997</v>
      </c>
      <c r="N426" s="3">
        <v>0.63987999999999801</v>
      </c>
      <c r="P426" s="3">
        <f t="shared" si="79"/>
        <v>-1.2540445335917991</v>
      </c>
      <c r="Q426" s="3">
        <f t="shared" si="80"/>
        <v>-0.8728410819794532</v>
      </c>
      <c r="R426" s="3">
        <f t="shared" si="81"/>
        <v>1.201960533186716</v>
      </c>
      <c r="S426" s="3">
        <f t="shared" si="82"/>
        <v>-3.3536023511565073E-2</v>
      </c>
      <c r="T426" s="3">
        <f t="shared" si="83"/>
        <v>0.72514129041451914</v>
      </c>
      <c r="U426" s="3">
        <f t="shared" si="84"/>
        <v>1.1223395576619932</v>
      </c>
      <c r="V426" s="3">
        <f t="shared" si="85"/>
        <v>1.2344680140743549</v>
      </c>
      <c r="W426" s="3">
        <f t="shared" si="86"/>
        <v>1.6708012252784969</v>
      </c>
      <c r="X426" s="3">
        <f t="shared" si="87"/>
        <v>1.8143447354267854</v>
      </c>
      <c r="Y426" s="3">
        <f t="shared" si="88"/>
        <v>1.788103124472773</v>
      </c>
      <c r="Z426" s="3">
        <f t="shared" si="89"/>
        <v>1.7046610986127295</v>
      </c>
      <c r="AA426" s="3">
        <f t="shared" si="90"/>
        <v>1.6262559224931099</v>
      </c>
      <c r="AB426" s="3">
        <f t="shared" si="91"/>
        <v>1.2523540116419274</v>
      </c>
    </row>
    <row r="427" spans="1:28" x14ac:dyDescent="0.25">
      <c r="A427" s="3">
        <v>1.2376614659862001E+18</v>
      </c>
      <c r="B427" s="3">
        <v>235.98567</v>
      </c>
      <c r="C427" s="3">
        <v>35.785175000000002</v>
      </c>
      <c r="D427" s="16">
        <v>0.65082850000000003</v>
      </c>
      <c r="E427" s="3">
        <v>3.226899999999997</v>
      </c>
      <c r="F427" s="3">
        <v>5.3853799999999978</v>
      </c>
      <c r="G427" s="3">
        <v>6.6435699999999969</v>
      </c>
      <c r="H427" s="3">
        <v>7.0639699999999976</v>
      </c>
      <c r="I427" s="3">
        <v>2.1584800000000008</v>
      </c>
      <c r="J427" s="3">
        <v>3.4166699999999999</v>
      </c>
      <c r="K427" s="3">
        <v>3.8370700000000006</v>
      </c>
      <c r="L427" s="3">
        <v>1.258189999999999</v>
      </c>
      <c r="M427" s="3">
        <v>1.6785899999999998</v>
      </c>
      <c r="N427" s="3">
        <v>0.42040000000000077</v>
      </c>
      <c r="P427" s="3">
        <f t="shared" si="79"/>
        <v>-0.86363356848812023</v>
      </c>
      <c r="Q427" s="3">
        <f t="shared" si="80"/>
        <v>-1.0701285323242007</v>
      </c>
      <c r="R427" s="3">
        <f t="shared" si="81"/>
        <v>1.2028336221490656</v>
      </c>
      <c r="S427" s="3">
        <f t="shared" si="82"/>
        <v>1.3991078040973512</v>
      </c>
      <c r="T427" s="3">
        <f t="shared" si="83"/>
        <v>1.9975993012535824</v>
      </c>
      <c r="U427" s="3">
        <f t="shared" si="84"/>
        <v>2.2612647163959214</v>
      </c>
      <c r="V427" s="3">
        <f t="shared" si="85"/>
        <v>2.1432797902469192</v>
      </c>
      <c r="W427" s="3">
        <f t="shared" si="86"/>
        <v>1.621795082855835</v>
      </c>
      <c r="X427" s="3">
        <f t="shared" si="87"/>
        <v>1.7523181127378495</v>
      </c>
      <c r="Y427" s="3">
        <f t="shared" si="88"/>
        <v>1.4970837416842657</v>
      </c>
      <c r="Z427" s="3">
        <f t="shared" si="89"/>
        <v>1.6340759366187247</v>
      </c>
      <c r="AA427" s="3">
        <f t="shared" si="90"/>
        <v>1.1305523290803188</v>
      </c>
      <c r="AB427" s="3">
        <f t="shared" si="91"/>
        <v>3.8706384836150069E-2</v>
      </c>
    </row>
    <row r="428" spans="1:28" x14ac:dyDescent="0.25">
      <c r="A428" s="3">
        <v>1.2376614659862001E+18</v>
      </c>
      <c r="B428" s="3">
        <v>235.98567</v>
      </c>
      <c r="C428" s="3">
        <v>35.785175000000002</v>
      </c>
      <c r="D428" s="16">
        <v>0.65089680000000005</v>
      </c>
      <c r="E428" s="3">
        <v>3.226899999999997</v>
      </c>
      <c r="F428" s="3">
        <v>5.3853799999999978</v>
      </c>
      <c r="G428" s="3">
        <v>6.6435699999999969</v>
      </c>
      <c r="H428" s="3">
        <v>7.0639699999999976</v>
      </c>
      <c r="I428" s="3">
        <v>2.1584800000000008</v>
      </c>
      <c r="J428" s="3">
        <v>3.4166699999999999</v>
      </c>
      <c r="K428" s="3">
        <v>3.8370700000000006</v>
      </c>
      <c r="L428" s="3">
        <v>1.258189999999999</v>
      </c>
      <c r="M428" s="3">
        <v>1.6785899999999998</v>
      </c>
      <c r="N428" s="3">
        <v>0.42040000000000077</v>
      </c>
      <c r="P428" s="3">
        <f t="shared" si="79"/>
        <v>-0.86363356848812023</v>
      </c>
      <c r="Q428" s="3">
        <f t="shared" si="80"/>
        <v>-1.0701285323242007</v>
      </c>
      <c r="R428" s="3">
        <f t="shared" si="81"/>
        <v>1.2031011500814499</v>
      </c>
      <c r="S428" s="3">
        <f t="shared" si="82"/>
        <v>1.3991078040973512</v>
      </c>
      <c r="T428" s="3">
        <f t="shared" si="83"/>
        <v>1.9975993012535824</v>
      </c>
      <c r="U428" s="3">
        <f t="shared" si="84"/>
        <v>2.2612647163959214</v>
      </c>
      <c r="V428" s="3">
        <f t="shared" si="85"/>
        <v>2.1432797902469192</v>
      </c>
      <c r="W428" s="3">
        <f t="shared" si="86"/>
        <v>1.621795082855835</v>
      </c>
      <c r="X428" s="3">
        <f t="shared" si="87"/>
        <v>1.7523181127378495</v>
      </c>
      <c r="Y428" s="3">
        <f t="shared" si="88"/>
        <v>1.4970837416842657</v>
      </c>
      <c r="Z428" s="3">
        <f t="shared" si="89"/>
        <v>1.6340759366187247</v>
      </c>
      <c r="AA428" s="3">
        <f t="shared" si="90"/>
        <v>1.1305523290803188</v>
      </c>
      <c r="AB428" s="3">
        <f t="shared" si="91"/>
        <v>3.8706384836150069E-2</v>
      </c>
    </row>
    <row r="429" spans="1:28" x14ac:dyDescent="0.25">
      <c r="A429" s="3">
        <v>1.2376614659863301E+18</v>
      </c>
      <c r="B429" s="3">
        <v>236.41499999999999</v>
      </c>
      <c r="C429" s="3">
        <v>35.778846999999999</v>
      </c>
      <c r="D429" s="16">
        <v>0.65719640000000001</v>
      </c>
      <c r="E429" s="3">
        <v>1.2567500000000003</v>
      </c>
      <c r="F429" s="3">
        <v>3.7281399999999998</v>
      </c>
      <c r="G429" s="3">
        <v>4.8813999999999993</v>
      </c>
      <c r="H429" s="3">
        <v>5.4522000000000013</v>
      </c>
      <c r="I429" s="3">
        <v>2.4713899999999995</v>
      </c>
      <c r="J429" s="3">
        <v>3.624649999999999</v>
      </c>
      <c r="K429" s="3">
        <v>4.195450000000001</v>
      </c>
      <c r="L429" s="3">
        <v>1.1532599999999995</v>
      </c>
      <c r="M429" s="3">
        <v>1.7240600000000015</v>
      </c>
      <c r="N429" s="3">
        <v>0.57080000000000197</v>
      </c>
      <c r="P429" s="3">
        <f t="shared" si="79"/>
        <v>0.45731480922451062</v>
      </c>
      <c r="Q429" s="3">
        <f t="shared" si="80"/>
        <v>-1.0925300213926075</v>
      </c>
      <c r="R429" s="3">
        <f t="shared" si="81"/>
        <v>1.2277763911187629</v>
      </c>
      <c r="S429" s="3">
        <f t="shared" si="82"/>
        <v>-0.54022423083693372</v>
      </c>
      <c r="T429" s="3">
        <f t="shared" si="83"/>
        <v>0.52345158095792765</v>
      </c>
      <c r="U429" s="3">
        <f t="shared" si="84"/>
        <v>0.83468779137465365</v>
      </c>
      <c r="V429" s="3">
        <f t="shared" si="85"/>
        <v>0.90963269079042841</v>
      </c>
      <c r="W429" s="3">
        <f t="shared" si="86"/>
        <v>2.2373917117387672</v>
      </c>
      <c r="X429" s="3">
        <f t="shared" si="87"/>
        <v>2.0179749699628147</v>
      </c>
      <c r="Y429" s="3">
        <f t="shared" si="88"/>
        <v>1.8861880783644094</v>
      </c>
      <c r="Z429" s="3">
        <f t="shared" si="89"/>
        <v>1.320904644947227</v>
      </c>
      <c r="AA429" s="3">
        <f t="shared" si="90"/>
        <v>1.2232584632162982</v>
      </c>
      <c r="AB429" s="3">
        <f t="shared" si="91"/>
        <v>0.8703657755395976</v>
      </c>
    </row>
    <row r="430" spans="1:28" x14ac:dyDescent="0.25">
      <c r="A430" s="3">
        <v>1.2376624731539999E+18</v>
      </c>
      <c r="B430" s="3">
        <v>235.88373999999999</v>
      </c>
      <c r="C430" s="3">
        <v>36.154041999999997</v>
      </c>
      <c r="D430" s="16">
        <v>0.66040239999999995</v>
      </c>
      <c r="E430" s="3">
        <v>4.1206400000000016</v>
      </c>
      <c r="F430" s="3">
        <v>5.7731299999999983</v>
      </c>
      <c r="G430" s="3">
        <v>6.9352899999999984</v>
      </c>
      <c r="H430" s="3">
        <v>7.3555400000000013</v>
      </c>
      <c r="I430" s="3">
        <v>1.6524899999999967</v>
      </c>
      <c r="J430" s="3">
        <v>2.8146499999999968</v>
      </c>
      <c r="K430" s="3">
        <v>3.2348999999999997</v>
      </c>
      <c r="L430" s="3">
        <v>1.1621600000000001</v>
      </c>
      <c r="M430" s="3">
        <v>1.582410000000003</v>
      </c>
      <c r="N430" s="3">
        <v>0.4202500000000029</v>
      </c>
      <c r="P430" s="3">
        <f t="shared" si="79"/>
        <v>-1.1772484291786471</v>
      </c>
      <c r="Q430" s="3">
        <f t="shared" si="80"/>
        <v>0.23568216113208573</v>
      </c>
      <c r="R430" s="3">
        <f t="shared" si="81"/>
        <v>1.240334144430977</v>
      </c>
      <c r="S430" s="3">
        <f t="shared" si="82"/>
        <v>2.2788675243735632</v>
      </c>
      <c r="T430" s="3">
        <f t="shared" si="83"/>
        <v>2.3425105866103451</v>
      </c>
      <c r="U430" s="3">
        <f t="shared" si="84"/>
        <v>2.4974286623076138</v>
      </c>
      <c r="V430" s="3">
        <f t="shared" si="85"/>
        <v>2.3664471682155712</v>
      </c>
      <c r="W430" s="3">
        <f t="shared" si="86"/>
        <v>0.6263467486751485</v>
      </c>
      <c r="X430" s="3">
        <f t="shared" si="87"/>
        <v>0.98334637898183885</v>
      </c>
      <c r="Y430" s="3">
        <f t="shared" si="88"/>
        <v>0.84328900308645804</v>
      </c>
      <c r="Z430" s="3">
        <f t="shared" si="89"/>
        <v>1.3474673486151629</v>
      </c>
      <c r="AA430" s="3">
        <f t="shared" si="90"/>
        <v>0.93445653006563001</v>
      </c>
      <c r="AB430" s="3">
        <f t="shared" si="91"/>
        <v>3.7876937305540044E-2</v>
      </c>
    </row>
    <row r="431" spans="1:28" x14ac:dyDescent="0.25">
      <c r="A431" s="3">
        <v>1.2376614654493299E+18</v>
      </c>
      <c r="B431" s="3">
        <v>235.80443</v>
      </c>
      <c r="C431" s="3">
        <v>35.610607999999999</v>
      </c>
      <c r="D431" s="16">
        <v>0.66201560000000004</v>
      </c>
      <c r="E431" s="3">
        <v>0.6565700000000021</v>
      </c>
      <c r="F431" s="3">
        <v>1.7843900000000019</v>
      </c>
      <c r="G431" s="3">
        <v>2.7487500000000011</v>
      </c>
      <c r="H431" s="3">
        <v>3.1132500000000007</v>
      </c>
      <c r="I431" s="3">
        <v>1.1278199999999998</v>
      </c>
      <c r="J431" s="3">
        <v>2.092179999999999</v>
      </c>
      <c r="K431" s="3">
        <v>2.4566799999999986</v>
      </c>
      <c r="L431" s="3">
        <v>0.96435999999999922</v>
      </c>
      <c r="M431" s="3">
        <v>1.3288599999999988</v>
      </c>
      <c r="N431" s="3">
        <v>0.3644999999999996</v>
      </c>
      <c r="P431" s="3">
        <f t="shared" si="79"/>
        <v>-1.4212668202446814</v>
      </c>
      <c r="Q431" s="3">
        <f t="shared" si="80"/>
        <v>-1.6881058936077831</v>
      </c>
      <c r="R431" s="3">
        <f t="shared" si="81"/>
        <v>1.2466529740140293</v>
      </c>
      <c r="S431" s="3">
        <f t="shared" si="82"/>
        <v>-1.1310159475726429</v>
      </c>
      <c r="T431" s="3">
        <f t="shared" si="83"/>
        <v>-1.2055524446054664</v>
      </c>
      <c r="U431" s="3">
        <f t="shared" si="84"/>
        <v>-0.89181378290399604</v>
      </c>
      <c r="V431" s="3">
        <f t="shared" si="85"/>
        <v>-0.88059723238332843</v>
      </c>
      <c r="W431" s="3">
        <f t="shared" si="86"/>
        <v>-0.40585127400232213</v>
      </c>
      <c r="X431" s="3">
        <f t="shared" si="87"/>
        <v>6.0521541789220062E-2</v>
      </c>
      <c r="Y431" s="3">
        <f t="shared" si="88"/>
        <v>-1.6487079778354317E-3</v>
      </c>
      <c r="Z431" s="3">
        <f t="shared" si="89"/>
        <v>0.75711872102893596</v>
      </c>
      <c r="AA431" s="3">
        <f t="shared" si="90"/>
        <v>0.41750820567202679</v>
      </c>
      <c r="AB431" s="3">
        <f t="shared" si="91"/>
        <v>-0.27040106157557414</v>
      </c>
    </row>
    <row r="432" spans="1:28" x14ac:dyDescent="0.25">
      <c r="A432" s="3">
        <v>1.2376624731541299E+18</v>
      </c>
      <c r="B432" s="3">
        <v>236.28149999999999</v>
      </c>
      <c r="C432" s="3">
        <v>35.901161000000002</v>
      </c>
      <c r="D432" s="16">
        <v>0.66563930000000004</v>
      </c>
      <c r="E432" s="3">
        <v>0.84967999999999932</v>
      </c>
      <c r="F432" s="3">
        <v>2.0799900000000022</v>
      </c>
      <c r="G432" s="3">
        <v>3.1881599999999999</v>
      </c>
      <c r="H432" s="3">
        <v>3.5685000000000002</v>
      </c>
      <c r="I432" s="3">
        <v>1.2303100000000029</v>
      </c>
      <c r="J432" s="3">
        <v>2.3384800000000006</v>
      </c>
      <c r="K432" s="3">
        <v>2.7188200000000009</v>
      </c>
      <c r="L432" s="3">
        <v>1.1081699999999977</v>
      </c>
      <c r="M432" s="3">
        <v>1.488509999999998</v>
      </c>
      <c r="N432" s="3">
        <v>0.38034000000000034</v>
      </c>
      <c r="P432" s="3">
        <f t="shared" si="79"/>
        <v>4.6566414226172866E-2</v>
      </c>
      <c r="Q432" s="3">
        <f t="shared" si="80"/>
        <v>-0.65953132766446576</v>
      </c>
      <c r="R432" s="3">
        <f t="shared" si="81"/>
        <v>1.2608468388541638</v>
      </c>
      <c r="S432" s="3">
        <f t="shared" si="82"/>
        <v>-0.94092666032743055</v>
      </c>
      <c r="T432" s="3">
        <f t="shared" si="83"/>
        <v>-0.94261040475644242</v>
      </c>
      <c r="U432" s="3">
        <f t="shared" si="84"/>
        <v>-0.53608637486527433</v>
      </c>
      <c r="V432" s="3">
        <f t="shared" si="85"/>
        <v>-0.53214935084466719</v>
      </c>
      <c r="W432" s="3">
        <f t="shared" si="86"/>
        <v>-0.20421981928942112</v>
      </c>
      <c r="X432" s="3">
        <f t="shared" si="87"/>
        <v>0.37512527260232525</v>
      </c>
      <c r="Y432" s="3">
        <f t="shared" si="88"/>
        <v>0.28296486090807799</v>
      </c>
      <c r="Z432" s="3">
        <f t="shared" si="89"/>
        <v>1.1863302282745072</v>
      </c>
      <c r="AA432" s="3">
        <f t="shared" si="90"/>
        <v>0.74300929022906481</v>
      </c>
      <c r="AB432" s="3">
        <f t="shared" si="91"/>
        <v>-0.18281140234190976</v>
      </c>
    </row>
    <row r="433" spans="1:28" x14ac:dyDescent="0.25">
      <c r="A433" s="3">
        <v>1.2376624736909399E+18</v>
      </c>
      <c r="B433" s="3">
        <v>236.27891</v>
      </c>
      <c r="C433" s="3">
        <v>36.204389999999997</v>
      </c>
      <c r="D433" s="16">
        <v>0.68821540000000003</v>
      </c>
      <c r="E433" s="3">
        <v>3.1287899999999986</v>
      </c>
      <c r="F433" s="3">
        <v>4.5872899999999994</v>
      </c>
      <c r="G433" s="3">
        <v>5.9400699999999986</v>
      </c>
      <c r="H433" s="3">
        <v>6.4416399999999996</v>
      </c>
      <c r="I433" s="3">
        <v>1.4585000000000008</v>
      </c>
      <c r="J433" s="3">
        <v>2.81128</v>
      </c>
      <c r="K433" s="3">
        <v>3.312850000000001</v>
      </c>
      <c r="L433" s="3">
        <v>1.3527799999999992</v>
      </c>
      <c r="M433" s="3">
        <v>1.8543500000000002</v>
      </c>
      <c r="N433" s="3">
        <v>0.50157000000000096</v>
      </c>
      <c r="P433" s="3">
        <f t="shared" si="79"/>
        <v>3.8597587686511163E-2</v>
      </c>
      <c r="Q433" s="3">
        <f t="shared" si="80"/>
        <v>0.41391701758207333</v>
      </c>
      <c r="R433" s="3">
        <f t="shared" si="81"/>
        <v>1.3492763755203778</v>
      </c>
      <c r="S433" s="3">
        <f t="shared" si="82"/>
        <v>1.3025324844783375</v>
      </c>
      <c r="T433" s="3">
        <f t="shared" si="83"/>
        <v>1.2876824792538974</v>
      </c>
      <c r="U433" s="3">
        <f t="shared" si="84"/>
        <v>1.6917414202596459</v>
      </c>
      <c r="V433" s="3">
        <f t="shared" si="85"/>
        <v>1.6669490486369145</v>
      </c>
      <c r="W433" s="3">
        <f t="shared" si="86"/>
        <v>0.24470477482644457</v>
      </c>
      <c r="X433" s="3">
        <f t="shared" si="87"/>
        <v>0.97904181311566285</v>
      </c>
      <c r="Y433" s="3">
        <f t="shared" si="88"/>
        <v>0.92792174778264003</v>
      </c>
      <c r="Z433" s="3">
        <f t="shared" si="89"/>
        <v>1.9163867388602871</v>
      </c>
      <c r="AA433" s="3">
        <f t="shared" si="90"/>
        <v>1.4888991541460588</v>
      </c>
      <c r="AB433" s="3">
        <f t="shared" si="91"/>
        <v>0.48754809190661852</v>
      </c>
    </row>
    <row r="434" spans="1:28" x14ac:dyDescent="0.25">
      <c r="A434" s="3">
        <v>1.2376614659863301E+18</v>
      </c>
      <c r="B434" s="3">
        <v>236.36395999999999</v>
      </c>
      <c r="C434" s="3">
        <v>35.632443000000002</v>
      </c>
      <c r="D434" s="16">
        <v>0.69101109999999999</v>
      </c>
      <c r="E434" s="3">
        <v>1.167469999999998</v>
      </c>
      <c r="F434" s="3">
        <v>2.4545299999999983</v>
      </c>
      <c r="G434" s="3">
        <v>3.4506699999999988</v>
      </c>
      <c r="H434" s="3">
        <v>3.6990899999999982</v>
      </c>
      <c r="I434" s="3">
        <v>1.2870600000000003</v>
      </c>
      <c r="J434" s="3">
        <v>2.2832000000000008</v>
      </c>
      <c r="K434" s="3">
        <v>2.5316200000000002</v>
      </c>
      <c r="L434" s="3">
        <v>0.99614000000000047</v>
      </c>
      <c r="M434" s="3">
        <v>1.2445599999999999</v>
      </c>
      <c r="N434" s="3">
        <v>0.24841999999999942</v>
      </c>
      <c r="P434" s="3">
        <f t="shared" si="79"/>
        <v>0.30027662135398142</v>
      </c>
      <c r="Q434" s="3">
        <f t="shared" si="80"/>
        <v>-1.6108087201235128</v>
      </c>
      <c r="R434" s="3">
        <f t="shared" si="81"/>
        <v>1.3602270027614749</v>
      </c>
      <c r="S434" s="3">
        <f t="shared" si="82"/>
        <v>-0.62810767325448447</v>
      </c>
      <c r="T434" s="3">
        <f t="shared" si="83"/>
        <v>-0.60944967537534522</v>
      </c>
      <c r="U434" s="3">
        <f t="shared" si="84"/>
        <v>-0.32356958670787067</v>
      </c>
      <c r="V434" s="3">
        <f t="shared" si="85"/>
        <v>-0.43219589922438573</v>
      </c>
      <c r="W434" s="3">
        <f t="shared" si="86"/>
        <v>-9.257395086365991E-2</v>
      </c>
      <c r="X434" s="3">
        <f t="shared" si="87"/>
        <v>0.30451506456599448</v>
      </c>
      <c r="Y434" s="3">
        <f t="shared" si="88"/>
        <v>7.9715985896852179E-2</v>
      </c>
      <c r="Z434" s="3">
        <f t="shared" si="89"/>
        <v>0.85196846513758584</v>
      </c>
      <c r="AA434" s="3">
        <f t="shared" si="90"/>
        <v>0.24563384658553697</v>
      </c>
      <c r="AB434" s="3">
        <f t="shared" si="91"/>
        <v>-0.91228285727275216</v>
      </c>
    </row>
    <row r="435" spans="1:28" x14ac:dyDescent="0.25">
      <c r="A435" s="3">
        <v>1.2376623378636401E+18</v>
      </c>
      <c r="B435" s="3">
        <v>236.10209</v>
      </c>
      <c r="C435" s="3">
        <v>35.663753999999997</v>
      </c>
      <c r="D435" s="16">
        <v>0.69193020000000005</v>
      </c>
      <c r="E435" s="3">
        <v>0.51440999999999804</v>
      </c>
      <c r="F435" s="3">
        <v>2.8251399999999975</v>
      </c>
      <c r="G435" s="3">
        <v>4.1518899999999981</v>
      </c>
      <c r="H435" s="3">
        <v>4.9089099999999988</v>
      </c>
      <c r="I435" s="3">
        <v>2.3107299999999995</v>
      </c>
      <c r="J435" s="3">
        <v>3.63748</v>
      </c>
      <c r="K435" s="3">
        <v>4.3945000000000007</v>
      </c>
      <c r="L435" s="3">
        <v>1.3267500000000005</v>
      </c>
      <c r="M435" s="3">
        <v>2.0837700000000012</v>
      </c>
      <c r="N435" s="3">
        <v>0.75702000000000069</v>
      </c>
      <c r="P435" s="3">
        <f t="shared" si="79"/>
        <v>-0.50543635391351882</v>
      </c>
      <c r="Q435" s="3">
        <f t="shared" si="80"/>
        <v>-1.4999659539698473</v>
      </c>
      <c r="R435" s="3">
        <f t="shared" si="81"/>
        <v>1.363827074835479</v>
      </c>
      <c r="S435" s="3">
        <f t="shared" si="82"/>
        <v>-1.2709522174436001</v>
      </c>
      <c r="T435" s="3">
        <f t="shared" si="83"/>
        <v>-0.27978475863499858</v>
      </c>
      <c r="U435" s="3">
        <f t="shared" si="84"/>
        <v>0.24410791964135428</v>
      </c>
      <c r="V435" s="3">
        <f t="shared" si="85"/>
        <v>0.49379908384668247</v>
      </c>
      <c r="W435" s="3">
        <f t="shared" si="86"/>
        <v>1.9213207827293639</v>
      </c>
      <c r="X435" s="3">
        <f t="shared" si="87"/>
        <v>2.0343629759162556</v>
      </c>
      <c r="Y435" s="3">
        <f t="shared" si="88"/>
        <v>2.1023028677393252</v>
      </c>
      <c r="Z435" s="3">
        <f t="shared" si="89"/>
        <v>1.838698292065198</v>
      </c>
      <c r="AA435" s="3">
        <f t="shared" si="90"/>
        <v>1.956650227237674</v>
      </c>
      <c r="AB435" s="3">
        <f t="shared" si="91"/>
        <v>1.9000972365555131</v>
      </c>
    </row>
    <row r="436" spans="1:28" x14ac:dyDescent="0.25">
      <c r="A436" s="3">
        <v>1.23766146598627E+18</v>
      </c>
      <c r="B436" s="3">
        <v>236.38502</v>
      </c>
      <c r="C436" s="3">
        <v>35.790709999999997</v>
      </c>
      <c r="D436" s="16">
        <v>0.69201120000000005</v>
      </c>
      <c r="E436" s="3">
        <v>-0.34051999999999794</v>
      </c>
      <c r="F436" s="3">
        <v>0.81522000000000006</v>
      </c>
      <c r="G436" s="3">
        <v>1.7955500000000022</v>
      </c>
      <c r="H436" s="3">
        <v>2.261370000000003</v>
      </c>
      <c r="I436" s="3">
        <v>1.155739999999998</v>
      </c>
      <c r="J436" s="3">
        <v>2.1360700000000001</v>
      </c>
      <c r="K436" s="3">
        <v>2.6018900000000009</v>
      </c>
      <c r="L436" s="3">
        <v>0.98033000000000214</v>
      </c>
      <c r="M436" s="3">
        <v>1.4461500000000029</v>
      </c>
      <c r="N436" s="3">
        <v>0.46582000000000079</v>
      </c>
      <c r="P436" s="3">
        <f t="shared" si="79"/>
        <v>0.36507333445261392</v>
      </c>
      <c r="Q436" s="3">
        <f t="shared" si="80"/>
        <v>-1.0505343095060202</v>
      </c>
      <c r="R436" s="3">
        <f t="shared" si="81"/>
        <v>1.3641443480788631</v>
      </c>
      <c r="S436" s="3">
        <f t="shared" si="82"/>
        <v>-2.1125090210506161</v>
      </c>
      <c r="T436" s="3">
        <f t="shared" si="83"/>
        <v>-2.0676483064474112</v>
      </c>
      <c r="U436" s="3">
        <f t="shared" si="84"/>
        <v>-1.6634834429993743</v>
      </c>
      <c r="V436" s="3">
        <f t="shared" si="85"/>
        <v>-1.5326253077818002</v>
      </c>
      <c r="W436" s="3">
        <f t="shared" si="86"/>
        <v>-0.35092347406492674</v>
      </c>
      <c r="X436" s="3">
        <f t="shared" si="87"/>
        <v>0.1165830835894127</v>
      </c>
      <c r="Y436" s="3">
        <f t="shared" si="88"/>
        <v>0.15601031520795758</v>
      </c>
      <c r="Z436" s="3">
        <f t="shared" si="89"/>
        <v>0.80478235895893457</v>
      </c>
      <c r="AA436" s="3">
        <f t="shared" si="90"/>
        <v>0.65664395391942121</v>
      </c>
      <c r="AB436" s="3">
        <f t="shared" si="91"/>
        <v>0.289863097108426</v>
      </c>
    </row>
    <row r="437" spans="1:28" x14ac:dyDescent="0.25">
      <c r="A437" s="3">
        <v>1.23766146598627E+18</v>
      </c>
      <c r="B437" s="3">
        <v>236.24475000000001</v>
      </c>
      <c r="C437" s="3">
        <v>35.791820999999999</v>
      </c>
      <c r="D437" s="16">
        <v>0.69334110000000004</v>
      </c>
      <c r="E437" s="3">
        <v>-0.48896999999999835</v>
      </c>
      <c r="F437" s="3">
        <v>1.8544000000000018</v>
      </c>
      <c r="G437" s="3">
        <v>3.0452300000000001</v>
      </c>
      <c r="H437" s="3">
        <v>3.6361899999999991</v>
      </c>
      <c r="I437" s="3">
        <v>2.3433700000000002</v>
      </c>
      <c r="J437" s="3">
        <v>3.5341999999999985</v>
      </c>
      <c r="K437" s="3">
        <v>4.1251599999999975</v>
      </c>
      <c r="L437" s="3">
        <v>1.1908299999999983</v>
      </c>
      <c r="M437" s="3">
        <v>1.7817899999999973</v>
      </c>
      <c r="N437" s="3">
        <v>0.59095999999999904</v>
      </c>
      <c r="P437" s="3">
        <f t="shared" si="79"/>
        <v>-6.6504773160961372E-2</v>
      </c>
      <c r="Q437" s="3">
        <f t="shared" si="80"/>
        <v>-1.0466013047090823</v>
      </c>
      <c r="R437" s="3">
        <f t="shared" si="81"/>
        <v>1.369353504700795</v>
      </c>
      <c r="S437" s="3">
        <f t="shared" si="82"/>
        <v>-2.2586368999359783</v>
      </c>
      <c r="T437" s="3">
        <f t="shared" si="83"/>
        <v>-1.1432771664937271</v>
      </c>
      <c r="U437" s="3">
        <f t="shared" si="84"/>
        <v>-0.65179634603337366</v>
      </c>
      <c r="V437" s="3">
        <f t="shared" si="85"/>
        <v>-0.48033949449902935</v>
      </c>
      <c r="W437" s="3">
        <f t="shared" si="86"/>
        <v>1.9855343711948634</v>
      </c>
      <c r="X437" s="3">
        <f t="shared" si="87"/>
        <v>1.9024414439699386</v>
      </c>
      <c r="Y437" s="3">
        <f t="shared" si="88"/>
        <v>1.8098720344299022</v>
      </c>
      <c r="Z437" s="3">
        <f t="shared" si="89"/>
        <v>1.433035069307256</v>
      </c>
      <c r="AA437" s="3">
        <f t="shared" si="90"/>
        <v>1.3409607971434925</v>
      </c>
      <c r="AB437" s="3">
        <f t="shared" si="91"/>
        <v>0.98184352365514904</v>
      </c>
    </row>
    <row r="438" spans="1:28" x14ac:dyDescent="0.25">
      <c r="A438" s="3">
        <v>1.23766247369107E+18</v>
      </c>
      <c r="B438" s="3">
        <v>236.71039999999999</v>
      </c>
      <c r="C438" s="3">
        <v>36.127265999999999</v>
      </c>
      <c r="D438" s="16">
        <v>0.69431100000000001</v>
      </c>
      <c r="E438" s="3">
        <v>-0.28641000000000005</v>
      </c>
      <c r="F438" s="3">
        <v>1.42089</v>
      </c>
      <c r="G438" s="3">
        <v>2.7821999999999996</v>
      </c>
      <c r="H438" s="3">
        <v>3.5128399999999971</v>
      </c>
      <c r="I438" s="3">
        <v>1.7073</v>
      </c>
      <c r="J438" s="3">
        <v>3.0686099999999996</v>
      </c>
      <c r="K438" s="3">
        <v>3.7992499999999971</v>
      </c>
      <c r="L438" s="3">
        <v>1.3613099999999996</v>
      </c>
      <c r="M438" s="3">
        <v>2.0919499999999971</v>
      </c>
      <c r="N438" s="3">
        <v>0.73063999999999751</v>
      </c>
      <c r="P438" s="3">
        <f t="shared" si="79"/>
        <v>1.3661917821272158</v>
      </c>
      <c r="Q438" s="3">
        <f t="shared" si="80"/>
        <v>0.14089355947353777</v>
      </c>
      <c r="R438" s="3">
        <f t="shared" si="81"/>
        <v>1.3731525580187975</v>
      </c>
      <c r="S438" s="3">
        <f t="shared" si="82"/>
        <v>-2.059245433805843</v>
      </c>
      <c r="T438" s="3">
        <f t="shared" si="83"/>
        <v>-1.5288928758812466</v>
      </c>
      <c r="U438" s="3">
        <f t="shared" si="84"/>
        <v>-0.86473410379133431</v>
      </c>
      <c r="V438" s="3">
        <f t="shared" si="85"/>
        <v>-0.57475145756941837</v>
      </c>
      <c r="W438" s="3">
        <f t="shared" si="86"/>
        <v>0.73417600062962651</v>
      </c>
      <c r="X438" s="3">
        <f t="shared" si="87"/>
        <v>1.3077343752355806</v>
      </c>
      <c r="Y438" s="3">
        <f t="shared" si="88"/>
        <v>1.4560213888374427</v>
      </c>
      <c r="Z438" s="3">
        <f t="shared" si="89"/>
        <v>1.9418451503532634</v>
      </c>
      <c r="AA438" s="3">
        <f t="shared" si="90"/>
        <v>1.9733279527101153</v>
      </c>
      <c r="AB438" s="3">
        <f t="shared" si="91"/>
        <v>1.7542250641701447</v>
      </c>
    </row>
    <row r="439" spans="1:28" x14ac:dyDescent="0.25">
      <c r="A439" s="3">
        <v>1.2376614659863301E+18</v>
      </c>
      <c r="B439" s="3">
        <v>236.44878</v>
      </c>
      <c r="C439" s="3">
        <v>35.648147999999999</v>
      </c>
      <c r="D439" s="16">
        <v>0.69724140000000001</v>
      </c>
      <c r="E439" s="3">
        <v>0.51691000000000287</v>
      </c>
      <c r="F439" s="3">
        <v>2.2605900000000005</v>
      </c>
      <c r="G439" s="3">
        <v>3.6416000000000004</v>
      </c>
      <c r="H439" s="3">
        <v>4.3151600000000023</v>
      </c>
      <c r="I439" s="3">
        <v>1.7436799999999977</v>
      </c>
      <c r="J439" s="3">
        <v>3.1246899999999975</v>
      </c>
      <c r="K439" s="3">
        <v>3.7982499999999995</v>
      </c>
      <c r="L439" s="3">
        <v>1.3810099999999998</v>
      </c>
      <c r="M439" s="3">
        <v>2.0545700000000018</v>
      </c>
      <c r="N439" s="3">
        <v>0.67356000000000193</v>
      </c>
      <c r="P439" s="3">
        <f t="shared" si="79"/>
        <v>0.56124799861063079</v>
      </c>
      <c r="Q439" s="3">
        <f t="shared" si="80"/>
        <v>-1.5552121041596902</v>
      </c>
      <c r="R439" s="3">
        <f t="shared" si="81"/>
        <v>1.3846307989127817</v>
      </c>
      <c r="S439" s="3">
        <f t="shared" si="82"/>
        <v>-1.2684913235586952</v>
      </c>
      <c r="T439" s="3">
        <f t="shared" si="83"/>
        <v>-0.78196313683785901</v>
      </c>
      <c r="U439" s="3">
        <f t="shared" si="84"/>
        <v>-0.16900088318079137</v>
      </c>
      <c r="V439" s="3">
        <f t="shared" si="85"/>
        <v>3.9343444827288521E-2</v>
      </c>
      <c r="W439" s="3">
        <f t="shared" si="86"/>
        <v>0.80574739610679147</v>
      </c>
      <c r="X439" s="3">
        <f t="shared" si="87"/>
        <v>1.3793664386704088</v>
      </c>
      <c r="Y439" s="3">
        <f t="shared" si="88"/>
        <v>1.4549356576675134</v>
      </c>
      <c r="Z439" s="3">
        <f t="shared" si="89"/>
        <v>2.0006412472362198</v>
      </c>
      <c r="AA439" s="3">
        <f t="shared" si="90"/>
        <v>1.8971160482895666</v>
      </c>
      <c r="AB439" s="3">
        <f t="shared" si="91"/>
        <v>1.43859263051756</v>
      </c>
    </row>
    <row r="440" spans="1:28" x14ac:dyDescent="0.25">
      <c r="A440" s="3">
        <v>1.2376624736910001E+18</v>
      </c>
      <c r="B440" s="3">
        <v>236.43575999999999</v>
      </c>
      <c r="C440" s="3">
        <v>36.223796999999998</v>
      </c>
      <c r="D440" s="16">
        <v>0.69747420000000004</v>
      </c>
      <c r="E440" s="3">
        <v>4.6349999999996783E-2</v>
      </c>
      <c r="F440" s="3">
        <v>1.6452599999999968</v>
      </c>
      <c r="G440" s="3">
        <v>2.7330199999999998</v>
      </c>
      <c r="H440" s="3">
        <v>3.4256699999999967</v>
      </c>
      <c r="I440" s="3">
        <v>1.5989100000000001</v>
      </c>
      <c r="J440" s="3">
        <v>2.686670000000003</v>
      </c>
      <c r="K440" s="3">
        <v>3.3793199999999999</v>
      </c>
      <c r="L440" s="3">
        <v>1.0877600000000029</v>
      </c>
      <c r="M440" s="3">
        <v>1.7804099999999998</v>
      </c>
      <c r="N440" s="3">
        <v>0.69264999999999688</v>
      </c>
      <c r="P440" s="3">
        <f t="shared" si="79"/>
        <v>0.52118849222199259</v>
      </c>
      <c r="Q440" s="3">
        <f t="shared" si="80"/>
        <v>0.48261892945791995</v>
      </c>
      <c r="R440" s="3">
        <f t="shared" si="81"/>
        <v>1.3855426657159895</v>
      </c>
      <c r="S440" s="3">
        <f t="shared" si="82"/>
        <v>-1.7316906141501174</v>
      </c>
      <c r="T440" s="3">
        <f t="shared" si="83"/>
        <v>-1.3293113282461837</v>
      </c>
      <c r="U440" s="3">
        <f t="shared" si="84"/>
        <v>-0.90454811332080398</v>
      </c>
      <c r="V440" s="3">
        <f t="shared" si="85"/>
        <v>-0.64147128586974855</v>
      </c>
      <c r="W440" s="3">
        <f t="shared" si="86"/>
        <v>0.52093731025660783</v>
      </c>
      <c r="X440" s="3">
        <f t="shared" si="87"/>
        <v>0.81987506160685308</v>
      </c>
      <c r="Y440" s="3">
        <f t="shared" si="88"/>
        <v>1.0000902986480027</v>
      </c>
      <c r="Z440" s="3">
        <f t="shared" si="89"/>
        <v>1.1254150842450243</v>
      </c>
      <c r="AA440" s="3">
        <f t="shared" si="90"/>
        <v>1.3381471955356758</v>
      </c>
      <c r="AB440" s="3">
        <f t="shared" si="91"/>
        <v>1.5441536529146642</v>
      </c>
    </row>
    <row r="441" spans="1:28" x14ac:dyDescent="0.25">
      <c r="A441" s="3">
        <v>1.23766247369087E+18</v>
      </c>
      <c r="B441" s="3">
        <v>236.19971000000001</v>
      </c>
      <c r="C441" s="3">
        <v>36.282226999999999</v>
      </c>
      <c r="D441" s="16">
        <v>0.70578620000000003</v>
      </c>
      <c r="E441" s="3">
        <v>1.625980000000002</v>
      </c>
      <c r="F441" s="3">
        <v>2.8793100000000003</v>
      </c>
      <c r="G441" s="3">
        <v>3.7526800000000016</v>
      </c>
      <c r="H441" s="3">
        <v>4.0086500000000029</v>
      </c>
      <c r="I441" s="3">
        <v>1.2533299999999983</v>
      </c>
      <c r="J441" s="3">
        <v>2.1266999999999996</v>
      </c>
      <c r="K441" s="3">
        <v>2.382670000000001</v>
      </c>
      <c r="L441" s="3">
        <v>0.87337000000000131</v>
      </c>
      <c r="M441" s="3">
        <v>1.1293400000000027</v>
      </c>
      <c r="N441" s="3">
        <v>0.25597000000000136</v>
      </c>
      <c r="P441" s="3">
        <f t="shared" si="79"/>
        <v>-0.20508235900909241</v>
      </c>
      <c r="Q441" s="3">
        <f t="shared" si="80"/>
        <v>0.68946453727497503</v>
      </c>
      <c r="R441" s="3">
        <f t="shared" si="81"/>
        <v>1.418100384222267</v>
      </c>
      <c r="S441" s="3">
        <f t="shared" si="82"/>
        <v>-0.17676989118828229</v>
      </c>
      <c r="T441" s="3">
        <f t="shared" si="83"/>
        <v>-0.2315994734569799</v>
      </c>
      <c r="U441" s="3">
        <f t="shared" si="84"/>
        <v>-7.9075300046721267E-2</v>
      </c>
      <c r="V441" s="3">
        <f t="shared" si="85"/>
        <v>-0.19525899376780201</v>
      </c>
      <c r="W441" s="3">
        <f t="shared" si="86"/>
        <v>-0.15893192693416786</v>
      </c>
      <c r="X441" s="3">
        <f t="shared" si="87"/>
        <v>0.10461460223448396</v>
      </c>
      <c r="Y441" s="3">
        <f t="shared" si="88"/>
        <v>-8.2003671864482305E-2</v>
      </c>
      <c r="Z441" s="3">
        <f t="shared" si="89"/>
        <v>0.48555238319238725</v>
      </c>
      <c r="AA441" s="3">
        <f t="shared" si="90"/>
        <v>1.0718500749888967E-2</v>
      </c>
      <c r="AB441" s="3">
        <f t="shared" si="91"/>
        <v>-0.87053399823144495</v>
      </c>
    </row>
    <row r="442" spans="1:28" x14ac:dyDescent="0.25">
      <c r="A442" s="3">
        <v>1.23766247369087E+18</v>
      </c>
      <c r="B442" s="3">
        <v>236.22808000000001</v>
      </c>
      <c r="C442" s="3">
        <v>36.353242000000002</v>
      </c>
      <c r="D442" s="16">
        <v>0.70619920000000003</v>
      </c>
      <c r="E442" s="3">
        <v>2.1623300000000008</v>
      </c>
      <c r="F442" s="3">
        <v>4.7226500000000016</v>
      </c>
      <c r="G442" s="3">
        <v>5.8367200000000032</v>
      </c>
      <c r="H442" s="3">
        <v>6.5749700000000004</v>
      </c>
      <c r="I442" s="3">
        <v>2.5603200000000008</v>
      </c>
      <c r="J442" s="3">
        <v>3.6743900000000025</v>
      </c>
      <c r="K442" s="3">
        <v>4.4126399999999997</v>
      </c>
      <c r="L442" s="3">
        <v>1.1140700000000017</v>
      </c>
      <c r="M442" s="3">
        <v>1.8523199999999989</v>
      </c>
      <c r="N442" s="3">
        <v>0.73824999999999719</v>
      </c>
      <c r="P442" s="3">
        <f t="shared" si="79"/>
        <v>-0.11779447911320397</v>
      </c>
      <c r="Q442" s="3">
        <f t="shared" si="80"/>
        <v>0.94086177908788626</v>
      </c>
      <c r="R442" s="3">
        <f t="shared" si="81"/>
        <v>1.4197180860681635</v>
      </c>
      <c r="S442" s="3">
        <f t="shared" si="82"/>
        <v>0.3511902828781609</v>
      </c>
      <c r="T442" s="3">
        <f t="shared" si="83"/>
        <v>1.4080878734148055</v>
      </c>
      <c r="U442" s="3">
        <f t="shared" si="84"/>
        <v>1.6080737121492241</v>
      </c>
      <c r="V442" s="3">
        <f t="shared" si="85"/>
        <v>1.7689996934376835</v>
      </c>
      <c r="W442" s="3">
        <f t="shared" si="86"/>
        <v>2.4123461977141596</v>
      </c>
      <c r="X442" s="3">
        <f t="shared" si="87"/>
        <v>2.0815088293645396</v>
      </c>
      <c r="Y442" s="3">
        <f t="shared" si="88"/>
        <v>2.1219980311618865</v>
      </c>
      <c r="Z442" s="3">
        <f t="shared" si="89"/>
        <v>1.2039392116049477</v>
      </c>
      <c r="AA442" s="3">
        <f t="shared" si="90"/>
        <v>1.4847603054041156</v>
      </c>
      <c r="AB442" s="3">
        <f t="shared" si="91"/>
        <v>1.7963057022236879</v>
      </c>
    </row>
    <row r="443" spans="1:28" x14ac:dyDescent="0.25">
      <c r="A443" s="3">
        <v>1.2376624731539999E+18</v>
      </c>
      <c r="B443" s="3">
        <v>235.94709</v>
      </c>
      <c r="C443" s="3">
        <v>36.089579999999998</v>
      </c>
      <c r="D443" s="16">
        <v>0.70865409999999995</v>
      </c>
      <c r="E443" s="3">
        <v>-0.24632000000000076</v>
      </c>
      <c r="F443" s="3">
        <v>2.3516000000000012</v>
      </c>
      <c r="G443" s="3">
        <v>3.5901400000000017</v>
      </c>
      <c r="H443" s="3">
        <v>4.2366100000000024</v>
      </c>
      <c r="I443" s="3">
        <v>2.597920000000002</v>
      </c>
      <c r="J443" s="3">
        <v>3.8364600000000024</v>
      </c>
      <c r="K443" s="3">
        <v>4.4829300000000032</v>
      </c>
      <c r="L443" s="3">
        <v>1.2385400000000004</v>
      </c>
      <c r="M443" s="3">
        <v>1.8850100000000012</v>
      </c>
      <c r="N443" s="3">
        <v>0.64647000000000077</v>
      </c>
      <c r="P443" s="3">
        <f t="shared" si="79"/>
        <v>-0.98233523949212398</v>
      </c>
      <c r="Q443" s="3">
        <f t="shared" si="80"/>
        <v>7.4829215102736367E-3</v>
      </c>
      <c r="R443" s="3">
        <f t="shared" si="81"/>
        <v>1.429333815514874</v>
      </c>
      <c r="S443" s="3">
        <f t="shared" si="82"/>
        <v>-2.0197825394675872</v>
      </c>
      <c r="T443" s="3">
        <f t="shared" si="83"/>
        <v>-0.70100794385186505</v>
      </c>
      <c r="U443" s="3">
        <f t="shared" si="84"/>
        <v>-0.21066068249731176</v>
      </c>
      <c r="V443" s="3">
        <f t="shared" si="85"/>
        <v>-2.0778644343193271E-2</v>
      </c>
      <c r="W443" s="3">
        <f t="shared" si="86"/>
        <v>2.4863177334464761</v>
      </c>
      <c r="X443" s="3">
        <f t="shared" si="87"/>
        <v>2.2885239599081029</v>
      </c>
      <c r="Y443" s="3">
        <f t="shared" si="88"/>
        <v>2.1983140750963934</v>
      </c>
      <c r="Z443" s="3">
        <f t="shared" si="89"/>
        <v>1.575429068408065</v>
      </c>
      <c r="AA443" s="3">
        <f t="shared" si="90"/>
        <v>1.5514100420415751</v>
      </c>
      <c r="AB443" s="3">
        <f t="shared" si="91"/>
        <v>1.2887944064872596</v>
      </c>
    </row>
    <row r="444" spans="1:28" x14ac:dyDescent="0.25">
      <c r="A444" s="3">
        <v>1.2376624736909399E+18</v>
      </c>
      <c r="B444" s="3">
        <v>236.27802</v>
      </c>
      <c r="C444" s="3">
        <v>36.232756999999999</v>
      </c>
      <c r="D444" s="16">
        <v>0.70894389999999996</v>
      </c>
      <c r="E444" s="3">
        <v>3.1269999999999243E-2</v>
      </c>
      <c r="F444" s="3">
        <v>2.2250600000000027</v>
      </c>
      <c r="G444" s="3">
        <v>3.6248299999999993</v>
      </c>
      <c r="H444" s="3">
        <v>4.2868999999999993</v>
      </c>
      <c r="I444" s="3">
        <v>2.1937900000000035</v>
      </c>
      <c r="J444" s="3">
        <v>3.5935600000000001</v>
      </c>
      <c r="K444" s="3">
        <v>4.25563</v>
      </c>
      <c r="L444" s="3">
        <v>1.3997699999999966</v>
      </c>
      <c r="M444" s="3">
        <v>2.0618399999999966</v>
      </c>
      <c r="N444" s="3">
        <v>0.66206999999999994</v>
      </c>
      <c r="P444" s="3">
        <f t="shared" si="79"/>
        <v>3.5859265053194159E-2</v>
      </c>
      <c r="Q444" s="3">
        <f t="shared" si="80"/>
        <v>0.51433785203264448</v>
      </c>
      <c r="R444" s="3">
        <f t="shared" si="81"/>
        <v>1.4304689486745372</v>
      </c>
      <c r="S444" s="3">
        <f t="shared" si="82"/>
        <v>-1.7465347260638318</v>
      </c>
      <c r="T444" s="3">
        <f t="shared" si="83"/>
        <v>-0.8135677737655832</v>
      </c>
      <c r="U444" s="3">
        <f t="shared" si="84"/>
        <v>-0.18257715279871031</v>
      </c>
      <c r="V444" s="3">
        <f t="shared" si="85"/>
        <v>1.7713269907390347E-2</v>
      </c>
      <c r="W444" s="3">
        <f t="shared" si="86"/>
        <v>1.6912614372895636</v>
      </c>
      <c r="X444" s="3">
        <f t="shared" si="87"/>
        <v>1.9782631145386205</v>
      </c>
      <c r="Y444" s="3">
        <f t="shared" si="88"/>
        <v>1.9515273801709014</v>
      </c>
      <c r="Z444" s="3">
        <f t="shared" si="89"/>
        <v>2.0566318450800809</v>
      </c>
      <c r="AA444" s="3">
        <f t="shared" si="90"/>
        <v>1.9119384277742391</v>
      </c>
      <c r="AB444" s="3">
        <f t="shared" si="91"/>
        <v>1.3750569496719205</v>
      </c>
    </row>
    <row r="445" spans="1:28" x14ac:dyDescent="0.25">
      <c r="A445" s="3">
        <v>1.2376624736909399E+18</v>
      </c>
      <c r="B445" s="3">
        <v>236.27802</v>
      </c>
      <c r="C445" s="3">
        <v>36.232756999999999</v>
      </c>
      <c r="D445" s="16">
        <v>0.70897779999999999</v>
      </c>
      <c r="E445" s="3">
        <v>3.1269999999999243E-2</v>
      </c>
      <c r="F445" s="3">
        <v>2.2250600000000027</v>
      </c>
      <c r="G445" s="3">
        <v>3.6248299999999993</v>
      </c>
      <c r="H445" s="3">
        <v>4.2868999999999993</v>
      </c>
      <c r="I445" s="3">
        <v>2.1937900000000035</v>
      </c>
      <c r="J445" s="3">
        <v>3.5935600000000001</v>
      </c>
      <c r="K445" s="3">
        <v>4.25563</v>
      </c>
      <c r="L445" s="3">
        <v>1.3997699999999966</v>
      </c>
      <c r="M445" s="3">
        <v>2.0618399999999966</v>
      </c>
      <c r="N445" s="3">
        <v>0.66206999999999994</v>
      </c>
      <c r="P445" s="3">
        <f t="shared" si="79"/>
        <v>3.5859265053194159E-2</v>
      </c>
      <c r="Q445" s="3">
        <f t="shared" si="80"/>
        <v>0.51433785203264448</v>
      </c>
      <c r="R445" s="3">
        <f t="shared" si="81"/>
        <v>1.430601733402324</v>
      </c>
      <c r="S445" s="3">
        <f t="shared" si="82"/>
        <v>-1.7465347260638318</v>
      </c>
      <c r="T445" s="3">
        <f t="shared" si="83"/>
        <v>-0.8135677737655832</v>
      </c>
      <c r="U445" s="3">
        <f t="shared" si="84"/>
        <v>-0.18257715279871031</v>
      </c>
      <c r="V445" s="3">
        <f t="shared" si="85"/>
        <v>1.7713269907390347E-2</v>
      </c>
      <c r="W445" s="3">
        <f t="shared" si="86"/>
        <v>1.6912614372895636</v>
      </c>
      <c r="X445" s="3">
        <f t="shared" si="87"/>
        <v>1.9782631145386205</v>
      </c>
      <c r="Y445" s="3">
        <f t="shared" si="88"/>
        <v>1.9515273801709014</v>
      </c>
      <c r="Z445" s="3">
        <f t="shared" si="89"/>
        <v>2.0566318450800809</v>
      </c>
      <c r="AA445" s="3">
        <f t="shared" si="90"/>
        <v>1.9119384277742391</v>
      </c>
      <c r="AB445" s="3">
        <f t="shared" si="91"/>
        <v>1.3750569496719205</v>
      </c>
    </row>
    <row r="446" spans="1:28" x14ac:dyDescent="0.25">
      <c r="A446" s="3">
        <v>1.23766247369087E+18</v>
      </c>
      <c r="B446" s="3">
        <v>236.1584</v>
      </c>
      <c r="C446" s="3">
        <v>36.329442</v>
      </c>
      <c r="D446" s="16">
        <v>0.71218060000000005</v>
      </c>
      <c r="E446" s="3">
        <v>1.7809600000000003</v>
      </c>
      <c r="F446" s="3">
        <v>4.0994299999999981</v>
      </c>
      <c r="G446" s="3">
        <v>5.3823599999999985</v>
      </c>
      <c r="H446" s="3">
        <v>5.9364399999999975</v>
      </c>
      <c r="I446" s="3">
        <v>2.3184699999999978</v>
      </c>
      <c r="J446" s="3">
        <v>3.6013999999999982</v>
      </c>
      <c r="K446" s="3">
        <v>4.1554799999999972</v>
      </c>
      <c r="L446" s="3">
        <v>1.2829300000000003</v>
      </c>
      <c r="M446" s="3">
        <v>1.8370099999999994</v>
      </c>
      <c r="N446" s="3">
        <v>0.55407999999999902</v>
      </c>
      <c r="P446" s="3">
        <f t="shared" si="79"/>
        <v>-0.33218360393332974</v>
      </c>
      <c r="Q446" s="3">
        <f t="shared" si="80"/>
        <v>0.85660839099878672</v>
      </c>
      <c r="R446" s="3">
        <f t="shared" si="81"/>
        <v>1.4431469524629481</v>
      </c>
      <c r="S446" s="3">
        <f t="shared" si="82"/>
        <v>-2.4214157475563599E-2</v>
      </c>
      <c r="T446" s="3">
        <f t="shared" si="83"/>
        <v>0.85372137113229707</v>
      </c>
      <c r="U446" s="3">
        <f t="shared" si="84"/>
        <v>1.240243428094524</v>
      </c>
      <c r="V446" s="3">
        <f t="shared" si="85"/>
        <v>1.2802694884977985</v>
      </c>
      <c r="W446" s="3">
        <f t="shared" si="86"/>
        <v>1.9365479020529806</v>
      </c>
      <c r="X446" s="3">
        <f t="shared" si="87"/>
        <v>1.9882772974439153</v>
      </c>
      <c r="Y446" s="3">
        <f t="shared" si="88"/>
        <v>1.8427914035022328</v>
      </c>
      <c r="Z446" s="3">
        <f t="shared" si="89"/>
        <v>1.7079142836686942</v>
      </c>
      <c r="AA446" s="3">
        <f t="shared" si="90"/>
        <v>1.4535456382912557</v>
      </c>
      <c r="AB446" s="3">
        <f t="shared" si="91"/>
        <v>0.77791002412627319</v>
      </c>
    </row>
    <row r="447" spans="1:28" x14ac:dyDescent="0.25">
      <c r="A447" s="3">
        <v>1.23766233786371E+18</v>
      </c>
      <c r="B447" s="3">
        <v>236.16028</v>
      </c>
      <c r="C447" s="3">
        <v>35.609192</v>
      </c>
      <c r="D447" s="16">
        <v>0.71249799999999996</v>
      </c>
      <c r="E447" s="3">
        <v>-0.1311499999999981</v>
      </c>
      <c r="F447" s="3">
        <v>1.7674900000000022</v>
      </c>
      <c r="G447" s="3">
        <v>2.9219200000000001</v>
      </c>
      <c r="H447" s="3">
        <v>3.9656300000000009</v>
      </c>
      <c r="I447" s="3">
        <v>1.8986400000000003</v>
      </c>
      <c r="J447" s="3">
        <v>3.0530699999999982</v>
      </c>
      <c r="K447" s="3">
        <v>4.096779999999999</v>
      </c>
      <c r="L447" s="3">
        <v>1.1544299999999978</v>
      </c>
      <c r="M447" s="3">
        <v>2.1981399999999987</v>
      </c>
      <c r="N447" s="3">
        <v>1.0437100000000008</v>
      </c>
      <c r="P447" s="3">
        <f t="shared" si="79"/>
        <v>-0.32639928196631224</v>
      </c>
      <c r="Q447" s="3">
        <f t="shared" si="80"/>
        <v>-1.6931186161932481</v>
      </c>
      <c r="R447" s="3">
        <f t="shared" si="81"/>
        <v>1.4443901935425787</v>
      </c>
      <c r="S447" s="3">
        <f t="shared" si="82"/>
        <v>-1.9064140799780118</v>
      </c>
      <c r="T447" s="3">
        <f t="shared" si="83"/>
        <v>-1.2205853284804611</v>
      </c>
      <c r="U447" s="3">
        <f t="shared" si="84"/>
        <v>-0.75162281034974088</v>
      </c>
      <c r="V447" s="3">
        <f t="shared" si="85"/>
        <v>-0.22818645749936475</v>
      </c>
      <c r="W447" s="3">
        <f t="shared" si="86"/>
        <v>1.1106045550716732</v>
      </c>
      <c r="X447" s="3">
        <f t="shared" si="87"/>
        <v>1.2878848341197215</v>
      </c>
      <c r="Y447" s="3">
        <f t="shared" si="88"/>
        <v>1.7790589838272406</v>
      </c>
      <c r="Z447" s="3">
        <f t="shared" si="89"/>
        <v>1.3243965958788493</v>
      </c>
      <c r="AA447" s="3">
        <f t="shared" si="90"/>
        <v>2.1898325575902442</v>
      </c>
      <c r="AB447" s="3">
        <f t="shared" si="91"/>
        <v>3.4853926535819069</v>
      </c>
    </row>
    <row r="448" spans="1:28" x14ac:dyDescent="0.25">
      <c r="A448" s="3">
        <v>1.2376624731542001E+18</v>
      </c>
      <c r="B448" s="3">
        <v>236.32946999999999</v>
      </c>
      <c r="C448" s="3">
        <v>35.882252999999999</v>
      </c>
      <c r="D448" s="16">
        <v>0.71256540000000002</v>
      </c>
      <c r="E448" s="3">
        <v>0.19510000000000005</v>
      </c>
      <c r="F448" s="3">
        <v>2.0782999999999987</v>
      </c>
      <c r="G448" s="3">
        <v>3.3173700000000004</v>
      </c>
      <c r="H448" s="3">
        <v>4.1758500000000005</v>
      </c>
      <c r="I448" s="3">
        <v>1.8831999999999987</v>
      </c>
      <c r="J448" s="3">
        <v>3.1222700000000003</v>
      </c>
      <c r="K448" s="3">
        <v>3.9807500000000005</v>
      </c>
      <c r="L448" s="3">
        <v>1.2390700000000017</v>
      </c>
      <c r="M448" s="3">
        <v>2.0975500000000018</v>
      </c>
      <c r="N448" s="3">
        <v>0.85848000000000013</v>
      </c>
      <c r="P448" s="3">
        <f t="shared" si="79"/>
        <v>0.19415892739521706</v>
      </c>
      <c r="Q448" s="3">
        <f t="shared" si="80"/>
        <v>-0.72646675043710762</v>
      </c>
      <c r="R448" s="3">
        <f t="shared" si="81"/>
        <v>1.4446541962167034</v>
      </c>
      <c r="S448" s="3">
        <f t="shared" si="82"/>
        <v>-1.5852674279985646</v>
      </c>
      <c r="T448" s="3">
        <f t="shared" si="83"/>
        <v>-0.944113693143945</v>
      </c>
      <c r="U448" s="3">
        <f t="shared" si="84"/>
        <v>-0.43148352469644896</v>
      </c>
      <c r="V448" s="3">
        <f t="shared" si="85"/>
        <v>-6.7284285819941766E-2</v>
      </c>
      <c r="W448" s="3">
        <f t="shared" si="86"/>
        <v>1.0802290095475495</v>
      </c>
      <c r="X448" s="3">
        <f t="shared" si="87"/>
        <v>1.3762753260899507</v>
      </c>
      <c r="Y448" s="3">
        <f t="shared" si="88"/>
        <v>1.6530815961800605</v>
      </c>
      <c r="Z448" s="3">
        <f t="shared" si="89"/>
        <v>1.5770108923343613</v>
      </c>
      <c r="AA448" s="3">
        <f t="shared" si="90"/>
        <v>1.9847454664809951</v>
      </c>
      <c r="AB448" s="3">
        <f t="shared" si="91"/>
        <v>2.4611355462680837</v>
      </c>
    </row>
    <row r="449" spans="1:28" x14ac:dyDescent="0.25">
      <c r="A449" s="3">
        <v>1.2376624742279401E+18</v>
      </c>
      <c r="B449" s="3">
        <v>236.82694000000001</v>
      </c>
      <c r="C449" s="3">
        <v>36.429726000000002</v>
      </c>
      <c r="D449" s="16">
        <v>0.71700540000000001</v>
      </c>
      <c r="E449" s="3">
        <v>2.0732600000000012</v>
      </c>
      <c r="F449" s="3">
        <v>3.9487799999999993</v>
      </c>
      <c r="G449" s="3">
        <v>5.0590699999999984</v>
      </c>
      <c r="H449" s="3">
        <v>5.7479900000000015</v>
      </c>
      <c r="I449" s="3">
        <v>1.8755199999999981</v>
      </c>
      <c r="J449" s="3">
        <v>2.9858099999999972</v>
      </c>
      <c r="K449" s="3">
        <v>3.6747300000000003</v>
      </c>
      <c r="L449" s="3">
        <v>1.1102899999999991</v>
      </c>
      <c r="M449" s="3">
        <v>1.7992100000000022</v>
      </c>
      <c r="N449" s="3">
        <v>0.68892000000000309</v>
      </c>
      <c r="P449" s="3">
        <f t="shared" si="79"/>
        <v>1.724758208742295</v>
      </c>
      <c r="Q449" s="3">
        <f t="shared" si="80"/>
        <v>1.2116195998696666</v>
      </c>
      <c r="R449" s="3">
        <f t="shared" si="81"/>
        <v>1.4620454702984975</v>
      </c>
      <c r="S449" s="3">
        <f t="shared" si="82"/>
        <v>0.26351355554694439</v>
      </c>
      <c r="T449" s="3">
        <f t="shared" si="83"/>
        <v>0.71971521990342313</v>
      </c>
      <c r="U449" s="3">
        <f t="shared" si="84"/>
        <v>0.97852177008756314</v>
      </c>
      <c r="V449" s="3">
        <f t="shared" si="85"/>
        <v>1.1360300524166136</v>
      </c>
      <c r="W449" s="3">
        <f t="shared" si="86"/>
        <v>1.0651199299086078</v>
      </c>
      <c r="X449" s="3">
        <f t="shared" si="87"/>
        <v>1.2019723414908559</v>
      </c>
      <c r="Y449" s="3">
        <f t="shared" si="88"/>
        <v>1.3208261435575437</v>
      </c>
      <c r="Z449" s="3">
        <f t="shared" si="89"/>
        <v>1.1926575239796824</v>
      </c>
      <c r="AA449" s="3">
        <f t="shared" si="90"/>
        <v>1.3764774203378878</v>
      </c>
      <c r="AB449" s="3">
        <f t="shared" si="91"/>
        <v>1.5235280576532371</v>
      </c>
    </row>
    <row r="450" spans="1:28" x14ac:dyDescent="0.25">
      <c r="A450" s="3">
        <v>1.23766247369074E+18</v>
      </c>
      <c r="B450" s="3">
        <v>235.95350999999999</v>
      </c>
      <c r="C450" s="3">
        <v>36.585264000000002</v>
      </c>
      <c r="D450" s="16">
        <v>0.7351413</v>
      </c>
      <c r="E450" s="3">
        <v>2.1054899999999996</v>
      </c>
      <c r="F450" s="3">
        <v>3.6682799999999993</v>
      </c>
      <c r="G450" s="3">
        <v>5.0991099999999996</v>
      </c>
      <c r="H450" s="3">
        <v>5.7913899999999998</v>
      </c>
      <c r="I450" s="3">
        <v>1.5627899999999997</v>
      </c>
      <c r="J450" s="3">
        <v>2.9936199999999999</v>
      </c>
      <c r="K450" s="3">
        <v>3.6859000000000002</v>
      </c>
      <c r="L450" s="3">
        <v>1.4308300000000003</v>
      </c>
      <c r="M450" s="3">
        <v>2.1231100000000005</v>
      </c>
      <c r="N450" s="3">
        <v>0.69228000000000023</v>
      </c>
      <c r="P450" s="3">
        <f t="shared" si="79"/>
        <v>-0.96258239532818501</v>
      </c>
      <c r="Q450" s="3">
        <f t="shared" si="80"/>
        <v>1.7622331913235154</v>
      </c>
      <c r="R450" s="3">
        <f t="shared" si="81"/>
        <v>1.5330829494921931</v>
      </c>
      <c r="S450" s="3">
        <f t="shared" si="82"/>
        <v>0.29523939951107353</v>
      </c>
      <c r="T450" s="3">
        <f t="shared" si="83"/>
        <v>0.47020492836874406</v>
      </c>
      <c r="U450" s="3">
        <f t="shared" si="84"/>
        <v>1.0109364293303453</v>
      </c>
      <c r="V450" s="3">
        <f t="shared" si="85"/>
        <v>1.1692483677571459</v>
      </c>
      <c r="W450" s="3">
        <f t="shared" si="86"/>
        <v>0.44987742007971404</v>
      </c>
      <c r="X450" s="3">
        <f t="shared" si="87"/>
        <v>1.2119482048187129</v>
      </c>
      <c r="Y450" s="3">
        <f t="shared" si="88"/>
        <v>1.3329537607256814</v>
      </c>
      <c r="Z450" s="3">
        <f t="shared" si="89"/>
        <v>2.1493326963077362</v>
      </c>
      <c r="AA450" s="3">
        <f t="shared" si="90"/>
        <v>2.0368582614780357</v>
      </c>
      <c r="AB450" s="3">
        <f t="shared" si="91"/>
        <v>1.5421076823391491</v>
      </c>
    </row>
    <row r="451" spans="1:28" x14ac:dyDescent="0.25">
      <c r="A451" s="3">
        <v>1.2376614659861299E+18</v>
      </c>
      <c r="B451" s="3">
        <v>235.90602000000001</v>
      </c>
      <c r="C451" s="3">
        <v>35.859972999999997</v>
      </c>
      <c r="D451" s="16">
        <v>0.73793439999999999</v>
      </c>
      <c r="E451" s="3">
        <v>-0.50198999999999927</v>
      </c>
      <c r="F451" s="3">
        <v>2.2094799999999992</v>
      </c>
      <c r="G451" s="3">
        <v>3.5075400000000023</v>
      </c>
      <c r="H451" s="3">
        <v>4.186869999999999</v>
      </c>
      <c r="I451" s="3">
        <v>2.7114699999999985</v>
      </c>
      <c r="J451" s="3">
        <v>4.0095300000000016</v>
      </c>
      <c r="K451" s="3">
        <v>4.6888599999999983</v>
      </c>
      <c r="L451" s="3">
        <v>1.2980600000000031</v>
      </c>
      <c r="M451" s="3">
        <v>1.9773899999999998</v>
      </c>
      <c r="N451" s="3">
        <v>0.67932999999999666</v>
      </c>
      <c r="P451" s="3">
        <f t="shared" ref="P451:P475" si="92">(B451-B$476)/B$477</f>
        <v>-1.108698060335406</v>
      </c>
      <c r="Q451" s="3">
        <f t="shared" ref="Q451:Q475" si="93">(C451-C$476)/C$477</f>
        <v>-0.80533924987514138</v>
      </c>
      <c r="R451" s="3">
        <f t="shared" ref="R451:R475" si="94">(D451-D$476)/D$477</f>
        <v>1.5440233926538731</v>
      </c>
      <c r="S451" s="3">
        <f t="shared" ref="S451:S475" si="95">(E451-E$476)/E$477</f>
        <v>-2.2714532352885382</v>
      </c>
      <c r="T451" s="3">
        <f t="shared" ref="T451:T475" si="96">(F451-F$476)/F$477</f>
        <v>-0.82742649156277093</v>
      </c>
      <c r="U451" s="3">
        <f t="shared" ref="U451:U475" si="97">(G451-G$476)/G$477</f>
        <v>-0.27753008443171984</v>
      </c>
      <c r="V451" s="3">
        <f t="shared" ref="V451:V475" si="98">(H451-H$476)/H$477</f>
        <v>-5.8849589159742928E-2</v>
      </c>
      <c r="W451" s="3">
        <f t="shared" ref="W451:W475" si="99">(I451-I$476)/I$477</f>
        <v>2.709707836701901</v>
      </c>
      <c r="X451" s="3">
        <f t="shared" ref="X451:X475" si="100">(J451-J$476)/J$477</f>
        <v>2.5095896021810367</v>
      </c>
      <c r="Y451" s="3">
        <f t="shared" ref="Y451:Y475" si="101">(K451-K$476)/K$477</f>
        <v>2.4218986949204351</v>
      </c>
      <c r="Z451" s="3">
        <f t="shared" ref="Z451:Z475" si="102">(L451-L$476)/L$477</f>
        <v>1.7530708799041905</v>
      </c>
      <c r="AA451" s="3">
        <f t="shared" ref="AA451:AA475" si="103">(M451-M$476)/M$477</f>
        <v>1.7397582424260338</v>
      </c>
      <c r="AB451" s="3">
        <f t="shared" ref="AB451:AB475" si="104">(N451-N$476)/N$477</f>
        <v>1.4704987121954487</v>
      </c>
    </row>
    <row r="452" spans="1:28" x14ac:dyDescent="0.25">
      <c r="A452" s="3">
        <v>1.2376625037555699E+18</v>
      </c>
      <c r="B452" s="3">
        <v>236.19469000000001</v>
      </c>
      <c r="C452" s="3">
        <v>36.616700000000002</v>
      </c>
      <c r="D452" s="16">
        <v>0.74068239999999996</v>
      </c>
      <c r="E452" s="3">
        <v>-1.0506899999999995</v>
      </c>
      <c r="F452" s="3">
        <v>2.2608899999999998</v>
      </c>
      <c r="G452" s="3">
        <v>3.6730300000000007</v>
      </c>
      <c r="H452" s="3">
        <v>4.257080000000002</v>
      </c>
      <c r="I452" s="3">
        <v>3.3115799999999993</v>
      </c>
      <c r="J452" s="3">
        <v>4.7237200000000001</v>
      </c>
      <c r="K452" s="3">
        <v>5.3077700000000014</v>
      </c>
      <c r="L452" s="3">
        <v>1.4121400000000008</v>
      </c>
      <c r="M452" s="3">
        <v>1.9961900000000021</v>
      </c>
      <c r="N452" s="3">
        <v>0.58405000000000129</v>
      </c>
      <c r="P452" s="3">
        <f t="shared" si="92"/>
        <v>-0.22052772936783718</v>
      </c>
      <c r="Q452" s="3">
        <f t="shared" si="93"/>
        <v>1.8735184647675793</v>
      </c>
      <c r="R452" s="3">
        <f t="shared" si="94"/>
        <v>1.5547871812071996</v>
      </c>
      <c r="S452" s="3">
        <f t="shared" si="95"/>
        <v>-2.8115702251463888</v>
      </c>
      <c r="T452" s="3">
        <f t="shared" si="96"/>
        <v>-0.78169628091108456</v>
      </c>
      <c r="U452" s="3">
        <f t="shared" si="97"/>
        <v>-0.14355650905490175</v>
      </c>
      <c r="V452" s="3">
        <f t="shared" si="98"/>
        <v>-5.1109274072322717E-3</v>
      </c>
      <c r="W452" s="3">
        <f t="shared" si="99"/>
        <v>3.890321089582724</v>
      </c>
      <c r="X452" s="3">
        <f t="shared" si="100"/>
        <v>3.4218382359991839</v>
      </c>
      <c r="Y452" s="3">
        <f t="shared" si="101"/>
        <v>3.0938685733029025</v>
      </c>
      <c r="Z452" s="3">
        <f t="shared" si="102"/>
        <v>2.0935510186050763</v>
      </c>
      <c r="AA452" s="3">
        <f t="shared" si="103"/>
        <v>1.7780884672282458</v>
      </c>
      <c r="AB452" s="3">
        <f t="shared" si="104"/>
        <v>0.94363364074451794</v>
      </c>
    </row>
    <row r="453" spans="1:28" x14ac:dyDescent="0.25">
      <c r="A453" s="3">
        <v>1.2376625032187699E+18</v>
      </c>
      <c r="B453" s="3">
        <v>235.89998</v>
      </c>
      <c r="C453" s="3">
        <v>36.169797000000003</v>
      </c>
      <c r="D453" s="16">
        <v>0.74253760000000002</v>
      </c>
      <c r="E453" s="3">
        <v>4.4693900000000006</v>
      </c>
      <c r="F453" s="3">
        <v>5.395150000000001</v>
      </c>
      <c r="G453" s="3">
        <v>6.4446100000000008</v>
      </c>
      <c r="H453" s="3">
        <v>6.6273100000000014</v>
      </c>
      <c r="I453" s="3">
        <v>0.92576000000000036</v>
      </c>
      <c r="J453" s="3">
        <v>1.9752200000000002</v>
      </c>
      <c r="K453" s="3">
        <v>2.1579200000000007</v>
      </c>
      <c r="L453" s="3">
        <v>1.0494599999999998</v>
      </c>
      <c r="M453" s="3">
        <v>1.2321600000000004</v>
      </c>
      <c r="N453" s="3">
        <v>0.18270000000000053</v>
      </c>
      <c r="P453" s="3">
        <f t="shared" si="92"/>
        <v>-1.1272817330379925</v>
      </c>
      <c r="Q453" s="3">
        <f t="shared" si="93"/>
        <v>0.29145578001209288</v>
      </c>
      <c r="R453" s="3">
        <f t="shared" si="94"/>
        <v>1.5620539135667819</v>
      </c>
      <c r="S453" s="3">
        <f t="shared" si="95"/>
        <v>2.6221622213171112</v>
      </c>
      <c r="T453" s="3">
        <f t="shared" si="96"/>
        <v>2.0062899092688928</v>
      </c>
      <c r="U453" s="3">
        <f t="shared" si="97"/>
        <v>2.100195270767959</v>
      </c>
      <c r="V453" s="3">
        <f t="shared" si="98"/>
        <v>1.8090606755787793</v>
      </c>
      <c r="W453" s="3">
        <f t="shared" si="99"/>
        <v>-0.80336958544038872</v>
      </c>
      <c r="X453" s="3">
        <f t="shared" si="100"/>
        <v>-8.8873717471438463E-2</v>
      </c>
      <c r="Y453" s="3">
        <f t="shared" si="101"/>
        <v>-0.3260217523066451</v>
      </c>
      <c r="Z453" s="3">
        <f t="shared" si="102"/>
        <v>1.0111059212695226</v>
      </c>
      <c r="AA453" s="3">
        <f t="shared" si="103"/>
        <v>0.22035220895003971</v>
      </c>
      <c r="AB453" s="3">
        <f t="shared" si="104"/>
        <v>-1.2756914686891698</v>
      </c>
    </row>
    <row r="454" spans="1:28" x14ac:dyDescent="0.25">
      <c r="A454" s="3">
        <v>1.2376625037557701E+18</v>
      </c>
      <c r="B454" s="3">
        <v>236.70024000000001</v>
      </c>
      <c r="C454" s="3">
        <v>36.349096000000003</v>
      </c>
      <c r="D454" s="16">
        <v>0.74318479999999998</v>
      </c>
      <c r="E454" s="3">
        <v>2.0398700000000005</v>
      </c>
      <c r="F454" s="3">
        <v>4.1217100000000002</v>
      </c>
      <c r="G454" s="3">
        <v>5.307260000000003</v>
      </c>
      <c r="H454" s="3">
        <v>5.8729800000000019</v>
      </c>
      <c r="I454" s="3">
        <v>2.0818399999999997</v>
      </c>
      <c r="J454" s="3">
        <v>3.2673900000000025</v>
      </c>
      <c r="K454" s="3">
        <v>3.8331100000000013</v>
      </c>
      <c r="L454" s="3">
        <v>1.1855500000000028</v>
      </c>
      <c r="M454" s="3">
        <v>1.7512700000000017</v>
      </c>
      <c r="N454" s="3">
        <v>0.56571999999999889</v>
      </c>
      <c r="P454" s="3">
        <f t="shared" si="92"/>
        <v>1.3349318293693362</v>
      </c>
      <c r="Q454" s="3">
        <f t="shared" si="93"/>
        <v>0.92618469728043784</v>
      </c>
      <c r="R454" s="3">
        <f t="shared" si="94"/>
        <v>1.5645889659509569</v>
      </c>
      <c r="S454" s="3">
        <f t="shared" si="95"/>
        <v>0.2306458568202194</v>
      </c>
      <c r="T454" s="3">
        <f t="shared" si="96"/>
        <v>0.87353987129412658</v>
      </c>
      <c r="U454" s="3">
        <f t="shared" si="97"/>
        <v>1.1794457030912096</v>
      </c>
      <c r="V454" s="3">
        <f t="shared" si="98"/>
        <v>1.2316972697994086</v>
      </c>
      <c r="W454" s="3">
        <f t="shared" si="99"/>
        <v>1.4710190589589036</v>
      </c>
      <c r="X454" s="3">
        <f t="shared" si="100"/>
        <v>1.5616398953778039</v>
      </c>
      <c r="Y454" s="3">
        <f t="shared" si="101"/>
        <v>1.4927842462513365</v>
      </c>
      <c r="Z454" s="3">
        <f t="shared" si="102"/>
        <v>1.4172765215132588</v>
      </c>
      <c r="AA454" s="3">
        <f t="shared" si="103"/>
        <v>1.2787353470922589</v>
      </c>
      <c r="AB454" s="3">
        <f t="shared" si="104"/>
        <v>0.84227515250252283</v>
      </c>
    </row>
    <row r="455" spans="1:28" x14ac:dyDescent="0.25">
      <c r="A455" s="3">
        <v>1.23766247369107E+18</v>
      </c>
      <c r="B455" s="3">
        <v>236.62592000000001</v>
      </c>
      <c r="C455" s="3">
        <v>36.188048999999999</v>
      </c>
      <c r="D455" s="16">
        <v>0.74811269999999996</v>
      </c>
      <c r="E455" s="3">
        <v>0.59326000000000079</v>
      </c>
      <c r="F455" s="3">
        <v>2.6611900000000013</v>
      </c>
      <c r="G455" s="3">
        <v>3.8785600000000002</v>
      </c>
      <c r="H455" s="3">
        <v>4.7702400000000011</v>
      </c>
      <c r="I455" s="3">
        <v>2.0679300000000005</v>
      </c>
      <c r="J455" s="3">
        <v>3.2852999999999994</v>
      </c>
      <c r="K455" s="3">
        <v>4.1769800000000004</v>
      </c>
      <c r="L455" s="3">
        <v>1.217369999999999</v>
      </c>
      <c r="M455" s="3">
        <v>2.1090499999999999</v>
      </c>
      <c r="N455" s="3">
        <v>0.89168000000000092</v>
      </c>
      <c r="P455" s="3">
        <f t="shared" si="92"/>
        <v>1.1062665056519054</v>
      </c>
      <c r="Q455" s="3">
        <f t="shared" si="93"/>
        <v>0.35606892452477723</v>
      </c>
      <c r="R455" s="3">
        <f t="shared" si="94"/>
        <v>1.5838913217049371</v>
      </c>
      <c r="S455" s="3">
        <f t="shared" si="95"/>
        <v>-1.1933356243138515</v>
      </c>
      <c r="T455" s="3">
        <f t="shared" si="96"/>
        <v>-0.42562152261756442</v>
      </c>
      <c r="U455" s="3">
        <f t="shared" si="97"/>
        <v>2.2831725564698469E-2</v>
      </c>
      <c r="V455" s="3">
        <f t="shared" si="98"/>
        <v>0.38766120854088265</v>
      </c>
      <c r="W455" s="3">
        <f t="shared" si="99"/>
        <v>1.443653525394105</v>
      </c>
      <c r="X455" s="3">
        <f t="shared" si="100"/>
        <v>1.5845166831117126</v>
      </c>
      <c r="Y455" s="3">
        <f t="shared" si="101"/>
        <v>1.866134623655769</v>
      </c>
      <c r="Z455" s="3">
        <f t="shared" si="102"/>
        <v>1.5122456485597271</v>
      </c>
      <c r="AA455" s="3">
        <f t="shared" si="103"/>
        <v>2.008192146546171</v>
      </c>
      <c r="AB455" s="3">
        <f t="shared" si="104"/>
        <v>2.6447199330457094</v>
      </c>
    </row>
    <row r="456" spans="1:28" x14ac:dyDescent="0.25">
      <c r="A456" s="3">
        <v>1.23766250375584E+18</v>
      </c>
      <c r="B456" s="3">
        <v>236.67214999999999</v>
      </c>
      <c r="C456" s="3">
        <v>36.221825000000003</v>
      </c>
      <c r="D456" s="16">
        <v>0.74823879999999998</v>
      </c>
      <c r="E456" s="3">
        <v>2.79617</v>
      </c>
      <c r="F456" s="3">
        <v>4.3026400000000002</v>
      </c>
      <c r="G456" s="3">
        <v>6.1644600000000018</v>
      </c>
      <c r="H456" s="3">
        <v>6.99709</v>
      </c>
      <c r="I456" s="3">
        <v>1.5064700000000002</v>
      </c>
      <c r="J456" s="3">
        <v>3.3682900000000018</v>
      </c>
      <c r="K456" s="3">
        <v>4.20092</v>
      </c>
      <c r="L456" s="3">
        <v>1.8618200000000016</v>
      </c>
      <c r="M456" s="3">
        <v>2.6944499999999998</v>
      </c>
      <c r="N456" s="3">
        <v>0.8326299999999982</v>
      </c>
      <c r="P456" s="3">
        <f t="shared" si="92"/>
        <v>1.2485054442344166</v>
      </c>
      <c r="Q456" s="3">
        <f t="shared" si="93"/>
        <v>0.47563793444484131</v>
      </c>
      <c r="R456" s="3">
        <f t="shared" si="94"/>
        <v>1.5843852495566746</v>
      </c>
      <c r="S456" s="3">
        <f t="shared" si="95"/>
        <v>0.9751154748801647</v>
      </c>
      <c r="T456" s="3">
        <f t="shared" si="96"/>
        <v>1.034480680732164</v>
      </c>
      <c r="U456" s="3">
        <f t="shared" si="97"/>
        <v>1.873397898468631</v>
      </c>
      <c r="V456" s="3">
        <f t="shared" si="98"/>
        <v>2.0920899070677761</v>
      </c>
      <c r="W456" s="3">
        <f t="shared" si="99"/>
        <v>0.33907750272748322</v>
      </c>
      <c r="X456" s="3">
        <f t="shared" si="100"/>
        <v>1.690521407513581</v>
      </c>
      <c r="Y456" s="3">
        <f t="shared" si="101"/>
        <v>1.8921270278639348</v>
      </c>
      <c r="Z456" s="3">
        <f t="shared" si="102"/>
        <v>3.4356540057283009</v>
      </c>
      <c r="AA456" s="3">
        <f t="shared" si="103"/>
        <v>3.2017301039510628</v>
      </c>
      <c r="AB456" s="3">
        <f t="shared" si="104"/>
        <v>2.3181940884909196</v>
      </c>
    </row>
    <row r="457" spans="1:28" x14ac:dyDescent="0.25">
      <c r="A457" s="3">
        <v>1.23766247369107E+18</v>
      </c>
      <c r="B457" s="3">
        <v>236.65719999999999</v>
      </c>
      <c r="C457" s="3">
        <v>36.208621999999998</v>
      </c>
      <c r="D457" s="16">
        <v>0.74897089999999999</v>
      </c>
      <c r="E457" s="3">
        <v>-0.68149999999999977</v>
      </c>
      <c r="F457" s="3">
        <v>1.2234300000000005</v>
      </c>
      <c r="G457" s="3">
        <v>2.7248599999999996</v>
      </c>
      <c r="H457" s="3">
        <v>3.4981500000000025</v>
      </c>
      <c r="I457" s="3">
        <v>1.9049300000000002</v>
      </c>
      <c r="J457" s="3">
        <v>3.4063599999999994</v>
      </c>
      <c r="K457" s="3">
        <v>4.1796500000000023</v>
      </c>
      <c r="L457" s="3">
        <v>1.5014299999999992</v>
      </c>
      <c r="M457" s="3">
        <v>2.2747200000000021</v>
      </c>
      <c r="N457" s="3">
        <v>0.77329000000000292</v>
      </c>
      <c r="P457" s="3">
        <f t="shared" si="92"/>
        <v>1.2025077775286128</v>
      </c>
      <c r="Q457" s="3">
        <f t="shared" si="93"/>
        <v>0.42889854440531699</v>
      </c>
      <c r="R457" s="3">
        <f t="shared" si="94"/>
        <v>1.5872528513033597</v>
      </c>
      <c r="S457" s="3">
        <f t="shared" si="95"/>
        <v>-2.4481552597998979</v>
      </c>
      <c r="T457" s="3">
        <f t="shared" si="96"/>
        <v>-1.7045374468845893</v>
      </c>
      <c r="U457" s="3">
        <f t="shared" si="97"/>
        <v>-0.91115409782183043</v>
      </c>
      <c r="V457" s="3">
        <f t="shared" si="98"/>
        <v>-0.58599516845311095</v>
      </c>
      <c r="W457" s="3">
        <f t="shared" si="99"/>
        <v>1.1229790486822118</v>
      </c>
      <c r="X457" s="3">
        <f t="shared" si="100"/>
        <v>1.7391489512896836</v>
      </c>
      <c r="Y457" s="3">
        <f t="shared" si="101"/>
        <v>1.869033525879489</v>
      </c>
      <c r="Z457" s="3">
        <f t="shared" si="102"/>
        <v>2.3600435815837058</v>
      </c>
      <c r="AA457" s="3">
        <f t="shared" si="103"/>
        <v>2.3459670584069006</v>
      </c>
      <c r="AB457" s="3">
        <f t="shared" si="104"/>
        <v>1.9900646453769681</v>
      </c>
    </row>
    <row r="458" spans="1:28" x14ac:dyDescent="0.25">
      <c r="A458" s="3">
        <v>1.23766247369107E+18</v>
      </c>
      <c r="B458" s="3">
        <v>236.65719999999999</v>
      </c>
      <c r="C458" s="3">
        <v>36.208615000000002</v>
      </c>
      <c r="D458" s="16">
        <v>0.74951780000000001</v>
      </c>
      <c r="E458" s="3">
        <v>-0.68149999999999977</v>
      </c>
      <c r="F458" s="3">
        <v>1.2234300000000005</v>
      </c>
      <c r="G458" s="3">
        <v>2.7248599999999996</v>
      </c>
      <c r="H458" s="3">
        <v>3.4981500000000025</v>
      </c>
      <c r="I458" s="3">
        <v>1.9049300000000002</v>
      </c>
      <c r="J458" s="3">
        <v>3.4063599999999994</v>
      </c>
      <c r="K458" s="3">
        <v>4.1796500000000023</v>
      </c>
      <c r="L458" s="3">
        <v>1.5014299999999992</v>
      </c>
      <c r="M458" s="3">
        <v>2.2747200000000021</v>
      </c>
      <c r="N458" s="3">
        <v>0.77329000000000292</v>
      </c>
      <c r="P458" s="3">
        <f t="shared" si="92"/>
        <v>1.2025077775286128</v>
      </c>
      <c r="Q458" s="3">
        <f t="shared" si="93"/>
        <v>0.42887376399706778</v>
      </c>
      <c r="R458" s="3">
        <f t="shared" si="94"/>
        <v>1.5893950332392457</v>
      </c>
      <c r="S458" s="3">
        <f t="shared" si="95"/>
        <v>-2.4481552597998979</v>
      </c>
      <c r="T458" s="3">
        <f t="shared" si="96"/>
        <v>-1.7045374468845893</v>
      </c>
      <c r="U458" s="3">
        <f t="shared" si="97"/>
        <v>-0.91115409782183043</v>
      </c>
      <c r="V458" s="3">
        <f t="shared" si="98"/>
        <v>-0.58599516845311095</v>
      </c>
      <c r="W458" s="3">
        <f t="shared" si="99"/>
        <v>1.1229790486822118</v>
      </c>
      <c r="X458" s="3">
        <f t="shared" si="100"/>
        <v>1.7391489512896836</v>
      </c>
      <c r="Y458" s="3">
        <f t="shared" si="101"/>
        <v>1.869033525879489</v>
      </c>
      <c r="Z458" s="3">
        <f t="shared" si="102"/>
        <v>2.3600435815837058</v>
      </c>
      <c r="AA458" s="3">
        <f t="shared" si="103"/>
        <v>2.3459670584069006</v>
      </c>
      <c r="AB458" s="3">
        <f t="shared" si="104"/>
        <v>1.9900646453769681</v>
      </c>
    </row>
    <row r="459" spans="1:28" x14ac:dyDescent="0.25">
      <c r="A459" s="3">
        <v>1.23766250375584E+18</v>
      </c>
      <c r="B459" s="3">
        <v>236.68508</v>
      </c>
      <c r="C459" s="3">
        <v>36.214616999999997</v>
      </c>
      <c r="D459" s="16">
        <v>0.74957359999999995</v>
      </c>
      <c r="E459" s="3">
        <v>0.47405000000000186</v>
      </c>
      <c r="F459" s="3">
        <v>2.4221200000000032</v>
      </c>
      <c r="G459" s="3">
        <v>3.5723700000000029</v>
      </c>
      <c r="H459" s="3">
        <v>4.278570000000002</v>
      </c>
      <c r="I459" s="3">
        <v>1.9480700000000013</v>
      </c>
      <c r="J459" s="3">
        <v>3.0983200000000011</v>
      </c>
      <c r="K459" s="3">
        <v>3.8045200000000001</v>
      </c>
      <c r="L459" s="3">
        <v>1.1502499999999998</v>
      </c>
      <c r="M459" s="3">
        <v>1.8564499999999988</v>
      </c>
      <c r="N459" s="3">
        <v>0.70619999999999905</v>
      </c>
      <c r="P459" s="3">
        <f t="shared" si="92"/>
        <v>1.2882880415927183</v>
      </c>
      <c r="Q459" s="3">
        <f t="shared" si="93"/>
        <v>0.45012119405212409</v>
      </c>
      <c r="R459" s="3">
        <f t="shared" si="94"/>
        <v>1.5896135992513545</v>
      </c>
      <c r="S459" s="3">
        <f t="shared" si="95"/>
        <v>-1.3106808883214218</v>
      </c>
      <c r="T459" s="3">
        <f t="shared" si="96"/>
        <v>-0.63827901066460635</v>
      </c>
      <c r="U459" s="3">
        <f t="shared" si="97"/>
        <v>-0.22504650903937418</v>
      </c>
      <c r="V459" s="3">
        <f t="shared" si="98"/>
        <v>1.133749647912872E-2</v>
      </c>
      <c r="W459" s="3">
        <f t="shared" si="99"/>
        <v>1.2078495819665762</v>
      </c>
      <c r="X459" s="3">
        <f t="shared" si="100"/>
        <v>1.3456835300973662</v>
      </c>
      <c r="Y459" s="3">
        <f t="shared" si="101"/>
        <v>1.4617431921029864</v>
      </c>
      <c r="Z459" s="3">
        <f t="shared" si="102"/>
        <v>1.3119210788752635</v>
      </c>
      <c r="AA459" s="3">
        <f t="shared" si="103"/>
        <v>1.4931807218101323</v>
      </c>
      <c r="AB459" s="3">
        <f t="shared" si="104"/>
        <v>1.6190804131808441</v>
      </c>
    </row>
    <row r="460" spans="1:28" x14ac:dyDescent="0.25">
      <c r="A460" s="3">
        <v>1.23766250375584E+18</v>
      </c>
      <c r="B460" s="3">
        <v>236.77429000000001</v>
      </c>
      <c r="C460" s="3">
        <v>36.208153000000003</v>
      </c>
      <c r="D460" s="16">
        <v>0.75197320000000001</v>
      </c>
      <c r="E460" s="3">
        <v>0.12274000000000029</v>
      </c>
      <c r="F460" s="3">
        <v>2.6592599999999997</v>
      </c>
      <c r="G460" s="3">
        <v>3.9468600000000009</v>
      </c>
      <c r="H460" s="3">
        <v>4.7598699999999994</v>
      </c>
      <c r="I460" s="3">
        <v>2.5365199999999994</v>
      </c>
      <c r="J460" s="3">
        <v>3.8241200000000006</v>
      </c>
      <c r="K460" s="3">
        <v>4.6371299999999991</v>
      </c>
      <c r="L460" s="3">
        <v>1.2876000000000012</v>
      </c>
      <c r="M460" s="3">
        <v>2.1006099999999996</v>
      </c>
      <c r="N460" s="3">
        <v>0.81300999999999846</v>
      </c>
      <c r="P460" s="3">
        <f t="shared" si="92"/>
        <v>1.5627664259957577</v>
      </c>
      <c r="Q460" s="3">
        <f t="shared" si="93"/>
        <v>0.42723825705181295</v>
      </c>
      <c r="R460" s="3">
        <f t="shared" si="94"/>
        <v>1.5990127211627674</v>
      </c>
      <c r="S460" s="3">
        <f t="shared" si="95"/>
        <v>-1.6564955406031099</v>
      </c>
      <c r="T460" s="3">
        <f t="shared" si="96"/>
        <v>-0.4273382957464853</v>
      </c>
      <c r="U460" s="3">
        <f t="shared" si="97"/>
        <v>7.8124463483828691E-2</v>
      </c>
      <c r="V460" s="3">
        <f t="shared" si="98"/>
        <v>0.37972402121181831</v>
      </c>
      <c r="W460" s="3">
        <f t="shared" si="99"/>
        <v>2.3655237894580647</v>
      </c>
      <c r="X460" s="3">
        <f t="shared" si="100"/>
        <v>2.2727618403862424</v>
      </c>
      <c r="Y460" s="3">
        <f t="shared" si="101"/>
        <v>2.365733821499866</v>
      </c>
      <c r="Z460" s="3">
        <f t="shared" si="102"/>
        <v>1.7218522416607476</v>
      </c>
      <c r="AA460" s="3">
        <f t="shared" si="103"/>
        <v>1.9909843222200734</v>
      </c>
      <c r="AB460" s="3">
        <f t="shared" si="104"/>
        <v>2.2097023514855914</v>
      </c>
    </row>
    <row r="461" spans="1:28" x14ac:dyDescent="0.25">
      <c r="A461" s="3">
        <v>1.23766250321903E+18</v>
      </c>
      <c r="B461" s="3">
        <v>236.51545999999999</v>
      </c>
      <c r="C461" s="3">
        <v>35.822284000000003</v>
      </c>
      <c r="D461" s="16">
        <v>0.76778250000000003</v>
      </c>
      <c r="E461" s="3">
        <v>2.6534000000000013</v>
      </c>
      <c r="F461" s="3">
        <v>4.1446299999999994</v>
      </c>
      <c r="G461" s="3">
        <v>5.2240399999999987</v>
      </c>
      <c r="H461" s="3">
        <v>5.9090699999999998</v>
      </c>
      <c r="I461" s="3">
        <v>1.4912299999999981</v>
      </c>
      <c r="J461" s="3">
        <v>2.5706399999999974</v>
      </c>
      <c r="K461" s="3">
        <v>3.2556699999999985</v>
      </c>
      <c r="L461" s="3">
        <v>1.0794099999999993</v>
      </c>
      <c r="M461" s="3">
        <v>1.7644400000000005</v>
      </c>
      <c r="N461" s="3">
        <v>0.68503000000000114</v>
      </c>
      <c r="P461" s="3">
        <f t="shared" si="92"/>
        <v>0.76640682241951374</v>
      </c>
      <c r="Q461" s="3">
        <f t="shared" si="93"/>
        <v>-0.93876050801334798</v>
      </c>
      <c r="R461" s="3">
        <f t="shared" si="94"/>
        <v>1.6609370160594583</v>
      </c>
      <c r="S461" s="3">
        <f t="shared" si="95"/>
        <v>0.83457874690129719</v>
      </c>
      <c r="T461" s="3">
        <f t="shared" si="96"/>
        <v>0.89392766409974023</v>
      </c>
      <c r="U461" s="3">
        <f t="shared" si="97"/>
        <v>1.1120743758638272</v>
      </c>
      <c r="V461" s="3">
        <f t="shared" si="98"/>
        <v>1.2593205186620766</v>
      </c>
      <c r="W461" s="3">
        <f t="shared" si="99"/>
        <v>0.30909542281895602</v>
      </c>
      <c r="X461" s="3">
        <f t="shared" si="100"/>
        <v>0.67166770924694186</v>
      </c>
      <c r="Y461" s="3">
        <f t="shared" si="101"/>
        <v>0.86583963948593945</v>
      </c>
      <c r="Z461" s="3">
        <f t="shared" si="102"/>
        <v>1.1004938959722887</v>
      </c>
      <c r="AA461" s="3">
        <f t="shared" si="103"/>
        <v>1.3055868928712493</v>
      </c>
      <c r="AB461" s="3">
        <f t="shared" si="104"/>
        <v>1.5020177183591013</v>
      </c>
    </row>
    <row r="462" spans="1:28" x14ac:dyDescent="0.25">
      <c r="A462" s="3">
        <v>1.23766146544926E+18</v>
      </c>
      <c r="B462" s="3">
        <v>235.65621999999999</v>
      </c>
      <c r="C462" s="3">
        <v>35.600143000000003</v>
      </c>
      <c r="D462" s="16">
        <v>0.77944259999999999</v>
      </c>
      <c r="E462" s="3">
        <v>1.6755199999999988</v>
      </c>
      <c r="F462" s="3">
        <v>2.9604199999999992</v>
      </c>
      <c r="G462" s="3">
        <v>4.0112200000000016</v>
      </c>
      <c r="H462" s="3">
        <v>4.73752</v>
      </c>
      <c r="I462" s="3">
        <v>1.2849000000000004</v>
      </c>
      <c r="J462" s="3">
        <v>2.3357000000000028</v>
      </c>
      <c r="K462" s="3">
        <v>3.0620000000000012</v>
      </c>
      <c r="L462" s="3">
        <v>1.0508000000000024</v>
      </c>
      <c r="M462" s="3">
        <v>1.7771000000000008</v>
      </c>
      <c r="N462" s="3">
        <v>0.72629999999999839</v>
      </c>
      <c r="P462" s="3">
        <f t="shared" si="92"/>
        <v>-1.877274457867955</v>
      </c>
      <c r="Q462" s="3">
        <f t="shared" si="93"/>
        <v>-1.7251526039587104</v>
      </c>
      <c r="R462" s="3">
        <f t="shared" si="94"/>
        <v>1.7066090869876398</v>
      </c>
      <c r="S462" s="3">
        <f t="shared" si="95"/>
        <v>-0.12800481796510718</v>
      </c>
      <c r="T462" s="3">
        <f t="shared" si="96"/>
        <v>-0.15945052605456436</v>
      </c>
      <c r="U462" s="3">
        <f t="shared" si="97"/>
        <v>0.13022754712182608</v>
      </c>
      <c r="V462" s="3">
        <f t="shared" si="98"/>
        <v>0.36261735421041497</v>
      </c>
      <c r="W462" s="3">
        <f t="shared" si="99"/>
        <v>-9.6823379512111868E-2</v>
      </c>
      <c r="X462" s="3">
        <f t="shared" si="100"/>
        <v>0.37157432509254157</v>
      </c>
      <c r="Y462" s="3">
        <f t="shared" si="101"/>
        <v>0.65556608380525883</v>
      </c>
      <c r="Z462" s="3">
        <f t="shared" si="102"/>
        <v>1.0151052496869497</v>
      </c>
      <c r="AA462" s="3">
        <f t="shared" si="103"/>
        <v>1.3313986293603957</v>
      </c>
      <c r="AB462" s="3">
        <f t="shared" si="104"/>
        <v>1.7302263822841593</v>
      </c>
    </row>
    <row r="463" spans="1:28" x14ac:dyDescent="0.25">
      <c r="A463" s="3">
        <v>1.2376625032187699E+18</v>
      </c>
      <c r="B463" s="3">
        <v>236.08042</v>
      </c>
      <c r="C463" s="3">
        <v>36.165427999999999</v>
      </c>
      <c r="D463" s="16">
        <v>0.8278295</v>
      </c>
      <c r="E463" s="3">
        <v>1.2142999999999979</v>
      </c>
      <c r="F463" s="3">
        <v>2.9793500000000002</v>
      </c>
      <c r="G463" s="3">
        <v>4.2147699999999979</v>
      </c>
      <c r="H463" s="3">
        <v>5.100839999999998</v>
      </c>
      <c r="I463" s="3">
        <v>1.7650500000000022</v>
      </c>
      <c r="J463" s="3">
        <v>3.00047</v>
      </c>
      <c r="K463" s="3">
        <v>3.8865400000000001</v>
      </c>
      <c r="L463" s="3">
        <v>1.2354199999999977</v>
      </c>
      <c r="M463" s="3">
        <v>2.1214899999999979</v>
      </c>
      <c r="N463" s="3">
        <v>0.88607000000000014</v>
      </c>
      <c r="P463" s="3">
        <f t="shared" si="92"/>
        <v>-0.572109894884412</v>
      </c>
      <c r="Q463" s="3">
        <f t="shared" si="93"/>
        <v>0.27598926519858036</v>
      </c>
      <c r="R463" s="3">
        <f t="shared" si="94"/>
        <v>1.8961383302012349</v>
      </c>
      <c r="S463" s="3">
        <f t="shared" si="95"/>
        <v>-0.58201020900253786</v>
      </c>
      <c r="T463" s="3">
        <f t="shared" si="96"/>
        <v>-0.14261191707505733</v>
      </c>
      <c r="U463" s="3">
        <f t="shared" si="97"/>
        <v>0.29501285903161584</v>
      </c>
      <c r="V463" s="3">
        <f t="shared" si="98"/>
        <v>0.64070210834688035</v>
      </c>
      <c r="W463" s="3">
        <f t="shared" si="99"/>
        <v>0.84778919713338419</v>
      </c>
      <c r="X463" s="3">
        <f t="shared" si="100"/>
        <v>1.2206978416683669</v>
      </c>
      <c r="Y463" s="3">
        <f t="shared" si="101"/>
        <v>1.550794862660789</v>
      </c>
      <c r="Z463" s="3">
        <f t="shared" si="102"/>
        <v>1.5661171992570508</v>
      </c>
      <c r="AA463" s="3">
        <f t="shared" si="103"/>
        <v>2.0335553378514573</v>
      </c>
      <c r="AB463" s="3">
        <f t="shared" si="104"/>
        <v>2.6136985954004506</v>
      </c>
    </row>
    <row r="464" spans="1:28" x14ac:dyDescent="0.25">
      <c r="A464" s="3">
        <v>1.2376625037556401E+18</v>
      </c>
      <c r="B464" s="3">
        <v>236.26182</v>
      </c>
      <c r="C464" s="3">
        <v>36.526017000000003</v>
      </c>
      <c r="D464" s="16">
        <v>0.83264159999999998</v>
      </c>
      <c r="E464" s="3">
        <v>0.82445999999999842</v>
      </c>
      <c r="F464" s="3">
        <v>3.6282599999999974</v>
      </c>
      <c r="G464" s="3">
        <v>5.0477799999999995</v>
      </c>
      <c r="H464" s="3">
        <v>5.9694699999999976</v>
      </c>
      <c r="I464" s="3">
        <v>2.803799999999999</v>
      </c>
      <c r="J464" s="3">
        <v>4.2233200000000011</v>
      </c>
      <c r="K464" s="3">
        <v>5.1450099999999992</v>
      </c>
      <c r="L464" s="3">
        <v>1.4195200000000021</v>
      </c>
      <c r="M464" s="3">
        <v>2.3412100000000002</v>
      </c>
      <c r="N464" s="3">
        <v>0.92168999999999812</v>
      </c>
      <c r="P464" s="3">
        <f t="shared" si="92"/>
        <v>-1.3984360407272196E-2</v>
      </c>
      <c r="Q464" s="3">
        <f t="shared" si="93"/>
        <v>1.5524953558565187</v>
      </c>
      <c r="R464" s="3">
        <f t="shared" si="94"/>
        <v>1.9149871027257848</v>
      </c>
      <c r="S464" s="3">
        <f t="shared" si="95"/>
        <v>-0.96575215783830259</v>
      </c>
      <c r="T464" s="3">
        <f t="shared" si="96"/>
        <v>0.43460634773694962</v>
      </c>
      <c r="U464" s="3">
        <f t="shared" si="97"/>
        <v>0.96938187241396268</v>
      </c>
      <c r="V464" s="3">
        <f t="shared" si="98"/>
        <v>1.3055506165092692</v>
      </c>
      <c r="W464" s="3">
        <f t="shared" si="99"/>
        <v>2.8913512381424482</v>
      </c>
      <c r="X464" s="3">
        <f t="shared" si="100"/>
        <v>2.7826676842376066</v>
      </c>
      <c r="Y464" s="3">
        <f t="shared" si="101"/>
        <v>2.917154968084807</v>
      </c>
      <c r="Z464" s="3">
        <f t="shared" si="102"/>
        <v>2.1155771706353446</v>
      </c>
      <c r="AA464" s="3">
        <f t="shared" si="103"/>
        <v>2.4815296460185321</v>
      </c>
      <c r="AB464" s="3">
        <f t="shared" si="104"/>
        <v>2.8106647356720922</v>
      </c>
    </row>
    <row r="465" spans="1:28" x14ac:dyDescent="0.25">
      <c r="A465" s="3">
        <v>1.2376625032186399E+18</v>
      </c>
      <c r="B465" s="3">
        <v>235.76282</v>
      </c>
      <c r="C465" s="3">
        <v>36.297714999999997</v>
      </c>
      <c r="D465" s="16">
        <v>0.86897500000000005</v>
      </c>
      <c r="E465" s="3">
        <v>-0.59499999999999886</v>
      </c>
      <c r="F465" s="3">
        <v>1.8399300000000025</v>
      </c>
      <c r="G465" s="3">
        <v>2.8889100000000028</v>
      </c>
      <c r="H465" s="3">
        <v>3.8317600000000027</v>
      </c>
      <c r="I465" s="3">
        <v>2.4349300000000014</v>
      </c>
      <c r="J465" s="3">
        <v>3.4839100000000016</v>
      </c>
      <c r="K465" s="3">
        <v>4.4267600000000016</v>
      </c>
      <c r="L465" s="3">
        <v>1.0489800000000002</v>
      </c>
      <c r="M465" s="3">
        <v>1.9918300000000002</v>
      </c>
      <c r="N465" s="3">
        <v>0.94284999999999997</v>
      </c>
      <c r="P465" s="3">
        <f t="shared" si="92"/>
        <v>-1.5492910952699819</v>
      </c>
      <c r="Q465" s="3">
        <f t="shared" si="93"/>
        <v>0.74429296058269379</v>
      </c>
      <c r="R465" s="3">
        <f t="shared" si="94"/>
        <v>2.057303345456293</v>
      </c>
      <c r="S465" s="3">
        <f t="shared" si="95"/>
        <v>-2.3630083313823573</v>
      </c>
      <c r="T465" s="3">
        <f t="shared" si="96"/>
        <v>-1.1561485173618435</v>
      </c>
      <c r="U465" s="3">
        <f t="shared" si="97"/>
        <v>-0.7783462844157778</v>
      </c>
      <c r="V465" s="3">
        <f t="shared" si="98"/>
        <v>-0.33065041774446086</v>
      </c>
      <c r="W465" s="3">
        <f t="shared" si="99"/>
        <v>2.1656629300153618</v>
      </c>
      <c r="X465" s="3">
        <f t="shared" si="100"/>
        <v>1.8382050589817538</v>
      </c>
      <c r="Y465" s="3">
        <f t="shared" si="101"/>
        <v>2.1373285552813246</v>
      </c>
      <c r="Z465" s="3">
        <f t="shared" si="102"/>
        <v>1.0096733260155231</v>
      </c>
      <c r="AA465" s="3">
        <f t="shared" si="103"/>
        <v>1.7691991172209214</v>
      </c>
      <c r="AB465" s="3">
        <f t="shared" si="104"/>
        <v>2.9276721339918153</v>
      </c>
    </row>
    <row r="466" spans="1:28" x14ac:dyDescent="0.25">
      <c r="A466" s="3">
        <v>1.2376625032189E+18</v>
      </c>
      <c r="B466" s="3">
        <v>236.41856000000001</v>
      </c>
      <c r="C466" s="3">
        <v>36.050172000000003</v>
      </c>
      <c r="D466" s="16">
        <v>0.87962530000000005</v>
      </c>
      <c r="E466" s="3">
        <v>1.5856999999999992</v>
      </c>
      <c r="F466" s="3">
        <v>2.9578699999999998</v>
      </c>
      <c r="G466" s="3">
        <v>4.3867499999999993</v>
      </c>
      <c r="H466" s="3">
        <v>5.3507299999999987</v>
      </c>
      <c r="I466" s="3">
        <v>1.3721700000000006</v>
      </c>
      <c r="J466" s="3">
        <v>2.80105</v>
      </c>
      <c r="K466" s="3">
        <v>3.7650299999999994</v>
      </c>
      <c r="L466" s="3">
        <v>1.4288799999999995</v>
      </c>
      <c r="M466" s="3">
        <v>2.3928599999999989</v>
      </c>
      <c r="N466" s="3">
        <v>0.96397999999999939</v>
      </c>
      <c r="P466" s="3">
        <f t="shared" si="92"/>
        <v>0.4682680997578661</v>
      </c>
      <c r="Q466" s="3">
        <f t="shared" si="93"/>
        <v>-0.13202369688529711</v>
      </c>
      <c r="R466" s="3">
        <f t="shared" si="94"/>
        <v>2.0990200766169536</v>
      </c>
      <c r="S466" s="3">
        <f t="shared" si="95"/>
        <v>-0.2164198134617937</v>
      </c>
      <c r="T466" s="3">
        <f t="shared" si="96"/>
        <v>-0.16171880143215181</v>
      </c>
      <c r="U466" s="3">
        <f t="shared" si="97"/>
        <v>0.43424045884613993</v>
      </c>
      <c r="V466" s="3">
        <f t="shared" si="98"/>
        <v>0.83196765720508215</v>
      </c>
      <c r="W466" s="3">
        <f t="shared" si="99"/>
        <v>7.4865341853820211E-2</v>
      </c>
      <c r="X466" s="3">
        <f t="shared" si="100"/>
        <v>0.96597483720734767</v>
      </c>
      <c r="Y466" s="3">
        <f t="shared" si="101"/>
        <v>1.4188676682023804</v>
      </c>
      <c r="Z466" s="3">
        <f t="shared" si="102"/>
        <v>2.1435127780883549</v>
      </c>
      <c r="AA466" s="3">
        <f t="shared" si="103"/>
        <v>2.5868358221373584</v>
      </c>
      <c r="AB466" s="3">
        <f t="shared" si="104"/>
        <v>3.0445136428054007</v>
      </c>
    </row>
    <row r="467" spans="1:28" x14ac:dyDescent="0.25">
      <c r="A467" s="3">
        <v>1.2376624736910001E+18</v>
      </c>
      <c r="B467" s="3">
        <v>236.47665000000001</v>
      </c>
      <c r="C467" s="3">
        <v>36.259357999999999</v>
      </c>
      <c r="D467" s="16">
        <v>0.88017769999999995</v>
      </c>
      <c r="E467" s="3">
        <v>2.8729799999999983</v>
      </c>
      <c r="F467" s="3">
        <v>4.2487199999999987</v>
      </c>
      <c r="G467" s="3">
        <v>5.7993899999999989</v>
      </c>
      <c r="H467" s="3">
        <v>6.9105299999999978</v>
      </c>
      <c r="I467" s="3">
        <v>1.3757400000000004</v>
      </c>
      <c r="J467" s="3">
        <v>2.9264100000000006</v>
      </c>
      <c r="K467" s="3">
        <v>4.0375499999999995</v>
      </c>
      <c r="L467" s="3">
        <v>1.5506700000000002</v>
      </c>
      <c r="M467" s="3">
        <v>2.6618099999999991</v>
      </c>
      <c r="N467" s="3">
        <v>1.1111399999999989</v>
      </c>
      <c r="P467" s="3">
        <f t="shared" si="92"/>
        <v>0.64699749500468917</v>
      </c>
      <c r="Q467" s="3">
        <f t="shared" si="93"/>
        <v>0.60850694348465961</v>
      </c>
      <c r="R467" s="3">
        <f t="shared" si="94"/>
        <v>2.10118380179776</v>
      </c>
      <c r="S467" s="3">
        <f t="shared" si="95"/>
        <v>1.0507239785998304</v>
      </c>
      <c r="T467" s="3">
        <f t="shared" si="96"/>
        <v>0.98651777549312558</v>
      </c>
      <c r="U467" s="3">
        <f t="shared" si="97"/>
        <v>1.5778529521708735</v>
      </c>
      <c r="V467" s="3">
        <f t="shared" si="98"/>
        <v>2.0258369721397425</v>
      </c>
      <c r="W467" s="3">
        <f t="shared" si="99"/>
        <v>8.1888703092233769E-2</v>
      </c>
      <c r="X467" s="3">
        <f t="shared" si="100"/>
        <v>1.1260995781522556</v>
      </c>
      <c r="Y467" s="3">
        <f t="shared" si="101"/>
        <v>1.7147511266321831</v>
      </c>
      <c r="Z467" s="3">
        <f t="shared" si="102"/>
        <v>2.5070039780566398</v>
      </c>
      <c r="AA467" s="3">
        <f t="shared" si="103"/>
        <v>3.1351823094008466</v>
      </c>
      <c r="AB467" s="3">
        <f t="shared" si="104"/>
        <v>3.8582569668474083</v>
      </c>
    </row>
    <row r="468" spans="1:28" x14ac:dyDescent="0.25">
      <c r="A468" s="3">
        <v>1.23766247422781E+18</v>
      </c>
      <c r="B468" s="3">
        <v>236.71458999999999</v>
      </c>
      <c r="C468" s="3">
        <v>36.599280999999998</v>
      </c>
      <c r="D468" s="16">
        <v>0.88405560000000005</v>
      </c>
      <c r="E468" s="3">
        <v>2.2877499999999991</v>
      </c>
      <c r="F468" s="3">
        <v>2.7427799999999998</v>
      </c>
      <c r="G468" s="3">
        <v>4.2633799999999979</v>
      </c>
      <c r="H468" s="3">
        <v>5.2258800000000001</v>
      </c>
      <c r="I468" s="3">
        <v>0.45503000000000071</v>
      </c>
      <c r="J468" s="3">
        <v>1.9756299999999989</v>
      </c>
      <c r="K468" s="3">
        <v>2.938130000000001</v>
      </c>
      <c r="L468" s="3">
        <v>1.5205999999999982</v>
      </c>
      <c r="M468" s="3">
        <v>2.4831000000000003</v>
      </c>
      <c r="N468" s="3">
        <v>0.96250000000000213</v>
      </c>
      <c r="P468" s="3">
        <f t="shared" si="92"/>
        <v>1.3790834358728388</v>
      </c>
      <c r="Q468" s="3">
        <f t="shared" si="93"/>
        <v>1.8118541888379884</v>
      </c>
      <c r="R468" s="3">
        <f t="shared" si="94"/>
        <v>2.116373356248614</v>
      </c>
      <c r="S468" s="3">
        <f t="shared" si="95"/>
        <v>0.47464840729582203</v>
      </c>
      <c r="T468" s="3">
        <f t="shared" si="96"/>
        <v>-0.35304560573230914</v>
      </c>
      <c r="U468" s="3">
        <f t="shared" si="97"/>
        <v>0.33436542111432294</v>
      </c>
      <c r="V468" s="3">
        <f t="shared" si="98"/>
        <v>0.73640759567822567</v>
      </c>
      <c r="W468" s="3">
        <f t="shared" si="99"/>
        <v>-1.7294499315912422</v>
      </c>
      <c r="X468" s="3">
        <f t="shared" si="100"/>
        <v>-8.8350016579709034E-2</v>
      </c>
      <c r="Y468" s="3">
        <f t="shared" si="101"/>
        <v>0.52107656378581191</v>
      </c>
      <c r="Z468" s="3">
        <f t="shared" si="102"/>
        <v>2.4172578545403658</v>
      </c>
      <c r="AA468" s="3">
        <f t="shared" si="103"/>
        <v>2.770820901187955</v>
      </c>
      <c r="AB468" s="3">
        <f t="shared" si="104"/>
        <v>3.0363297605032811</v>
      </c>
    </row>
    <row r="469" spans="1:28" x14ac:dyDescent="0.25">
      <c r="A469" s="3">
        <v>1.2376625037557701E+18</v>
      </c>
      <c r="B469" s="3">
        <v>236.72444999999999</v>
      </c>
      <c r="C469" s="3">
        <v>36.354111000000003</v>
      </c>
      <c r="D469" s="16">
        <v>0.92930959999999996</v>
      </c>
      <c r="E469" s="3">
        <v>2.1056300000000014</v>
      </c>
      <c r="F469" s="3">
        <v>2.7569200000000009</v>
      </c>
      <c r="G469" s="3">
        <v>3.937540000000002</v>
      </c>
      <c r="H469" s="3">
        <v>4.8224800000000023</v>
      </c>
      <c r="I469" s="3">
        <v>0.65128999999999948</v>
      </c>
      <c r="J469" s="3">
        <v>1.8319100000000006</v>
      </c>
      <c r="K469" s="3">
        <v>2.7168500000000009</v>
      </c>
      <c r="L469" s="3">
        <v>1.1806200000000011</v>
      </c>
      <c r="M469" s="3">
        <v>2.0655600000000014</v>
      </c>
      <c r="N469" s="3">
        <v>0.88494000000000028</v>
      </c>
      <c r="P469" s="3">
        <f t="shared" si="92"/>
        <v>1.4094203585296556</v>
      </c>
      <c r="Q469" s="3">
        <f t="shared" si="93"/>
        <v>0.94393808977064064</v>
      </c>
      <c r="R469" s="3">
        <f t="shared" si="94"/>
        <v>2.293631175459764</v>
      </c>
      <c r="S469" s="3">
        <f t="shared" si="95"/>
        <v>0.29537720956862973</v>
      </c>
      <c r="T469" s="3">
        <f t="shared" si="96"/>
        <v>-0.34046779638364377</v>
      </c>
      <c r="U469" s="3">
        <f t="shared" si="97"/>
        <v>7.0579392950794628E-2</v>
      </c>
      <c r="V469" s="3">
        <f t="shared" si="98"/>
        <v>0.42764565078488065</v>
      </c>
      <c r="W469" s="3">
        <f t="shared" si="99"/>
        <v>-1.343342123005502</v>
      </c>
      <c r="X469" s="3">
        <f t="shared" si="100"/>
        <v>-0.2719263389201827</v>
      </c>
      <c r="Y469" s="3">
        <f t="shared" si="101"/>
        <v>0.28082597050331237</v>
      </c>
      <c r="Z469" s="3">
        <f t="shared" si="102"/>
        <v>1.4025625744252859</v>
      </c>
      <c r="AA469" s="3">
        <f t="shared" si="103"/>
        <v>1.9195229190648984</v>
      </c>
      <c r="AB469" s="3">
        <f t="shared" si="104"/>
        <v>2.6074500906697673</v>
      </c>
    </row>
    <row r="470" spans="1:28" x14ac:dyDescent="0.25">
      <c r="A470" s="3">
        <v>1.23766250375584E+18</v>
      </c>
      <c r="B470" s="3">
        <v>236.75128000000001</v>
      </c>
      <c r="C470" s="3">
        <v>36.269359000000001</v>
      </c>
      <c r="D470" s="16">
        <v>0.92970600000000003</v>
      </c>
      <c r="E470" s="3">
        <v>0.53013999999999939</v>
      </c>
      <c r="F470" s="3">
        <v>1.5400999999999989</v>
      </c>
      <c r="G470" s="3">
        <v>2.93337</v>
      </c>
      <c r="H470" s="3">
        <v>3.7856799999999993</v>
      </c>
      <c r="I470" s="3">
        <v>1.0099599999999995</v>
      </c>
      <c r="J470" s="3">
        <v>2.4032300000000006</v>
      </c>
      <c r="K470" s="3">
        <v>3.2555399999999999</v>
      </c>
      <c r="L470" s="3">
        <v>1.3932700000000011</v>
      </c>
      <c r="M470" s="3">
        <v>2.2455800000000004</v>
      </c>
      <c r="N470" s="3">
        <v>0.85230999999999923</v>
      </c>
      <c r="P470" s="3">
        <f t="shared" si="92"/>
        <v>1.4919700172398653</v>
      </c>
      <c r="Q470" s="3">
        <f t="shared" si="93"/>
        <v>0.64391106677370391</v>
      </c>
      <c r="R470" s="3">
        <f t="shared" si="94"/>
        <v>2.2951838558755355</v>
      </c>
      <c r="S470" s="3">
        <f t="shared" si="95"/>
        <v>-1.2554682731198079</v>
      </c>
      <c r="T470" s="3">
        <f t="shared" si="96"/>
        <v>-1.4228532257783988</v>
      </c>
      <c r="U470" s="3">
        <f t="shared" si="97"/>
        <v>-0.74235338356827629</v>
      </c>
      <c r="V470" s="3">
        <f t="shared" si="98"/>
        <v>-0.36592000232722355</v>
      </c>
      <c r="W470" s="3">
        <f t="shared" si="99"/>
        <v>-0.63772056127387899</v>
      </c>
      <c r="X470" s="3">
        <f t="shared" si="100"/>
        <v>0.45783169391839701</v>
      </c>
      <c r="Y470" s="3">
        <f t="shared" si="101"/>
        <v>0.86569849443384983</v>
      </c>
      <c r="Z470" s="3">
        <f t="shared" si="102"/>
        <v>2.0372321176821648</v>
      </c>
      <c r="AA470" s="3">
        <f t="shared" si="103"/>
        <v>2.2865552099634763</v>
      </c>
      <c r="AB470" s="3">
        <f t="shared" si="104"/>
        <v>2.427017604508503</v>
      </c>
    </row>
    <row r="471" spans="1:28" x14ac:dyDescent="0.25">
      <c r="A471" s="3">
        <v>1.2376625032190999E+18</v>
      </c>
      <c r="B471" s="3">
        <v>236.77887000000001</v>
      </c>
      <c r="C471" s="3">
        <v>35.666027999999997</v>
      </c>
      <c r="D471" s="16">
        <v>0.94808369999999997</v>
      </c>
      <c r="E471" s="3">
        <v>-0.17475999999999914</v>
      </c>
      <c r="F471" s="3">
        <v>0.7547200000000025</v>
      </c>
      <c r="G471" s="3">
        <v>2.2613900000000022</v>
      </c>
      <c r="H471" s="3">
        <v>3.186200000000003</v>
      </c>
      <c r="I471" s="3">
        <v>0.92948000000000164</v>
      </c>
      <c r="J471" s="3">
        <v>2.4361500000000014</v>
      </c>
      <c r="K471" s="3">
        <v>3.3609600000000022</v>
      </c>
      <c r="L471" s="3">
        <v>1.5066699999999997</v>
      </c>
      <c r="M471" s="3">
        <v>2.4314800000000005</v>
      </c>
      <c r="N471" s="3">
        <v>0.9248100000000008</v>
      </c>
      <c r="P471" s="3">
        <f t="shared" si="92"/>
        <v>1.5768580188728674</v>
      </c>
      <c r="Q471" s="3">
        <f t="shared" si="93"/>
        <v>-1.4919158613431838</v>
      </c>
      <c r="R471" s="3">
        <f t="shared" si="94"/>
        <v>2.3671684544550367</v>
      </c>
      <c r="S471" s="3">
        <f t="shared" si="95"/>
        <v>-1.9493419129062084</v>
      </c>
      <c r="T471" s="3">
        <f t="shared" si="96"/>
        <v>-2.1214642516803788</v>
      </c>
      <c r="U471" s="3">
        <f t="shared" si="97"/>
        <v>-1.286359445455489</v>
      </c>
      <c r="V471" s="3">
        <f t="shared" si="98"/>
        <v>-0.82476137745033296</v>
      </c>
      <c r="W471" s="3">
        <f t="shared" si="99"/>
        <v>-0.79605112499027431</v>
      </c>
      <c r="X471" s="3">
        <f t="shared" si="100"/>
        <v>0.49988104356666169</v>
      </c>
      <c r="Y471" s="3">
        <f t="shared" si="101"/>
        <v>0.98015627436805819</v>
      </c>
      <c r="Z471" s="3">
        <f t="shared" si="102"/>
        <v>2.3756827464398849</v>
      </c>
      <c r="AA471" s="3">
        <f t="shared" si="103"/>
        <v>2.6655758903214704</v>
      </c>
      <c r="AB471" s="3">
        <f t="shared" si="104"/>
        <v>2.8279172443090403</v>
      </c>
    </row>
    <row r="472" spans="1:28" x14ac:dyDescent="0.25">
      <c r="A472" s="3">
        <v>1.2376625032186399E+18</v>
      </c>
      <c r="B472" s="3">
        <v>235.65326999999999</v>
      </c>
      <c r="C472" s="3">
        <v>36.393329000000001</v>
      </c>
      <c r="D472" s="16">
        <v>0.95164079999999995</v>
      </c>
      <c r="E472" s="3">
        <v>-1.0953599999999994</v>
      </c>
      <c r="F472" s="3">
        <v>0.23267000000000237</v>
      </c>
      <c r="G472" s="3">
        <v>1.2879400000000025</v>
      </c>
      <c r="H472" s="3">
        <v>1.9461800000000018</v>
      </c>
      <c r="I472" s="3">
        <v>1.3280300000000018</v>
      </c>
      <c r="J472" s="3">
        <v>2.383300000000002</v>
      </c>
      <c r="K472" s="3">
        <v>3.0415400000000012</v>
      </c>
      <c r="L472" s="3">
        <v>1.0552700000000002</v>
      </c>
      <c r="M472" s="3">
        <v>1.7135099999999994</v>
      </c>
      <c r="N472" s="3">
        <v>0.65823999999999927</v>
      </c>
      <c r="P472" s="3">
        <f t="shared" si="92"/>
        <v>-1.8863509205289624</v>
      </c>
      <c r="Q472" s="3">
        <f t="shared" si="93"/>
        <v>1.0827720970848407</v>
      </c>
      <c r="R472" s="3">
        <f t="shared" si="94"/>
        <v>2.381101450183944</v>
      </c>
      <c r="S472" s="3">
        <f t="shared" si="95"/>
        <v>-2.8555414770817817</v>
      </c>
      <c r="T472" s="3">
        <f t="shared" si="96"/>
        <v>-2.5858380402567755</v>
      </c>
      <c r="U472" s="3">
        <f t="shared" si="97"/>
        <v>-2.0744226332648119</v>
      </c>
      <c r="V472" s="3">
        <f t="shared" si="98"/>
        <v>-1.7738714094449988</v>
      </c>
      <c r="W472" s="3">
        <f t="shared" si="99"/>
        <v>-1.1972519508526635E-2</v>
      </c>
      <c r="X472" s="3">
        <f t="shared" si="100"/>
        <v>0.43237472130327426</v>
      </c>
      <c r="Y472" s="3">
        <f t="shared" si="101"/>
        <v>0.63335202406845514</v>
      </c>
      <c r="Z472" s="3">
        <f t="shared" si="102"/>
        <v>1.0284462929898268</v>
      </c>
      <c r="AA472" s="3">
        <f t="shared" si="103"/>
        <v>1.2017486828086725</v>
      </c>
      <c r="AB472" s="3">
        <f t="shared" si="104"/>
        <v>1.3538783893900406</v>
      </c>
    </row>
    <row r="473" spans="1:28" x14ac:dyDescent="0.25">
      <c r="A473" s="3">
        <v>1.2376625037557701E+18</v>
      </c>
      <c r="B473" s="3">
        <v>236.63907</v>
      </c>
      <c r="C473" s="3">
        <v>36.403058999999999</v>
      </c>
      <c r="D473" s="16">
        <v>0.97035740000000004</v>
      </c>
      <c r="E473" s="3">
        <v>0.3970400000000005</v>
      </c>
      <c r="F473" s="3">
        <v>1.4859599999999986</v>
      </c>
      <c r="G473" s="3">
        <v>2.617560000000001</v>
      </c>
      <c r="H473" s="3">
        <v>3.4264599999999987</v>
      </c>
      <c r="I473" s="3">
        <v>1.0889199999999981</v>
      </c>
      <c r="J473" s="3">
        <v>2.2205200000000005</v>
      </c>
      <c r="K473" s="3">
        <v>3.0294199999999982</v>
      </c>
      <c r="L473" s="3">
        <v>1.1316000000000024</v>
      </c>
      <c r="M473" s="3">
        <v>1.9405000000000001</v>
      </c>
      <c r="N473" s="3">
        <v>0.80889999999999773</v>
      </c>
      <c r="P473" s="3">
        <f t="shared" si="92"/>
        <v>1.1467259917509809</v>
      </c>
      <c r="Q473" s="3">
        <f t="shared" si="93"/>
        <v>1.1172168645683149</v>
      </c>
      <c r="R473" s="3">
        <f t="shared" si="94"/>
        <v>2.4544135043459505</v>
      </c>
      <c r="S473" s="3">
        <f t="shared" si="95"/>
        <v>-1.3864862635518824</v>
      </c>
      <c r="T473" s="3">
        <f t="shared" si="96"/>
        <v>-1.4710118253637379</v>
      </c>
      <c r="U473" s="3">
        <f t="shared" si="97"/>
        <v>-0.99801955578262891</v>
      </c>
      <c r="V473" s="3">
        <f t="shared" si="98"/>
        <v>-0.64086662068267275</v>
      </c>
      <c r="W473" s="3">
        <f t="shared" si="99"/>
        <v>-0.48238033623602261</v>
      </c>
      <c r="X473" s="3">
        <f t="shared" si="100"/>
        <v>0.22445269409354054</v>
      </c>
      <c r="Y473" s="3">
        <f t="shared" si="101"/>
        <v>0.62019296228887899</v>
      </c>
      <c r="Z473" s="3">
        <f t="shared" si="102"/>
        <v>1.2562587841104427</v>
      </c>
      <c r="AA473" s="3">
        <f t="shared" si="103"/>
        <v>1.6645453704604274</v>
      </c>
      <c r="AB473" s="3">
        <f t="shared" si="104"/>
        <v>2.1869754891465507</v>
      </c>
    </row>
    <row r="474" spans="1:28" x14ac:dyDescent="0.25">
      <c r="A474" s="3">
        <v>1.23766247369087E+18</v>
      </c>
      <c r="B474" s="3">
        <v>236.15221</v>
      </c>
      <c r="C474" s="3">
        <v>36.441415999999997</v>
      </c>
      <c r="D474" s="16">
        <v>1.039819</v>
      </c>
      <c r="E474" s="3">
        <v>-1.1648399999999981</v>
      </c>
      <c r="F474" s="3">
        <v>0.95841000000000065</v>
      </c>
      <c r="G474" s="3">
        <v>2.3990000000000009</v>
      </c>
      <c r="H474" s="3">
        <v>3.1779500000000027</v>
      </c>
      <c r="I474" s="3">
        <v>2.1232499999999987</v>
      </c>
      <c r="J474" s="3">
        <v>3.563839999999999</v>
      </c>
      <c r="K474" s="3">
        <v>4.3427900000000008</v>
      </c>
      <c r="L474" s="3">
        <v>1.4405900000000003</v>
      </c>
      <c r="M474" s="3">
        <v>2.2195400000000021</v>
      </c>
      <c r="N474" s="3">
        <v>0.77895000000000181</v>
      </c>
      <c r="P474" s="3">
        <f t="shared" si="92"/>
        <v>-0.35122879168644783</v>
      </c>
      <c r="Q474" s="3">
        <f t="shared" si="93"/>
        <v>1.2530028816663492</v>
      </c>
      <c r="R474" s="3">
        <f t="shared" si="94"/>
        <v>2.7264913700576505</v>
      </c>
      <c r="S474" s="3">
        <f t="shared" si="95"/>
        <v>-2.9239346399309212</v>
      </c>
      <c r="T474" s="3">
        <f t="shared" si="96"/>
        <v>-1.9402779725976753</v>
      </c>
      <c r="U474" s="3">
        <f t="shared" si="97"/>
        <v>-1.174956317123844</v>
      </c>
      <c r="V474" s="3">
        <f t="shared" si="98"/>
        <v>-0.83107591896091848</v>
      </c>
      <c r="W474" s="3">
        <f t="shared" si="99"/>
        <v>1.5524861146683464</v>
      </c>
      <c r="X474" s="3">
        <f t="shared" si="100"/>
        <v>1.9403011864843542</v>
      </c>
      <c r="Y474" s="3">
        <f t="shared" si="101"/>
        <v>2.0461597089421542</v>
      </c>
      <c r="Z474" s="3">
        <f t="shared" si="102"/>
        <v>2.1784621331390888</v>
      </c>
      <c r="AA474" s="3">
        <f t="shared" si="103"/>
        <v>2.2334637709289336</v>
      </c>
      <c r="AB474" s="3">
        <f t="shared" si="104"/>
        <v>2.021362465532424</v>
      </c>
    </row>
    <row r="475" spans="1:28" x14ac:dyDescent="0.25">
      <c r="A475" s="3">
        <v>1.2376624736908001E+18</v>
      </c>
      <c r="B475" s="3">
        <v>235.98913999999999</v>
      </c>
      <c r="C475" s="3">
        <v>36.504567000000002</v>
      </c>
      <c r="D475" s="16">
        <v>1.530724</v>
      </c>
      <c r="E475" s="3">
        <v>1.5214199999999991</v>
      </c>
      <c r="F475" s="3">
        <v>2.8154800000000009</v>
      </c>
      <c r="G475" s="3">
        <v>3.8268699999999995</v>
      </c>
      <c r="H475" s="3">
        <v>4.6574799999999996</v>
      </c>
      <c r="I475" s="3">
        <v>1.2940600000000018</v>
      </c>
      <c r="J475" s="3">
        <v>2.3054500000000004</v>
      </c>
      <c r="K475" s="3">
        <v>3.1360600000000005</v>
      </c>
      <c r="L475" s="3">
        <v>1.0113899999999987</v>
      </c>
      <c r="M475" s="3">
        <v>1.8419999999999987</v>
      </c>
      <c r="N475" s="3">
        <v>0.83061000000000007</v>
      </c>
      <c r="P475" s="3">
        <f t="shared" si="92"/>
        <v>-0.85295718698518863</v>
      </c>
      <c r="Q475" s="3">
        <f t="shared" si="93"/>
        <v>1.4765611048266361</v>
      </c>
      <c r="R475" s="3">
        <f t="shared" si="94"/>
        <v>4.6493434878781725</v>
      </c>
      <c r="S475" s="3">
        <f t="shared" si="95"/>
        <v>-0.27969431703034242</v>
      </c>
      <c r="T475" s="3">
        <f t="shared" si="96"/>
        <v>-0.28837751947715251</v>
      </c>
      <c r="U475" s="3">
        <f t="shared" si="97"/>
        <v>-1.9014271844376932E-2</v>
      </c>
      <c r="V475" s="3">
        <f t="shared" si="98"/>
        <v>0.30135482057317253</v>
      </c>
      <c r="W475" s="3">
        <f t="shared" si="99"/>
        <v>-7.8802654317747564E-2</v>
      </c>
      <c r="X475" s="3">
        <f t="shared" si="100"/>
        <v>0.33293541783676767</v>
      </c>
      <c r="Y475" s="3">
        <f t="shared" si="101"/>
        <v>0.73597533425040407</v>
      </c>
      <c r="Z475" s="3">
        <f t="shared" si="102"/>
        <v>0.89748321018656896</v>
      </c>
      <c r="AA475" s="3">
        <f t="shared" si="103"/>
        <v>1.4637194585977975</v>
      </c>
      <c r="AB475" s="3">
        <f t="shared" si="104"/>
        <v>2.3070241950785562</v>
      </c>
    </row>
    <row r="476" spans="1:28" x14ac:dyDescent="0.25">
      <c r="A476" t="s">
        <v>44</v>
      </c>
      <c r="B476">
        <f>AVERAGE(B2:B475)</f>
        <v>236.26636514767947</v>
      </c>
      <c r="C476">
        <f t="shared" ref="C476:N476" si="105">AVERAGE(C2:C475)</f>
        <v>36.08746621518987</v>
      </c>
      <c r="D476">
        <f t="shared" si="105"/>
        <v>0.34374454184810133</v>
      </c>
      <c r="E476">
        <f t="shared" si="105"/>
        <v>1.8055589451476775</v>
      </c>
      <c r="F476">
        <f t="shared" si="105"/>
        <v>3.1396746202531638</v>
      </c>
      <c r="G476">
        <f t="shared" si="105"/>
        <v>3.8503572573839686</v>
      </c>
      <c r="H476">
        <f t="shared" si="105"/>
        <v>4.2637574683544317</v>
      </c>
      <c r="I476">
        <f t="shared" si="105"/>
        <v>1.3341156751054863</v>
      </c>
      <c r="J476">
        <f t="shared" si="105"/>
        <v>2.0447983122362885</v>
      </c>
      <c r="K476">
        <f t="shared" si="105"/>
        <v>2.4581985232067507</v>
      </c>
      <c r="L476">
        <f t="shared" si="105"/>
        <v>0.71068263713080149</v>
      </c>
      <c r="M476">
        <f t="shared" si="105"/>
        <v>1.1240828481012664</v>
      </c>
      <c r="N476">
        <f t="shared" si="105"/>
        <v>0.41340021097046425</v>
      </c>
      <c r="P476" s="3">
        <f>AVERAGE(P2:P475)</f>
        <v>-4.3297058390513516E-13</v>
      </c>
      <c r="Q476" s="3">
        <f t="shared" ref="Q476:AB476" si="106">AVERAGE(Q2:Q475)</f>
        <v>1.0747146257784954E-14</v>
      </c>
      <c r="R476" s="3">
        <f t="shared" si="106"/>
        <v>-2.2110770785783709E-16</v>
      </c>
      <c r="S476" s="3">
        <f t="shared" si="106"/>
        <v>1.7906445196749623E-15</v>
      </c>
      <c r="T476" s="3">
        <f t="shared" si="106"/>
        <v>6.6894450597667661E-16</v>
      </c>
      <c r="U476" s="3">
        <f t="shared" si="106"/>
        <v>-1.9081153089827757E-15</v>
      </c>
      <c r="V476" s="3">
        <f t="shared" si="106"/>
        <v>-1.1680764185243999E-15</v>
      </c>
      <c r="W476" s="3">
        <f t="shared" si="106"/>
        <v>-2.0719185860666786E-15</v>
      </c>
      <c r="X476" s="3">
        <f t="shared" si="106"/>
        <v>-1.9233325668163443E-15</v>
      </c>
      <c r="Y476" s="3">
        <f t="shared" si="106"/>
        <v>7.6450800683048757E-16</v>
      </c>
      <c r="Z476" s="3">
        <f t="shared" si="106"/>
        <v>5.7455212645685841E-16</v>
      </c>
      <c r="AA476" s="3">
        <f t="shared" si="106"/>
        <v>-1.007632795767389E-15</v>
      </c>
      <c r="AB476" s="3">
        <f t="shared" si="106"/>
        <v>8.0573147778703346E-17</v>
      </c>
    </row>
    <row r="477" spans="1:28" x14ac:dyDescent="0.25">
      <c r="A477" t="s">
        <v>45</v>
      </c>
      <c r="B477">
        <f>STDEV(B2:B475)</f>
        <v>0.32501648606694666</v>
      </c>
      <c r="C477">
        <f t="shared" ref="C477:N477" si="107">STDEV(C2:C475)</f>
        <v>0.28248122170270984</v>
      </c>
      <c r="D477">
        <f t="shared" si="107"/>
        <v>0.25530044429855669</v>
      </c>
      <c r="E477">
        <f t="shared" si="107"/>
        <v>1.0158910204702292</v>
      </c>
      <c r="F477">
        <f t="shared" si="107"/>
        <v>1.1242021251897485</v>
      </c>
      <c r="G477">
        <f t="shared" si="107"/>
        <v>1.2352435884056703</v>
      </c>
      <c r="H477">
        <f t="shared" si="107"/>
        <v>1.306508158378596</v>
      </c>
      <c r="I477">
        <f t="shared" si="107"/>
        <v>0.5083036282505452</v>
      </c>
      <c r="J477">
        <f t="shared" si="107"/>
        <v>0.7828896350447907</v>
      </c>
      <c r="K477">
        <f t="shared" si="107"/>
        <v>0.92103830827925282</v>
      </c>
      <c r="L477">
        <f t="shared" si="107"/>
        <v>0.3350562544860155</v>
      </c>
      <c r="M477">
        <f t="shared" si="107"/>
        <v>0.49047455622847086</v>
      </c>
      <c r="N477">
        <f t="shared" si="107"/>
        <v>0.18084326550174279</v>
      </c>
      <c r="P477" s="3">
        <f>STDEV(P2:P475)</f>
        <v>0.99999999999999933</v>
      </c>
      <c r="Q477" s="3">
        <f t="shared" ref="Q477:AB477" si="108">STDEV(Q2:Q475)</f>
        <v>1</v>
      </c>
      <c r="R477" s="3">
        <f t="shared" si="108"/>
        <v>1.0000000000000002</v>
      </c>
      <c r="S477" s="3">
        <f t="shared" si="108"/>
        <v>0.99999999999999589</v>
      </c>
      <c r="T477" s="3">
        <f t="shared" si="108"/>
        <v>0.99999999999999933</v>
      </c>
      <c r="U477" s="3">
        <f t="shared" si="108"/>
        <v>1.0000000000000027</v>
      </c>
      <c r="V477" s="3">
        <f t="shared" si="108"/>
        <v>1.000000000000008</v>
      </c>
      <c r="W477" s="3">
        <f t="shared" si="108"/>
        <v>1.0000000000000078</v>
      </c>
      <c r="X477" s="3">
        <f t="shared" si="108"/>
        <v>1.000000000000004</v>
      </c>
      <c r="Y477" s="3">
        <f t="shared" si="108"/>
        <v>0.99999999999999478</v>
      </c>
      <c r="Z477" s="3">
        <f t="shared" si="108"/>
        <v>1.0000000000000009</v>
      </c>
      <c r="AA477" s="3">
        <f t="shared" si="108"/>
        <v>1.0000000000000013</v>
      </c>
      <c r="AB477" s="3">
        <f t="shared" si="108"/>
        <v>1.0000000000000007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EA72-93DF-465A-854A-9501AEC89A37}">
  <dimension ref="A1:AB33"/>
  <sheetViews>
    <sheetView tabSelected="1" zoomScale="70" zoomScaleNormal="70" workbookViewId="0">
      <selection activeCell="B19" sqref="B19"/>
    </sheetView>
  </sheetViews>
  <sheetFormatPr defaultRowHeight="15" x14ac:dyDescent="0.25"/>
  <cols>
    <col min="1" max="1" width="13.140625" style="21" customWidth="1"/>
    <col min="2" max="2" width="12.7109375" style="21" bestFit="1" customWidth="1"/>
    <col min="3" max="16384" width="9.140625" style="21"/>
  </cols>
  <sheetData>
    <row r="1" spans="1:28" ht="15.75" thickBot="1" x14ac:dyDescent="0.3">
      <c r="A1" s="5" t="s">
        <v>60</v>
      </c>
      <c r="P1" s="14" t="s">
        <v>61</v>
      </c>
    </row>
    <row r="2" spans="1:28" ht="15.75" thickBot="1" x14ac:dyDescent="0.3">
      <c r="A2" s="22"/>
      <c r="B2" s="22" t="s">
        <v>1</v>
      </c>
      <c r="C2" s="22" t="s">
        <v>2</v>
      </c>
      <c r="D2" s="22" t="s">
        <v>3</v>
      </c>
      <c r="E2" s="22" t="s">
        <v>10</v>
      </c>
      <c r="F2" s="22" t="s">
        <v>11</v>
      </c>
      <c r="G2" s="22" t="s">
        <v>12</v>
      </c>
      <c r="H2" s="22" t="s">
        <v>14</v>
      </c>
      <c r="I2" s="22" t="s">
        <v>15</v>
      </c>
      <c r="J2" s="22" t="s">
        <v>16</v>
      </c>
      <c r="K2" s="22" t="s">
        <v>17</v>
      </c>
      <c r="L2" s="22" t="s">
        <v>18</v>
      </c>
      <c r="M2" s="22" t="s">
        <v>19</v>
      </c>
      <c r="N2" s="22" t="s">
        <v>20</v>
      </c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x14ac:dyDescent="0.25">
      <c r="A3" s="21" t="s">
        <v>1</v>
      </c>
      <c r="B3" s="21">
        <v>1</v>
      </c>
      <c r="C3" s="21">
        <v>8.6772465121298742E-2</v>
      </c>
      <c r="D3" s="21">
        <v>0.10415227632559794</v>
      </c>
      <c r="E3" s="21">
        <v>5.3015152293697451E-2</v>
      </c>
      <c r="F3" s="21">
        <v>8.952942174003517E-2</v>
      </c>
      <c r="G3" s="21">
        <v>0.11712575874656866</v>
      </c>
      <c r="H3" s="21">
        <v>0.12970700630153362</v>
      </c>
      <c r="I3" s="21">
        <v>9.2054328205707497E-2</v>
      </c>
      <c r="J3" s="21">
        <v>0.11600769929675149</v>
      </c>
      <c r="K3" s="21">
        <v>0.12551665194444883</v>
      </c>
      <c r="L3" s="21">
        <v>0.13140980283813719</v>
      </c>
      <c r="M3" s="21">
        <v>0.14030105103476059</v>
      </c>
      <c r="N3" s="21">
        <v>0.13704916981125534</v>
      </c>
      <c r="P3" s="21">
        <v>1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0</v>
      </c>
      <c r="W3" s="21">
        <v>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</row>
    <row r="4" spans="1:28" x14ac:dyDescent="0.25">
      <c r="A4" s="21" t="s">
        <v>2</v>
      </c>
      <c r="B4" s="21">
        <v>8.6772465121298742E-2</v>
      </c>
      <c r="C4" s="21">
        <v>1</v>
      </c>
      <c r="D4" s="21">
        <v>8.7659069241782919E-2</v>
      </c>
      <c r="E4" s="21">
        <v>-7.6947303533021663E-2</v>
      </c>
      <c r="F4" s="21">
        <v>-5.9238844719006048E-2</v>
      </c>
      <c r="G4" s="21">
        <v>-3.077670449366993E-2</v>
      </c>
      <c r="H4" s="21">
        <v>-1.5172950998803237E-2</v>
      </c>
      <c r="I4" s="21">
        <v>2.2769146113583723E-2</v>
      </c>
      <c r="J4" s="21">
        <v>5.1288644035036086E-2</v>
      </c>
      <c r="K4" s="21">
        <v>6.334860332898154E-2</v>
      </c>
      <c r="L4" s="21">
        <v>8.5298238269487611E-2</v>
      </c>
      <c r="M4" s="21">
        <v>9.5362440857154673E-2</v>
      </c>
      <c r="N4" s="21">
        <v>0.10060171486602136</v>
      </c>
      <c r="P4" s="21">
        <v>0</v>
      </c>
      <c r="Q4" s="21">
        <v>1</v>
      </c>
      <c r="R4" s="21">
        <v>0</v>
      </c>
      <c r="S4" s="21">
        <v>0</v>
      </c>
      <c r="T4" s="21">
        <v>0</v>
      </c>
      <c r="U4" s="21">
        <v>0</v>
      </c>
      <c r="V4" s="21">
        <v>0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</row>
    <row r="5" spans="1:28" x14ac:dyDescent="0.25">
      <c r="A5" s="21" t="s">
        <v>3</v>
      </c>
      <c r="B5" s="21">
        <v>0.10415227632559794</v>
      </c>
      <c r="C5" s="21">
        <v>8.7659069241782919E-2</v>
      </c>
      <c r="D5" s="21">
        <v>1</v>
      </c>
      <c r="E5" s="21">
        <v>-0.15686805175921328</v>
      </c>
      <c r="F5" s="21">
        <v>0.17283513871627212</v>
      </c>
      <c r="G5" s="21">
        <v>0.4081700886831906</v>
      </c>
      <c r="H5" s="21">
        <v>0.48920372811444057</v>
      </c>
      <c r="I5" s="21">
        <v>0.69577011805002642</v>
      </c>
      <c r="J5" s="21">
        <v>0.84756560887124688</v>
      </c>
      <c r="K5" s="21">
        <v>0.86696666131447353</v>
      </c>
      <c r="L5" s="21">
        <v>0.92488306254113573</v>
      </c>
      <c r="M5" s="21">
        <v>0.90697269815405313</v>
      </c>
      <c r="N5" s="21">
        <v>0.7462770399075751</v>
      </c>
      <c r="P5" s="21">
        <v>0</v>
      </c>
      <c r="Q5" s="21">
        <v>0</v>
      </c>
      <c r="R5" s="21">
        <v>1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0</v>
      </c>
      <c r="Y5" s="21">
        <v>0</v>
      </c>
      <c r="Z5" s="21">
        <v>0</v>
      </c>
      <c r="AA5" s="21">
        <v>0</v>
      </c>
      <c r="AB5" s="21">
        <v>0</v>
      </c>
    </row>
    <row r="6" spans="1:28" x14ac:dyDescent="0.25">
      <c r="A6" s="21" t="s">
        <v>10</v>
      </c>
      <c r="B6" s="21">
        <v>5.3015152293697451E-2</v>
      </c>
      <c r="C6" s="21">
        <v>-7.6947303533021663E-2</v>
      </c>
      <c r="D6" s="21">
        <v>-0.15686805175921328</v>
      </c>
      <c r="E6" s="21">
        <v>1</v>
      </c>
      <c r="F6" s="21">
        <v>0.89201976909436831</v>
      </c>
      <c r="G6" s="21">
        <v>0.77495703138394423</v>
      </c>
      <c r="H6" s="21">
        <v>0.71224645384310614</v>
      </c>
      <c r="I6" s="21">
        <v>-2.5733635599038129E-2</v>
      </c>
      <c r="J6" s="21">
        <v>-7.4889631359033981E-2</v>
      </c>
      <c r="K6" s="21">
        <v>-9.2651105801890177E-2</v>
      </c>
      <c r="L6" s="21">
        <v>-0.13594677075979156</v>
      </c>
      <c r="M6" s="21">
        <v>-0.14731593410372262</v>
      </c>
      <c r="N6" s="21">
        <v>-0.14766876449930044</v>
      </c>
      <c r="P6" s="21">
        <v>0</v>
      </c>
      <c r="Q6" s="21">
        <v>0</v>
      </c>
      <c r="R6" s="21">
        <v>0</v>
      </c>
      <c r="S6" s="21">
        <v>1</v>
      </c>
      <c r="T6" s="21">
        <v>0</v>
      </c>
      <c r="U6" s="21">
        <v>0</v>
      </c>
      <c r="V6" s="21">
        <v>0</v>
      </c>
      <c r="W6" s="21">
        <v>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</row>
    <row r="7" spans="1:28" x14ac:dyDescent="0.25">
      <c r="A7" s="21" t="s">
        <v>11</v>
      </c>
      <c r="B7" s="21">
        <v>8.952942174003517E-2</v>
      </c>
      <c r="C7" s="21">
        <v>-5.9238844719006048E-2</v>
      </c>
      <c r="D7" s="21">
        <v>0.17283513871627212</v>
      </c>
      <c r="E7" s="21">
        <v>0.89201976909436831</v>
      </c>
      <c r="F7" s="21">
        <v>1</v>
      </c>
      <c r="G7" s="21">
        <v>0.96401846470489816</v>
      </c>
      <c r="H7" s="21">
        <v>0.92942104784611501</v>
      </c>
      <c r="I7" s="21">
        <v>0.42889178744440831</v>
      </c>
      <c r="J7" s="21">
        <v>0.36352857591508431</v>
      </c>
      <c r="K7" s="21">
        <v>0.33451519367361443</v>
      </c>
      <c r="L7" s="21">
        <v>0.1987591681994329</v>
      </c>
      <c r="M7" s="21">
        <v>0.18368752312612932</v>
      </c>
      <c r="N7" s="21">
        <v>0.12993878363754147</v>
      </c>
      <c r="P7" s="21">
        <v>0</v>
      </c>
      <c r="Q7" s="21">
        <v>0</v>
      </c>
      <c r="R7" s="21">
        <v>0</v>
      </c>
      <c r="S7" s="21">
        <v>0</v>
      </c>
      <c r="T7" s="21">
        <v>1</v>
      </c>
      <c r="U7" s="21">
        <v>0</v>
      </c>
      <c r="V7" s="21">
        <v>0</v>
      </c>
      <c r="W7" s="21">
        <v>0</v>
      </c>
      <c r="X7" s="21">
        <v>0</v>
      </c>
      <c r="Y7" s="21">
        <v>0</v>
      </c>
      <c r="Z7" s="21">
        <v>0</v>
      </c>
      <c r="AA7" s="21">
        <v>0</v>
      </c>
      <c r="AB7" s="21">
        <v>0</v>
      </c>
    </row>
    <row r="8" spans="1:28" x14ac:dyDescent="0.25">
      <c r="A8" s="21" t="s">
        <v>12</v>
      </c>
      <c r="B8" s="21">
        <v>0.11712575874656866</v>
      </c>
      <c r="C8" s="21">
        <v>-3.077670449366993E-2</v>
      </c>
      <c r="D8" s="21">
        <v>0.4081700886831906</v>
      </c>
      <c r="E8" s="21">
        <v>0.77495703138394423</v>
      </c>
      <c r="F8" s="21">
        <v>0.96401846470489816</v>
      </c>
      <c r="G8" s="21">
        <v>1</v>
      </c>
      <c r="H8" s="21">
        <v>0.99144110418612341</v>
      </c>
      <c r="I8" s="21">
        <v>0.58327287241800652</v>
      </c>
      <c r="J8" s="21">
        <v>0.5722028737126279</v>
      </c>
      <c r="K8" s="21">
        <v>0.55161006569535431</v>
      </c>
      <c r="L8" s="21">
        <v>0.45213894572618013</v>
      </c>
      <c r="M8" s="21">
        <v>0.4313664832169341</v>
      </c>
      <c r="N8" s="21">
        <v>0.33223411775216516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1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</row>
    <row r="9" spans="1:28" x14ac:dyDescent="0.25">
      <c r="A9" s="21" t="s">
        <v>14</v>
      </c>
      <c r="B9" s="21">
        <v>0.12970700630153362</v>
      </c>
      <c r="C9" s="21">
        <v>-1.5172950998803237E-2</v>
      </c>
      <c r="D9" s="21">
        <v>0.48920372811444057</v>
      </c>
      <c r="E9" s="21">
        <v>0.71224645384310614</v>
      </c>
      <c r="F9" s="21">
        <v>0.92942104784611501</v>
      </c>
      <c r="G9" s="21">
        <v>0.99144110418612341</v>
      </c>
      <c r="H9" s="21">
        <v>1</v>
      </c>
      <c r="I9" s="21">
        <v>0.63208744243970572</v>
      </c>
      <c r="J9" s="21">
        <v>0.64007296555677029</v>
      </c>
      <c r="K9" s="21">
        <v>0.63291979966254686</v>
      </c>
      <c r="L9" s="21">
        <v>0.53666853740398146</v>
      </c>
      <c r="M9" s="21">
        <v>0.5334650653560894</v>
      </c>
      <c r="N9" s="21">
        <v>0.4525293818589296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1</v>
      </c>
      <c r="W9" s="21">
        <v>0</v>
      </c>
      <c r="X9" s="21">
        <v>0</v>
      </c>
      <c r="Y9" s="21">
        <v>0</v>
      </c>
      <c r="Z9" s="21">
        <v>0</v>
      </c>
      <c r="AA9" s="21">
        <v>0</v>
      </c>
      <c r="AB9" s="21">
        <v>0</v>
      </c>
    </row>
    <row r="10" spans="1:28" x14ac:dyDescent="0.25">
      <c r="A10" s="21" t="s">
        <v>15</v>
      </c>
      <c r="B10" s="21">
        <v>9.2054328205707497E-2</v>
      </c>
      <c r="C10" s="21">
        <v>2.2769146113583723E-2</v>
      </c>
      <c r="D10" s="21">
        <v>0.69577011805002642</v>
      </c>
      <c r="E10" s="21">
        <v>-2.5733635599038129E-2</v>
      </c>
      <c r="F10" s="21">
        <v>0.42889178744440831</v>
      </c>
      <c r="G10" s="21">
        <v>0.58327287241800652</v>
      </c>
      <c r="H10" s="21">
        <v>0.63208744243970572</v>
      </c>
      <c r="I10" s="21">
        <v>1</v>
      </c>
      <c r="J10" s="21">
        <v>0.95368058517175114</v>
      </c>
      <c r="K10" s="21">
        <v>0.92501035193310588</v>
      </c>
      <c r="L10" s="21">
        <v>0.71129254814079645</v>
      </c>
      <c r="M10" s="21">
        <v>0.70068128319917367</v>
      </c>
      <c r="N10" s="21">
        <v>0.58251173533374423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1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</row>
    <row r="11" spans="1:28" x14ac:dyDescent="0.25">
      <c r="A11" s="21">
        <v>6</v>
      </c>
      <c r="B11" s="21">
        <v>0.11600769929675149</v>
      </c>
      <c r="C11" s="21">
        <v>5.1288644035036086E-2</v>
      </c>
      <c r="D11" s="21">
        <v>0.84756560887124688</v>
      </c>
      <c r="E11" s="21">
        <v>-7.4889631359033981E-2</v>
      </c>
      <c r="F11" s="21">
        <v>0.36352857591508431</v>
      </c>
      <c r="G11" s="21">
        <v>0.5722028737126279</v>
      </c>
      <c r="H11" s="21">
        <v>0.64007296555677029</v>
      </c>
      <c r="I11" s="21">
        <v>0.95368058517175114</v>
      </c>
      <c r="J11" s="21">
        <v>1</v>
      </c>
      <c r="K11" s="21">
        <v>0.99055625295974792</v>
      </c>
      <c r="L11" s="21">
        <v>0.88979187649317104</v>
      </c>
      <c r="M11" s="21">
        <v>0.87176989798303517</v>
      </c>
      <c r="N11" s="21">
        <v>0.71581664972443293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0</v>
      </c>
      <c r="X11" s="21">
        <v>1</v>
      </c>
      <c r="Y11" s="21">
        <v>0</v>
      </c>
      <c r="Z11" s="21">
        <v>0</v>
      </c>
      <c r="AA11" s="21">
        <v>0</v>
      </c>
      <c r="AB11" s="21">
        <v>0</v>
      </c>
    </row>
    <row r="12" spans="1:28" x14ac:dyDescent="0.25">
      <c r="A12" s="21" t="s">
        <v>17</v>
      </c>
      <c r="B12" s="21">
        <v>0.12551665194444883</v>
      </c>
      <c r="C12" s="21">
        <v>6.334860332898154E-2</v>
      </c>
      <c r="D12" s="21">
        <v>0.86696666131447353</v>
      </c>
      <c r="E12" s="21">
        <v>-9.2651105801890177E-2</v>
      </c>
      <c r="F12" s="21">
        <v>0.33451519367361443</v>
      </c>
      <c r="G12" s="21">
        <v>0.55161006569535431</v>
      </c>
      <c r="H12" s="21">
        <v>0.63291979966254686</v>
      </c>
      <c r="I12" s="21">
        <v>0.92501035193310588</v>
      </c>
      <c r="J12" s="21">
        <v>0.99055625295974792</v>
      </c>
      <c r="K12" s="21">
        <v>1</v>
      </c>
      <c r="L12" s="21">
        <v>0.9112204330655862</v>
      </c>
      <c r="M12" s="21">
        <v>0.91921626615901031</v>
      </c>
      <c r="N12" s="21">
        <v>0.80479681952463711</v>
      </c>
      <c r="P12" s="21">
        <v>0</v>
      </c>
      <c r="Q12" s="21">
        <v>0</v>
      </c>
      <c r="R12" s="21">
        <v>0</v>
      </c>
      <c r="S12" s="21">
        <v>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1</v>
      </c>
      <c r="Z12" s="21">
        <v>0</v>
      </c>
      <c r="AA12" s="21">
        <v>0</v>
      </c>
      <c r="AB12" s="21">
        <v>0</v>
      </c>
    </row>
    <row r="13" spans="1:28" x14ac:dyDescent="0.25">
      <c r="A13" s="21" t="s">
        <v>18</v>
      </c>
      <c r="B13" s="21">
        <v>0.13140980283813719</v>
      </c>
      <c r="C13" s="21">
        <v>8.5298238269487611E-2</v>
      </c>
      <c r="D13" s="21">
        <v>0.92488306254113573</v>
      </c>
      <c r="E13" s="21">
        <v>-0.13594677075979156</v>
      </c>
      <c r="F13" s="21">
        <v>0.1987591681994329</v>
      </c>
      <c r="G13" s="21">
        <v>0.45213894572618013</v>
      </c>
      <c r="H13" s="21">
        <v>0.53666853740398146</v>
      </c>
      <c r="I13" s="21">
        <v>0.71129254814079645</v>
      </c>
      <c r="J13" s="21">
        <v>0.88979187649317104</v>
      </c>
      <c r="K13" s="21">
        <v>0.9112204330655862</v>
      </c>
      <c r="L13" s="21">
        <v>1</v>
      </c>
      <c r="M13" s="21">
        <v>0.97398802263279649</v>
      </c>
      <c r="N13" s="21">
        <v>0.78886038852951534</v>
      </c>
      <c r="P13" s="21">
        <v>0</v>
      </c>
      <c r="Q13" s="21">
        <v>0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1</v>
      </c>
      <c r="AA13" s="21">
        <v>0</v>
      </c>
      <c r="AB13" s="21">
        <v>0</v>
      </c>
    </row>
    <row r="14" spans="1:28" x14ac:dyDescent="0.25">
      <c r="A14" s="21" t="s">
        <v>19</v>
      </c>
      <c r="B14" s="21">
        <v>0.14030105103476059</v>
      </c>
      <c r="C14" s="21">
        <v>9.5362440857154673E-2</v>
      </c>
      <c r="D14" s="21">
        <v>0.90697269815405313</v>
      </c>
      <c r="E14" s="21">
        <v>-0.14731593410372262</v>
      </c>
      <c r="F14" s="21">
        <v>0.18368752312612932</v>
      </c>
      <c r="G14" s="21">
        <v>0.4313664832169341</v>
      </c>
      <c r="H14" s="21">
        <v>0.5334650653560894</v>
      </c>
      <c r="I14" s="21">
        <v>0.70068128319917367</v>
      </c>
      <c r="J14" s="21">
        <v>0.87176989798303517</v>
      </c>
      <c r="K14" s="21">
        <v>0.91921626615901031</v>
      </c>
      <c r="L14" s="21">
        <v>0.97398802263279649</v>
      </c>
      <c r="M14" s="21">
        <v>1</v>
      </c>
      <c r="N14" s="21">
        <v>0.90760237598841775</v>
      </c>
      <c r="P14" s="21">
        <v>0</v>
      </c>
      <c r="Q14" s="21">
        <v>0</v>
      </c>
      <c r="R14" s="21">
        <v>0</v>
      </c>
      <c r="S14" s="21">
        <v>0</v>
      </c>
      <c r="T14" s="21">
        <v>0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1</v>
      </c>
      <c r="AB14" s="21">
        <v>0</v>
      </c>
    </row>
    <row r="15" spans="1:28" ht="15.75" thickBot="1" x14ac:dyDescent="0.3">
      <c r="A15" s="23" t="s">
        <v>20</v>
      </c>
      <c r="B15" s="23">
        <v>0.13704916981125534</v>
      </c>
      <c r="C15" s="23">
        <v>0.10060171486602136</v>
      </c>
      <c r="D15" s="23">
        <v>0.7462770399075751</v>
      </c>
      <c r="E15" s="23">
        <v>-0.14766876449930044</v>
      </c>
      <c r="F15" s="23">
        <v>0.12993878363754147</v>
      </c>
      <c r="G15" s="23">
        <v>0.33223411775216516</v>
      </c>
      <c r="H15" s="23">
        <v>0.4525293818589296</v>
      </c>
      <c r="I15" s="23">
        <v>0.58251173533374423</v>
      </c>
      <c r="J15" s="23">
        <v>0.71581664972443293</v>
      </c>
      <c r="K15" s="23">
        <v>0.80479681952463711</v>
      </c>
      <c r="L15" s="23">
        <v>0.78886038852951534</v>
      </c>
      <c r="M15" s="23">
        <v>0.90760237598841775</v>
      </c>
      <c r="N15" s="23">
        <v>1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1</v>
      </c>
    </row>
    <row r="17" spans="1:28" ht="15.75" thickBot="1" x14ac:dyDescent="0.3">
      <c r="A17" s="21" t="s">
        <v>62</v>
      </c>
      <c r="B17" s="21">
        <v>0</v>
      </c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x14ac:dyDescent="0.25">
      <c r="P18" s="21">
        <f>B3-eigen!$B$17*eigen!P3</f>
        <v>1</v>
      </c>
      <c r="Q18" s="21">
        <f>C3-eigen!$B$17*eigen!Q3</f>
        <v>8.6772465121298742E-2</v>
      </c>
      <c r="R18" s="21">
        <f>D3-eigen!$B$17*eigen!R3</f>
        <v>0.10415227632559794</v>
      </c>
      <c r="S18" s="21">
        <f>E3-eigen!$B$17*eigen!S3</f>
        <v>5.3015152293697451E-2</v>
      </c>
      <c r="T18" s="21">
        <f>F3-eigen!$B$17*eigen!T3</f>
        <v>8.952942174003517E-2</v>
      </c>
      <c r="U18" s="21">
        <f>G3-eigen!$B$17*eigen!U3</f>
        <v>0.11712575874656866</v>
      </c>
      <c r="V18" s="21">
        <f>H3-eigen!$B$17*eigen!V3</f>
        <v>0.12970700630153362</v>
      </c>
      <c r="W18" s="21">
        <f>I3-eigen!$B$17*eigen!W3</f>
        <v>9.2054328205707497E-2</v>
      </c>
      <c r="X18" s="21">
        <f>J3-eigen!$B$17*eigen!X3</f>
        <v>0.11600769929675149</v>
      </c>
      <c r="Y18" s="21">
        <f>K3-eigen!$B$17*eigen!Y3</f>
        <v>0.12551665194444883</v>
      </c>
      <c r="Z18" s="21">
        <f>L3-eigen!$B$17*eigen!Z3</f>
        <v>0.13140980283813719</v>
      </c>
      <c r="AA18" s="21">
        <f>M3-eigen!$B$17*eigen!AA3</f>
        <v>0.14030105103476059</v>
      </c>
      <c r="AB18" s="21">
        <f>N3-eigen!$B$17*eigen!AB3</f>
        <v>0.13704916981125534</v>
      </c>
    </row>
    <row r="19" spans="1:28" x14ac:dyDescent="0.25">
      <c r="A19" s="21" t="s">
        <v>46</v>
      </c>
      <c r="B19" s="21">
        <f>MDETERM(P18:AB30)</f>
        <v>-4.6727016986160373E-93</v>
      </c>
      <c r="P19" s="21">
        <f>B4-eigen!$B$17*eigen!P4</f>
        <v>8.6772465121298742E-2</v>
      </c>
      <c r="Q19" s="21">
        <f>C4-eigen!$B$17*eigen!Q4</f>
        <v>1</v>
      </c>
      <c r="R19" s="21">
        <f>D4-eigen!$B$17*eigen!R4</f>
        <v>8.7659069241782919E-2</v>
      </c>
      <c r="S19" s="21">
        <f>E4-eigen!$B$17*eigen!S4</f>
        <v>-7.6947303533021663E-2</v>
      </c>
      <c r="T19" s="21">
        <f>F4-eigen!$B$17*eigen!T4</f>
        <v>-5.9238844719006048E-2</v>
      </c>
      <c r="U19" s="21">
        <f>G4-eigen!$B$17*eigen!U4</f>
        <v>-3.077670449366993E-2</v>
      </c>
      <c r="V19" s="21">
        <f>H4-eigen!$B$17*eigen!V4</f>
        <v>-1.5172950998803237E-2</v>
      </c>
      <c r="W19" s="21">
        <f>I4-eigen!$B$17*eigen!W4</f>
        <v>2.2769146113583723E-2</v>
      </c>
      <c r="X19" s="21">
        <f>J4-eigen!$B$17*eigen!X4</f>
        <v>5.1288644035036086E-2</v>
      </c>
      <c r="Y19" s="21">
        <f>K4-eigen!$B$17*eigen!Y4</f>
        <v>6.334860332898154E-2</v>
      </c>
      <c r="Z19" s="21">
        <f>L4-eigen!$B$17*eigen!Z4</f>
        <v>8.5298238269487611E-2</v>
      </c>
      <c r="AA19" s="21">
        <f>M4-eigen!$B$17*eigen!AA4</f>
        <v>9.5362440857154673E-2</v>
      </c>
      <c r="AB19" s="21">
        <f>N4-eigen!$B$17*eigen!AB4</f>
        <v>0.10060171486602136</v>
      </c>
    </row>
    <row r="20" spans="1:28" x14ac:dyDescent="0.25">
      <c r="P20" s="21">
        <f>B5-eigen!$B$17*eigen!P5</f>
        <v>0.10415227632559794</v>
      </c>
      <c r="Q20" s="21">
        <f>C5-eigen!$B$17*eigen!Q5</f>
        <v>8.7659069241782919E-2</v>
      </c>
      <c r="R20" s="21">
        <f>D5-eigen!$B$17*eigen!R5</f>
        <v>1</v>
      </c>
      <c r="S20" s="21">
        <f>E5-eigen!$B$17*eigen!S5</f>
        <v>-0.15686805175921328</v>
      </c>
      <c r="T20" s="21">
        <f>F5-eigen!$B$17*eigen!T5</f>
        <v>0.17283513871627212</v>
      </c>
      <c r="U20" s="21">
        <f>G5-eigen!$B$17*eigen!U5</f>
        <v>0.4081700886831906</v>
      </c>
      <c r="V20" s="21">
        <f>H5-eigen!$B$17*eigen!V5</f>
        <v>0.48920372811444057</v>
      </c>
      <c r="W20" s="21">
        <f>I5-eigen!$B$17*eigen!W5</f>
        <v>0.69577011805002642</v>
      </c>
      <c r="X20" s="21">
        <f>J5-eigen!$B$17*eigen!X5</f>
        <v>0.84756560887124688</v>
      </c>
      <c r="Y20" s="21">
        <f>K5-eigen!$B$17*eigen!Y5</f>
        <v>0.86696666131447353</v>
      </c>
      <c r="Z20" s="21">
        <f>L5-eigen!$B$17*eigen!Z5</f>
        <v>0.92488306254113573</v>
      </c>
      <c r="AA20" s="21">
        <f>M5-eigen!$B$17*eigen!AA5</f>
        <v>0.90697269815405313</v>
      </c>
      <c r="AB20" s="21">
        <f>N5-eigen!$B$17*eigen!AB5</f>
        <v>0.7462770399075751</v>
      </c>
    </row>
    <row r="21" spans="1:28" x14ac:dyDescent="0.25">
      <c r="A21" s="24" t="s">
        <v>47</v>
      </c>
      <c r="B21" s="24">
        <v>7.1032211235357909</v>
      </c>
      <c r="P21" s="21">
        <f>B6-eigen!$B$17*eigen!P6</f>
        <v>5.3015152293697451E-2</v>
      </c>
      <c r="Q21" s="21">
        <f>C6-eigen!$B$17*eigen!Q6</f>
        <v>-7.6947303533021663E-2</v>
      </c>
      <c r="R21" s="21">
        <f>D6-eigen!$B$17*eigen!R6</f>
        <v>-0.15686805175921328</v>
      </c>
      <c r="S21" s="21">
        <f>E6-eigen!$B$17*eigen!S6</f>
        <v>1</v>
      </c>
      <c r="T21" s="21">
        <f>F6-eigen!$B$17*eigen!T6</f>
        <v>0.89201976909436831</v>
      </c>
      <c r="U21" s="21">
        <f>G6-eigen!$B$17*eigen!U6</f>
        <v>0.77495703138394423</v>
      </c>
      <c r="V21" s="21">
        <f>H6-eigen!$B$17*eigen!V6</f>
        <v>0.71224645384310614</v>
      </c>
      <c r="W21" s="21">
        <f>I6-eigen!$B$17*eigen!W6</f>
        <v>-2.5733635599038129E-2</v>
      </c>
      <c r="X21" s="21">
        <f>J6-eigen!$B$17*eigen!X6</f>
        <v>-7.4889631359033981E-2</v>
      </c>
      <c r="Y21" s="21">
        <f>K6-eigen!$B$17*eigen!Y6</f>
        <v>-9.2651105801890177E-2</v>
      </c>
      <c r="Z21" s="21">
        <f>L6-eigen!$B$17*eigen!Z6</f>
        <v>-0.13594677075979156</v>
      </c>
      <c r="AA21" s="21">
        <f>M6-eigen!$B$17*eigen!AA6</f>
        <v>-0.14731593410372262</v>
      </c>
      <c r="AB21" s="21">
        <f>N6-eigen!$B$17*eigen!AB6</f>
        <v>-0.14766876449930044</v>
      </c>
    </row>
    <row r="22" spans="1:28" x14ac:dyDescent="0.25">
      <c r="A22" s="24" t="s">
        <v>48</v>
      </c>
      <c r="B22" s="24">
        <v>3.0191156996865982</v>
      </c>
      <c r="P22" s="21">
        <f>B7-eigen!$B$17*eigen!P7</f>
        <v>8.952942174003517E-2</v>
      </c>
      <c r="Q22" s="21">
        <f>C7-eigen!$B$17*eigen!Q7</f>
        <v>-5.9238844719006048E-2</v>
      </c>
      <c r="R22" s="21">
        <f>D7-eigen!$B$17*eigen!R7</f>
        <v>0.17283513871627212</v>
      </c>
      <c r="S22" s="21">
        <f>E7-eigen!$B$17*eigen!S7</f>
        <v>0.89201976909436831</v>
      </c>
      <c r="T22" s="21">
        <f>F7-eigen!$B$17*eigen!T7</f>
        <v>1</v>
      </c>
      <c r="U22" s="21">
        <f>G7-eigen!$B$17*eigen!U7</f>
        <v>0.96401846470489816</v>
      </c>
      <c r="V22" s="21">
        <f>H7-eigen!$B$17*eigen!V7</f>
        <v>0.92942104784611501</v>
      </c>
      <c r="W22" s="21">
        <f>I7-eigen!$B$17*eigen!W7</f>
        <v>0.42889178744440831</v>
      </c>
      <c r="X22" s="21">
        <f>J7-eigen!$B$17*eigen!X7</f>
        <v>0.36352857591508431</v>
      </c>
      <c r="Y22" s="21">
        <f>K7-eigen!$B$17*eigen!Y7</f>
        <v>0.33451519367361443</v>
      </c>
      <c r="Z22" s="21">
        <f>L7-eigen!$B$17*eigen!Z7</f>
        <v>0.1987591681994329</v>
      </c>
      <c r="AA22" s="21">
        <f>M7-eigen!$B$17*eigen!AA7</f>
        <v>0.18368752312612932</v>
      </c>
      <c r="AB22" s="21">
        <f>N7-eigen!$B$17*eigen!AB7</f>
        <v>0.12993878363754147</v>
      </c>
    </row>
    <row r="23" spans="1:28" x14ac:dyDescent="0.25">
      <c r="A23" s="24" t="s">
        <v>49</v>
      </c>
      <c r="B23" s="24">
        <v>1.0696126064897291</v>
      </c>
      <c r="P23" s="21">
        <f>B8-eigen!$B$17*eigen!P8</f>
        <v>0.11712575874656866</v>
      </c>
      <c r="Q23" s="21">
        <f>C8-eigen!$B$17*eigen!Q8</f>
        <v>-3.077670449366993E-2</v>
      </c>
      <c r="R23" s="21">
        <f>D8-eigen!$B$17*eigen!R8</f>
        <v>0.4081700886831906</v>
      </c>
      <c r="S23" s="21">
        <f>E8-eigen!$B$17*eigen!S8</f>
        <v>0.77495703138394423</v>
      </c>
      <c r="T23" s="21">
        <f>F8-eigen!$B$17*eigen!T8</f>
        <v>0.96401846470489816</v>
      </c>
      <c r="U23" s="21">
        <f>G8-eigen!$B$17*eigen!U8</f>
        <v>1</v>
      </c>
      <c r="V23" s="21">
        <f>H8-eigen!$B$17*eigen!V8</f>
        <v>0.99144110418612341</v>
      </c>
      <c r="W23" s="21">
        <f>I8-eigen!$B$17*eigen!W8</f>
        <v>0.58327287241800652</v>
      </c>
      <c r="X23" s="21">
        <f>J8-eigen!$B$17*eigen!X8</f>
        <v>0.5722028737126279</v>
      </c>
      <c r="Y23" s="21">
        <f>K8-eigen!$B$17*eigen!Y8</f>
        <v>0.55161006569535431</v>
      </c>
      <c r="Z23" s="21">
        <f>L8-eigen!$B$17*eigen!Z8</f>
        <v>0.45213894572618013</v>
      </c>
      <c r="AA23" s="21">
        <f>M8-eigen!$B$17*eigen!AA8</f>
        <v>0.4313664832169341</v>
      </c>
      <c r="AB23" s="21">
        <f>N8-eigen!$B$17*eigen!AB8</f>
        <v>0.33223411775216516</v>
      </c>
    </row>
    <row r="24" spans="1:28" x14ac:dyDescent="0.25">
      <c r="A24" s="24" t="s">
        <v>50</v>
      </c>
      <c r="B24" s="24">
        <v>0.89855436925606069</v>
      </c>
      <c r="P24" s="21">
        <f>B9-eigen!$B$17*eigen!P9</f>
        <v>0.12970700630153362</v>
      </c>
      <c r="Q24" s="21">
        <f>C9-eigen!$B$17*eigen!Q9</f>
        <v>-1.5172950998803237E-2</v>
      </c>
      <c r="R24" s="21">
        <f>D9-eigen!$B$17*eigen!R9</f>
        <v>0.48920372811444057</v>
      </c>
      <c r="S24" s="21">
        <f>E9-eigen!$B$17*eigen!S9</f>
        <v>0.71224645384310614</v>
      </c>
      <c r="T24" s="21">
        <f>F9-eigen!$B$17*eigen!T9</f>
        <v>0.92942104784611501</v>
      </c>
      <c r="U24" s="21">
        <f>G9-eigen!$B$17*eigen!U9</f>
        <v>0.99144110418612341</v>
      </c>
      <c r="V24" s="21">
        <f>H9-eigen!$B$17*eigen!V9</f>
        <v>1</v>
      </c>
      <c r="W24" s="21">
        <f>I9-eigen!$B$17*eigen!W9</f>
        <v>0.63208744243970572</v>
      </c>
      <c r="X24" s="21">
        <f>J9-eigen!$B$17*eigen!X9</f>
        <v>0.64007296555677029</v>
      </c>
      <c r="Y24" s="21">
        <f>K9-eigen!$B$17*eigen!Y9</f>
        <v>0.63291979966254686</v>
      </c>
      <c r="Z24" s="21">
        <f>L9-eigen!$B$17*eigen!Z9</f>
        <v>0.53666853740398146</v>
      </c>
      <c r="AA24" s="21">
        <f>M9-eigen!$B$17*eigen!AA9</f>
        <v>0.5334650653560894</v>
      </c>
      <c r="AB24" s="21">
        <f>N9-eigen!$B$17*eigen!AB9</f>
        <v>0.4525293818589296</v>
      </c>
    </row>
    <row r="25" spans="1:28" x14ac:dyDescent="0.25">
      <c r="A25" s="24" t="s">
        <v>51</v>
      </c>
      <c r="B25" s="24">
        <v>0.55112284723139204</v>
      </c>
      <c r="P25" s="21">
        <f>B10-eigen!$B$17*eigen!P10</f>
        <v>9.2054328205707497E-2</v>
      </c>
      <c r="Q25" s="21">
        <f>C10-eigen!$B$17*eigen!Q10</f>
        <v>2.2769146113583723E-2</v>
      </c>
      <c r="R25" s="21">
        <f>D10-eigen!$B$17*eigen!R10</f>
        <v>0.69577011805002642</v>
      </c>
      <c r="S25" s="21">
        <f>E10-eigen!$B$17*eigen!S10</f>
        <v>-2.5733635599038129E-2</v>
      </c>
      <c r="T25" s="21">
        <f>F10-eigen!$B$17*eigen!T10</f>
        <v>0.42889178744440831</v>
      </c>
      <c r="U25" s="21">
        <f>G10-eigen!$B$17*eigen!U10</f>
        <v>0.58327287241800652</v>
      </c>
      <c r="V25" s="21">
        <f>H10-eigen!$B$17*eigen!V10</f>
        <v>0.63208744243970572</v>
      </c>
      <c r="W25" s="21">
        <f>I10-eigen!$B$17*eigen!W10</f>
        <v>1</v>
      </c>
      <c r="X25" s="21">
        <f>J10-eigen!$B$17*eigen!X10</f>
        <v>0.95368058517175114</v>
      </c>
      <c r="Y25" s="21">
        <f>K10-eigen!$B$17*eigen!Y10</f>
        <v>0.92501035193310588</v>
      </c>
      <c r="Z25" s="21">
        <f>L10-eigen!$B$17*eigen!Z10</f>
        <v>0.71129254814079645</v>
      </c>
      <c r="AA25" s="21">
        <f>M10-eigen!$B$17*eigen!AA10</f>
        <v>0.70068128319917367</v>
      </c>
      <c r="AB25" s="21">
        <f>N10-eigen!$B$17*eigen!AB10</f>
        <v>0.58251173533374423</v>
      </c>
    </row>
    <row r="26" spans="1:28" x14ac:dyDescent="0.25">
      <c r="A26" s="24" t="s">
        <v>52</v>
      </c>
      <c r="B26" s="24">
        <v>0.27080135977017683</v>
      </c>
      <c r="P26" s="21">
        <f>B11-eigen!$B$17*eigen!P11</f>
        <v>0.11600769929675149</v>
      </c>
      <c r="Q26" s="21">
        <f>C11-eigen!$B$17*eigen!Q11</f>
        <v>5.1288644035036086E-2</v>
      </c>
      <c r="R26" s="21">
        <f>D11-eigen!$B$17*eigen!R11</f>
        <v>0.84756560887124688</v>
      </c>
      <c r="S26" s="21">
        <f>E11-eigen!$B$17*eigen!S11</f>
        <v>-7.4889631359033981E-2</v>
      </c>
      <c r="T26" s="21">
        <f>F11-eigen!$B$17*eigen!T11</f>
        <v>0.36352857591508431</v>
      </c>
      <c r="U26" s="21">
        <f>G11-eigen!$B$17*eigen!U11</f>
        <v>0.5722028737126279</v>
      </c>
      <c r="V26" s="21">
        <f>H11-eigen!$B$17*eigen!V11</f>
        <v>0.64007296555677029</v>
      </c>
      <c r="W26" s="21">
        <f>I11-eigen!$B$17*eigen!W11</f>
        <v>0.95368058517175114</v>
      </c>
      <c r="X26" s="21">
        <f>J11-eigen!$B$17*eigen!X11</f>
        <v>1</v>
      </c>
      <c r="Y26" s="21">
        <f>K11-eigen!$B$17*eigen!Y11</f>
        <v>0.99055625295974792</v>
      </c>
      <c r="Z26" s="21">
        <f>L11-eigen!$B$17*eigen!Z11</f>
        <v>0.88979187649317104</v>
      </c>
      <c r="AA26" s="21">
        <f>M11-eigen!$B$17*eigen!AA11</f>
        <v>0.87176989798303517</v>
      </c>
      <c r="AB26" s="21">
        <f>N11-eigen!$B$17*eigen!AB11</f>
        <v>0.71581664972443293</v>
      </c>
    </row>
    <row r="27" spans="1:28" x14ac:dyDescent="0.25">
      <c r="A27" s="24" t="s">
        <v>53</v>
      </c>
      <c r="B27" s="24">
        <v>8.7571995018432117E-2</v>
      </c>
      <c r="P27" s="21">
        <f>B12-eigen!$B$17*eigen!P12</f>
        <v>0.12551665194444883</v>
      </c>
      <c r="Q27" s="21">
        <f>C12-eigen!$B$17*eigen!Q12</f>
        <v>6.334860332898154E-2</v>
      </c>
      <c r="R27" s="21">
        <f>D12-eigen!$B$17*eigen!R12</f>
        <v>0.86696666131447353</v>
      </c>
      <c r="S27" s="21">
        <f>E12-eigen!$B$17*eigen!S12</f>
        <v>-9.2651105801890177E-2</v>
      </c>
      <c r="T27" s="21">
        <f>F12-eigen!$B$17*eigen!T12</f>
        <v>0.33451519367361443</v>
      </c>
      <c r="U27" s="21">
        <f>G12-eigen!$B$17*eigen!U12</f>
        <v>0.55161006569535431</v>
      </c>
      <c r="V27" s="21">
        <f>H12-eigen!$B$17*eigen!V12</f>
        <v>0.63291979966254686</v>
      </c>
      <c r="W27" s="21">
        <f>I12-eigen!$B$17*eigen!W12</f>
        <v>0.92501035193310588</v>
      </c>
      <c r="X27" s="21">
        <f>J12-eigen!$B$17*eigen!X12</f>
        <v>0.99055625295974792</v>
      </c>
      <c r="Y27" s="21">
        <f>K12-eigen!$B$17*eigen!Y12</f>
        <v>1</v>
      </c>
      <c r="Z27" s="21">
        <f>L12-eigen!$B$17*eigen!Z12</f>
        <v>0.9112204330655862</v>
      </c>
      <c r="AA27" s="21">
        <f>M12-eigen!$B$17*eigen!AA12</f>
        <v>0.91921626615901031</v>
      </c>
      <c r="AB27" s="21">
        <f>N12-eigen!$B$17*eigen!AB12</f>
        <v>0.80479681952463711</v>
      </c>
    </row>
    <row r="28" spans="1:28" x14ac:dyDescent="0.25">
      <c r="A28" s="24" t="s">
        <v>54</v>
      </c>
      <c r="B28" s="24">
        <v>0</v>
      </c>
      <c r="P28" s="21">
        <f>B13-eigen!$B$17*eigen!P13</f>
        <v>0.13140980283813719</v>
      </c>
      <c r="Q28" s="21">
        <f>C13-eigen!$B$17*eigen!Q13</f>
        <v>8.5298238269487611E-2</v>
      </c>
      <c r="R28" s="21">
        <f>D13-eigen!$B$17*eigen!R13</f>
        <v>0.92488306254113573</v>
      </c>
      <c r="S28" s="21">
        <f>E13-eigen!$B$17*eigen!S13</f>
        <v>-0.13594677075979156</v>
      </c>
      <c r="T28" s="21">
        <f>F13-eigen!$B$17*eigen!T13</f>
        <v>0.1987591681994329</v>
      </c>
      <c r="U28" s="21">
        <f>G13-eigen!$B$17*eigen!U13</f>
        <v>0.45213894572618013</v>
      </c>
      <c r="V28" s="21">
        <f>H13-eigen!$B$17*eigen!V13</f>
        <v>0.53666853740398146</v>
      </c>
      <c r="W28" s="21">
        <f>I13-eigen!$B$17*eigen!W13</f>
        <v>0.71129254814079645</v>
      </c>
      <c r="X28" s="21">
        <f>J13-eigen!$B$17*eigen!X13</f>
        <v>0.88979187649317104</v>
      </c>
      <c r="Y28" s="21">
        <f>K13-eigen!$B$17*eigen!Y13</f>
        <v>0.9112204330655862</v>
      </c>
      <c r="Z28" s="21">
        <f>L13-eigen!$B$17*eigen!Z13</f>
        <v>1</v>
      </c>
      <c r="AA28" s="21">
        <f>M13-eigen!$B$17*eigen!AA13</f>
        <v>0.97398802263279649</v>
      </c>
      <c r="AB28" s="21">
        <f>N13-eigen!$B$17*eigen!AB13</f>
        <v>0.78886038852951534</v>
      </c>
    </row>
    <row r="29" spans="1:28" x14ac:dyDescent="0.25">
      <c r="A29" s="24" t="s">
        <v>55</v>
      </c>
      <c r="B29" s="24">
        <v>0</v>
      </c>
      <c r="P29" s="21">
        <f>B14-eigen!$B$17*eigen!P14</f>
        <v>0.14030105103476059</v>
      </c>
      <c r="Q29" s="21">
        <f>C14-eigen!$B$17*eigen!Q14</f>
        <v>9.5362440857154673E-2</v>
      </c>
      <c r="R29" s="21">
        <f>D14-eigen!$B$17*eigen!R14</f>
        <v>0.90697269815405313</v>
      </c>
      <c r="S29" s="21">
        <f>E14-eigen!$B$17*eigen!S14</f>
        <v>-0.14731593410372262</v>
      </c>
      <c r="T29" s="21">
        <f>F14-eigen!$B$17*eigen!T14</f>
        <v>0.18368752312612932</v>
      </c>
      <c r="U29" s="21">
        <f>G14-eigen!$B$17*eigen!U14</f>
        <v>0.4313664832169341</v>
      </c>
      <c r="V29" s="21">
        <f>H14-eigen!$B$17*eigen!V14</f>
        <v>0.5334650653560894</v>
      </c>
      <c r="W29" s="21">
        <f>I14-eigen!$B$17*eigen!W14</f>
        <v>0.70068128319917367</v>
      </c>
      <c r="X29" s="21">
        <f>J14-eigen!$B$17*eigen!X14</f>
        <v>0.87176989798303517</v>
      </c>
      <c r="Y29" s="21">
        <f>K14-eigen!$B$17*eigen!Y14</f>
        <v>0.91921626615901031</v>
      </c>
      <c r="Z29" s="21">
        <f>L14-eigen!$B$17*eigen!Z14</f>
        <v>0.97398802263279649</v>
      </c>
      <c r="AA29" s="21">
        <f>M14-eigen!$B$17*eigen!AA14</f>
        <v>1</v>
      </c>
      <c r="AB29" s="21">
        <f>N14-eigen!$B$17*eigen!AB14</f>
        <v>0.90760237598841775</v>
      </c>
    </row>
    <row r="30" spans="1:28" ht="15.75" thickBot="1" x14ac:dyDescent="0.3">
      <c r="A30" s="24" t="s">
        <v>56</v>
      </c>
      <c r="B30" s="24">
        <v>0</v>
      </c>
      <c r="P30" s="23">
        <f>B15-eigen!$B$17*eigen!P15</f>
        <v>0.13704916981125534</v>
      </c>
      <c r="Q30" s="23">
        <f>C15-eigen!$B$17*eigen!Q15</f>
        <v>0.10060171486602136</v>
      </c>
      <c r="R30" s="23">
        <f>D15-eigen!$B$17*eigen!R15</f>
        <v>0.7462770399075751</v>
      </c>
      <c r="S30" s="23">
        <f>E15-eigen!$B$17*eigen!S15</f>
        <v>-0.14766876449930044</v>
      </c>
      <c r="T30" s="23">
        <f>F15-eigen!$B$17*eigen!T15</f>
        <v>0.12993878363754147</v>
      </c>
      <c r="U30" s="23">
        <f>G15-eigen!$B$17*eigen!U15</f>
        <v>0.33223411775216516</v>
      </c>
      <c r="V30" s="23">
        <f>H15-eigen!$B$17*eigen!V15</f>
        <v>0.4525293818589296</v>
      </c>
      <c r="W30" s="23">
        <f>I15-eigen!$B$17*eigen!W15</f>
        <v>0.58251173533374423</v>
      </c>
      <c r="X30" s="23">
        <f>J15-eigen!$B$17*eigen!X15</f>
        <v>0.71581664972443293</v>
      </c>
      <c r="Y30" s="23">
        <f>K15-eigen!$B$17*eigen!Y15</f>
        <v>0.80479681952463711</v>
      </c>
      <c r="Z30" s="23">
        <f>L15-eigen!$B$17*eigen!Z15</f>
        <v>0.78886038852951534</v>
      </c>
      <c r="AA30" s="23">
        <f>M15-eigen!$B$17*eigen!AA15</f>
        <v>0.90760237598841775</v>
      </c>
      <c r="AB30" s="23">
        <f>N15-eigen!$B$17*eigen!AB15</f>
        <v>1</v>
      </c>
    </row>
    <row r="31" spans="1:28" x14ac:dyDescent="0.25">
      <c r="A31" s="24" t="s">
        <v>57</v>
      </c>
      <c r="B31" s="24">
        <v>0</v>
      </c>
    </row>
    <row r="32" spans="1:28" x14ac:dyDescent="0.25">
      <c r="A32" s="24" t="s">
        <v>58</v>
      </c>
      <c r="B32" s="24">
        <v>0</v>
      </c>
    </row>
    <row r="33" spans="1:2" x14ac:dyDescent="0.25">
      <c r="A33" s="24" t="s">
        <v>59</v>
      </c>
      <c r="B33" s="24">
        <v>0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198EB-9B8D-42C6-9C1B-A6E4618619BE}">
  <dimension ref="A1:AR496"/>
  <sheetViews>
    <sheetView topLeftCell="F1" zoomScale="70" zoomScaleNormal="70" workbookViewId="0">
      <selection activeCell="AB14" sqref="AB14"/>
    </sheetView>
  </sheetViews>
  <sheetFormatPr defaultRowHeight="15" x14ac:dyDescent="0.25"/>
  <cols>
    <col min="5" max="14" width="9.140625" style="3"/>
    <col min="16" max="16" width="20.5703125" customWidth="1"/>
  </cols>
  <sheetData>
    <row r="1" spans="1:44" x14ac:dyDescent="0.25">
      <c r="A1" s="2" t="s">
        <v>0</v>
      </c>
      <c r="B1" s="2" t="s">
        <v>1</v>
      </c>
      <c r="C1" s="2" t="s">
        <v>2</v>
      </c>
      <c r="D1" s="15" t="s">
        <v>3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P1" s="5" t="s">
        <v>21</v>
      </c>
    </row>
    <row r="2" spans="1:44" ht="15.75" thickBot="1" x14ac:dyDescent="0.3">
      <c r="A2" s="3">
        <v>1.23766233786351E+18</v>
      </c>
      <c r="B2" s="3">
        <v>235.65647999999999</v>
      </c>
      <c r="C2" s="3">
        <v>35.854315</v>
      </c>
      <c r="D2" s="16">
        <v>1.08371E-4</v>
      </c>
      <c r="E2" s="3">
        <v>2.045029999999997</v>
      </c>
      <c r="F2" s="3">
        <v>3.4000399999999971</v>
      </c>
      <c r="G2" s="3">
        <v>4.0615500000000004</v>
      </c>
      <c r="H2" s="3">
        <v>4.438559999999999</v>
      </c>
      <c r="I2" s="3">
        <v>1.35501</v>
      </c>
      <c r="J2" s="3">
        <v>2.0165200000000034</v>
      </c>
      <c r="K2" s="3">
        <v>2.3935300000000019</v>
      </c>
      <c r="L2" s="3">
        <v>0.66151000000000337</v>
      </c>
      <c r="M2" s="3">
        <v>1.0385200000000019</v>
      </c>
      <c r="N2" s="3">
        <v>0.37700999999999851</v>
      </c>
      <c r="P2" s="6"/>
      <c r="Q2" s="7" t="s">
        <v>22</v>
      </c>
      <c r="R2" s="7" t="s">
        <v>23</v>
      </c>
      <c r="S2" s="7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34</v>
      </c>
      <c r="Y2" s="7" t="s">
        <v>35</v>
      </c>
      <c r="Z2" s="7" t="s">
        <v>36</v>
      </c>
      <c r="AA2" s="7" t="s">
        <v>37</v>
      </c>
      <c r="AB2" s="7" t="s">
        <v>38</v>
      </c>
      <c r="AC2" s="7" t="s">
        <v>41</v>
      </c>
    </row>
    <row r="3" spans="1:44" x14ac:dyDescent="0.25">
      <c r="A3" s="3">
        <v>1.2376624731541299E+18</v>
      </c>
      <c r="B3" s="3">
        <v>236.2748</v>
      </c>
      <c r="C3" s="3">
        <v>35.890828999999997</v>
      </c>
      <c r="D3" s="16">
        <v>6.3080749999999998E-3</v>
      </c>
      <c r="E3" s="3">
        <v>0.72406000000000148</v>
      </c>
      <c r="F3" s="3">
        <v>0.86827000000000254</v>
      </c>
      <c r="G3" s="3">
        <v>0.81862000000000279</v>
      </c>
      <c r="H3" s="3">
        <v>0.88660000000000139</v>
      </c>
      <c r="I3" s="3">
        <v>0.14421000000000106</v>
      </c>
      <c r="J3" s="3">
        <v>9.456000000000131E-2</v>
      </c>
      <c r="K3" s="3">
        <v>0.16253999999999991</v>
      </c>
      <c r="L3" s="3">
        <v>-4.964999999999975E-2</v>
      </c>
      <c r="M3" s="3">
        <v>1.8329999999998847E-2</v>
      </c>
      <c r="N3" s="3">
        <v>6.7979999999998597E-2</v>
      </c>
      <c r="P3" s="8" t="s">
        <v>29</v>
      </c>
      <c r="Q3" s="9">
        <f>_xll.PCA_COMP(_xll.RMNA(pca!$B$2:$N$475,),,1,1,2)</f>
        <v>7.1032211235357909</v>
      </c>
      <c r="R3" s="9">
        <f>_xll.PCA_COMP(_xll.RMNA(pca!$B$2:$N$475,),,1,2,2)</f>
        <v>3.0191156996865982</v>
      </c>
      <c r="S3" s="9">
        <f>_xll.PCA_COMP(_xll.RMNA(pca!$B$2:$N$475,),,1,3,2)</f>
        <v>1.0696126064897291</v>
      </c>
      <c r="T3" s="9">
        <f>_xll.PCA_COMP(_xll.RMNA(pca!$B$2:$N$475,),,1,4,2)</f>
        <v>0.89855436925606069</v>
      </c>
      <c r="U3" s="9">
        <f>_xll.PCA_COMP(_xll.RMNA(pca!$B$2:$N$475,),,1,5,2)</f>
        <v>0.55112284723139204</v>
      </c>
      <c r="V3" s="9">
        <f>_xll.PCA_COMP(_xll.RMNA(pca!$B$2:$N$475,),,1,6,2)</f>
        <v>0.27080135977017683</v>
      </c>
      <c r="W3" s="9">
        <f>_xll.PCA_COMP(_xll.RMNA(pca!$B$2:$N$475,),,1,7,2)</f>
        <v>8.7571995018432117E-2</v>
      </c>
      <c r="X3" s="9">
        <f>_xll.PCA_COMP(_xll.RMNA(pca!$B$2:$N$475,),,1,8,2)</f>
        <v>0</v>
      </c>
      <c r="Y3" s="9">
        <f>_xll.PCA_COMP(_xll.RMNA(pca!$B$2:$N$475,),,1,9,2)</f>
        <v>0</v>
      </c>
      <c r="Z3" s="9">
        <f>_xll.PCA_COMP(_xll.RMNA(pca!$B$2:$N$475,),,1,10,2)</f>
        <v>0</v>
      </c>
      <c r="AA3" s="9">
        <f>_xll.PCA_COMP(_xll.RMNA(pca!$B$2:$N$475,),,1,11,2)</f>
        <v>0</v>
      </c>
      <c r="AB3" s="9">
        <f>_xll.PCA_COMP(_xll.RMNA(pca!$B$2:$N$475,),,1,12,2)</f>
        <v>0</v>
      </c>
      <c r="AC3" s="9">
        <f>_xll.PCA_COMP(_xll.RMNA(pca!$B$2:$N$475,),,1,13,2)</f>
        <v>0</v>
      </c>
      <c r="AF3">
        <f t="shared" ref="AF3:AQ3" si="0">Q3*10%</f>
        <v>0.71032211235357912</v>
      </c>
      <c r="AG3">
        <f t="shared" si="0"/>
        <v>0.30191156996865987</v>
      </c>
      <c r="AH3">
        <f t="shared" si="0"/>
        <v>0.10696126064897292</v>
      </c>
      <c r="AI3">
        <f t="shared" si="0"/>
        <v>8.9855436925606075E-2</v>
      </c>
      <c r="AJ3">
        <f t="shared" si="0"/>
        <v>5.5112284723139206E-2</v>
      </c>
      <c r="AK3">
        <f t="shared" si="0"/>
        <v>2.7080135977017684E-2</v>
      </c>
      <c r="AL3">
        <f t="shared" si="0"/>
        <v>8.7571995018432113E-3</v>
      </c>
      <c r="AM3">
        <f t="shared" si="0"/>
        <v>0</v>
      </c>
      <c r="AN3">
        <f t="shared" si="0"/>
        <v>0</v>
      </c>
      <c r="AO3">
        <f t="shared" si="0"/>
        <v>0</v>
      </c>
      <c r="AP3">
        <f t="shared" si="0"/>
        <v>0</v>
      </c>
      <c r="AQ3">
        <f t="shared" si="0"/>
        <v>0</v>
      </c>
      <c r="AR3">
        <v>0</v>
      </c>
    </row>
    <row r="4" spans="1:44" x14ac:dyDescent="0.25">
      <c r="A4" s="3">
        <v>1.23766247369087E+18</v>
      </c>
      <c r="B4" s="3">
        <v>236.21743000000001</v>
      </c>
      <c r="C4" s="3">
        <v>36.479334000000001</v>
      </c>
      <c r="D4" s="16">
        <v>1.1165909999999999E-2</v>
      </c>
      <c r="E4" s="3">
        <v>1.1150700000000029</v>
      </c>
      <c r="F4" s="3">
        <v>1.5368000000000013</v>
      </c>
      <c r="G4" s="3">
        <v>1.693150000000001</v>
      </c>
      <c r="H4" s="3">
        <v>1.8101900000000004</v>
      </c>
      <c r="I4" s="3">
        <v>0.42172999999999838</v>
      </c>
      <c r="J4" s="3">
        <v>0.57807999999999815</v>
      </c>
      <c r="K4" s="3">
        <v>0.69511999999999752</v>
      </c>
      <c r="L4" s="3">
        <v>0.15634999999999977</v>
      </c>
      <c r="M4" s="3">
        <v>0.27338999999999913</v>
      </c>
      <c r="N4" s="3">
        <v>0.11703999999999937</v>
      </c>
      <c r="P4" s="8" t="s">
        <v>30</v>
      </c>
      <c r="Q4" s="13">
        <f>_xll.PCA_COMP(_xll.RMNA(pca!$B$2:$N$475,),,1,1,1)</f>
        <v>0.54640162484583443</v>
      </c>
      <c r="R4" s="13">
        <f>_xll.PCA_COMP(_xll.RMNA(pca!$B$2:$N$475,),,1,2,1)</f>
        <v>0.23223966918900801</v>
      </c>
      <c r="S4" s="13">
        <f>_xll.PCA_COMP(_xll.RMNA(pca!$B$2:$N$475,),,1,3,1)</f>
        <v>8.2277892800647984E-2</v>
      </c>
      <c r="T4" s="13">
        <f>_xll.PCA_COMP(_xll.RMNA(pca!$B$2:$N$475,),,1,4,1)</f>
        <v>6.9119566860596782E-2</v>
      </c>
      <c r="U4" s="13">
        <f>_xll.PCA_COMP(_xll.RMNA(pca!$B$2:$N$475,),,1,5,1)</f>
        <v>4.2394065168423006E-2</v>
      </c>
      <c r="V4" s="13">
        <f>_xll.PCA_COMP(_xll.RMNA(pca!$B$2:$N$475,),,1,6,1)</f>
        <v>2.0830873826891708E-2</v>
      </c>
      <c r="W4" s="13">
        <f>_xll.PCA_COMP(_xll.RMNA(pca!$B$2:$N$475,),,1,7,1)</f>
        <v>6.736307308598111E-3</v>
      </c>
      <c r="X4" s="13">
        <f>_xll.PCA_COMP(_xll.RMNA(pca!$B$2:$N$475,),,1,8,1)</f>
        <v>0</v>
      </c>
      <c r="Y4" s="13">
        <f>_xll.PCA_COMP(_xll.RMNA(pca!$B$2:$N$475,),,1,9,1)</f>
        <v>0</v>
      </c>
      <c r="Z4" s="13">
        <f>_xll.PCA_COMP(_xll.RMNA(pca!$B$2:$N$475,),,1,10,1)</f>
        <v>0</v>
      </c>
      <c r="AA4" s="13">
        <f>_xll.PCA_COMP(_xll.RMNA(pca!$B$2:$N$475,),,1,11,1)</f>
        <v>0</v>
      </c>
      <c r="AB4" s="13">
        <f>_xll.PCA_COMP(_xll.RMNA(pca!$B$2:$N$475,),,1,12,1)</f>
        <v>0</v>
      </c>
      <c r="AC4" s="13">
        <f>_xll.PCA_COMP(_xll.RMNA(pca!$B$2:$N$475,),,1,13,1)</f>
        <v>0</v>
      </c>
    </row>
    <row r="5" spans="1:44" x14ac:dyDescent="0.25">
      <c r="A5" s="3">
        <v>1.2376625032189701E+18</v>
      </c>
      <c r="B5" s="3">
        <v>236.44120000000001</v>
      </c>
      <c r="C5" s="3">
        <v>36.028097000000002</v>
      </c>
      <c r="D5" s="16">
        <v>1.141854E-2</v>
      </c>
      <c r="E5" s="3">
        <v>1.0157999999999987</v>
      </c>
      <c r="F5" s="3">
        <v>1.3632300000000015</v>
      </c>
      <c r="G5" s="3">
        <v>1.577020000000001</v>
      </c>
      <c r="H5" s="3">
        <v>1.6243999999999996</v>
      </c>
      <c r="I5" s="3">
        <v>0.34743000000000279</v>
      </c>
      <c r="J5" s="3">
        <v>0.56122000000000227</v>
      </c>
      <c r="K5" s="3">
        <v>0.60860000000000092</v>
      </c>
      <c r="L5" s="3">
        <v>0.21378999999999948</v>
      </c>
      <c r="M5" s="3">
        <v>0.26116999999999813</v>
      </c>
      <c r="N5" s="3">
        <v>4.7379999999998645E-2</v>
      </c>
      <c r="P5" s="8" t="s">
        <v>31</v>
      </c>
      <c r="Q5" s="10">
        <f>$Q$4</f>
        <v>0.54640162484583443</v>
      </c>
      <c r="R5" s="10">
        <f>$R$4+$Q$5</f>
        <v>0.77864129403484239</v>
      </c>
      <c r="S5" s="10">
        <f>$S$4+$R$5</f>
        <v>0.8609191868354904</v>
      </c>
      <c r="T5" s="10">
        <f>$T$4+$S$5</f>
        <v>0.93003875369608724</v>
      </c>
      <c r="U5" s="10">
        <f>$U$4+$T$5</f>
        <v>0.97243281886451027</v>
      </c>
      <c r="V5" s="10">
        <f>$V$4+$U$5</f>
        <v>0.99326369269140202</v>
      </c>
      <c r="W5" s="10">
        <f>$W$4+$V$5</f>
        <v>1.0000000000000002</v>
      </c>
      <c r="X5" s="10">
        <f>$X$4+$W$5</f>
        <v>1.0000000000000002</v>
      </c>
      <c r="Y5" s="10">
        <f>$Y$4+$X$5</f>
        <v>1.0000000000000002</v>
      </c>
      <c r="Z5" s="10">
        <f>$Z$4+$Y$5</f>
        <v>1.0000000000000002</v>
      </c>
      <c r="AA5" s="10">
        <f>$AA$4+$Z$5</f>
        <v>1.0000000000000002</v>
      </c>
      <c r="AB5" s="10">
        <f>$AB$4+$AA$5</f>
        <v>1.0000000000000002</v>
      </c>
      <c r="AC5" s="10">
        <f>$AC$4+$AB$5</f>
        <v>1.0000000000000002</v>
      </c>
    </row>
    <row r="6" spans="1:44" x14ac:dyDescent="0.25">
      <c r="A6" s="3">
        <v>1.2376625037555699E+18</v>
      </c>
      <c r="B6" s="3">
        <v>236.20439999999999</v>
      </c>
      <c r="C6" s="3">
        <v>36.563142999999997</v>
      </c>
      <c r="D6" s="16">
        <v>3.8722609999999998E-2</v>
      </c>
      <c r="E6" s="3">
        <v>1.3207799999999992</v>
      </c>
      <c r="F6" s="3">
        <v>1.8275900000000007</v>
      </c>
      <c r="G6" s="3">
        <v>2.0776000000000003</v>
      </c>
      <c r="H6" s="3">
        <v>2.2152799999999999</v>
      </c>
      <c r="I6" s="3">
        <v>0.50681000000000154</v>
      </c>
      <c r="J6" s="3">
        <v>0.75682000000000116</v>
      </c>
      <c r="K6" s="3">
        <v>0.89450000000000074</v>
      </c>
      <c r="L6" s="3">
        <v>0.25000999999999962</v>
      </c>
      <c r="M6" s="3">
        <v>0.3876899999999992</v>
      </c>
      <c r="N6" s="3">
        <v>0.13767999999999958</v>
      </c>
    </row>
    <row r="7" spans="1:44" ht="15.75" thickBot="1" x14ac:dyDescent="0.3">
      <c r="A7" s="3">
        <v>1.2376623378636401E+18</v>
      </c>
      <c r="B7" s="3">
        <v>235.95321999999999</v>
      </c>
      <c r="C7" s="3">
        <v>35.634051999999997</v>
      </c>
      <c r="D7" s="16">
        <v>4.8511869999999999E-2</v>
      </c>
      <c r="E7" s="3">
        <v>1.10182</v>
      </c>
      <c r="F7" s="3">
        <v>1.5100799999999985</v>
      </c>
      <c r="G7" s="3">
        <v>1.7710599999999985</v>
      </c>
      <c r="H7" s="3">
        <v>1.9507000000000012</v>
      </c>
      <c r="I7" s="3">
        <v>0.40825999999999851</v>
      </c>
      <c r="J7" s="3">
        <v>0.6692399999999985</v>
      </c>
      <c r="K7" s="3">
        <v>0.84888000000000119</v>
      </c>
      <c r="L7" s="3">
        <v>0.26097999999999999</v>
      </c>
      <c r="M7" s="3">
        <v>0.44062000000000268</v>
      </c>
      <c r="N7" s="3">
        <v>0.17964000000000269</v>
      </c>
      <c r="P7" s="11" t="s">
        <v>32</v>
      </c>
      <c r="Q7" s="7" t="s">
        <v>22</v>
      </c>
      <c r="R7" s="7" t="s">
        <v>23</v>
      </c>
      <c r="S7" s="7" t="s">
        <v>24</v>
      </c>
      <c r="T7" s="7" t="s">
        <v>25</v>
      </c>
      <c r="U7" s="7" t="s">
        <v>26</v>
      </c>
      <c r="V7" s="7" t="s">
        <v>27</v>
      </c>
      <c r="W7" s="7" t="s">
        <v>28</v>
      </c>
      <c r="X7" s="7" t="s">
        <v>34</v>
      </c>
      <c r="Y7" s="7" t="s">
        <v>35</v>
      </c>
      <c r="Z7" s="7" t="s">
        <v>36</v>
      </c>
      <c r="AA7" s="7" t="s">
        <v>37</v>
      </c>
      <c r="AB7" s="7" t="s">
        <v>38</v>
      </c>
      <c r="AC7" s="7" t="s">
        <v>41</v>
      </c>
    </row>
    <row r="8" spans="1:44" x14ac:dyDescent="0.25">
      <c r="A8" s="3">
        <v>1.2376614659863301E+18</v>
      </c>
      <c r="B8" s="3">
        <v>236.42283</v>
      </c>
      <c r="C8" s="3">
        <v>35.660888</v>
      </c>
      <c r="D8" s="16">
        <v>5.498169E-2</v>
      </c>
      <c r="E8" s="3">
        <v>1.5033700000000003</v>
      </c>
      <c r="F8" s="3">
        <v>2.0518000000000001</v>
      </c>
      <c r="G8" s="3">
        <v>2.3140099999999997</v>
      </c>
      <c r="H8" s="3">
        <v>2.5384300000000017</v>
      </c>
      <c r="I8" s="3">
        <v>0.54842999999999975</v>
      </c>
      <c r="J8" s="3">
        <v>0.81063999999999936</v>
      </c>
      <c r="K8" s="3">
        <v>1.0350600000000014</v>
      </c>
      <c r="L8" s="3">
        <v>0.26220999999999961</v>
      </c>
      <c r="M8" s="3">
        <v>0.48663000000000167</v>
      </c>
      <c r="N8" s="3">
        <v>0.22442000000000206</v>
      </c>
      <c r="P8" s="12" t="s">
        <v>1</v>
      </c>
      <c r="Q8" s="20">
        <f t="array" ref="Q8:Q20">_xll.PCA_COMP(_xll.RMNA(pca!$B$2:$N$475,),,1,1,4)</f>
        <v>-6.1806992619835466E-2</v>
      </c>
      <c r="R8" s="13">
        <f t="array" ref="R8:R20">_xll.PCA_COMP(_xll.RMNA(pca!$B$2:$N$475,),,1,2,4)</f>
        <v>-1.4684221860208953E-2</v>
      </c>
      <c r="S8" s="19">
        <f t="array" ref="S8:S20">_xll.PCA_COMP(_xll.RMNA(pca!$B$2:$N$475,),,1,3,4)</f>
        <v>0.68885636674243467</v>
      </c>
      <c r="T8" s="13">
        <f t="array" ref="T8:T20">_xll.PCA_COMP(_xll.RMNA(pca!$B$2:$N$475,),,1,4,4)</f>
        <v>-0.71486295831397162</v>
      </c>
      <c r="U8" s="13">
        <f t="array" ref="U8:U20">_xll.PCA_COMP(_xll.RMNA(pca!$B$2:$N$475,),,1,5,4)</f>
        <v>-9.8037759908011918E-2</v>
      </c>
      <c r="V8" s="13">
        <f t="array" ref="V8:V20">_xll.PCA_COMP(_xll.RMNA(pca!$B$2:$N$475,),,1,6,4)</f>
        <v>2.3767071089152457E-2</v>
      </c>
      <c r="W8" s="13">
        <f t="array" ref="W8:W20">_xll.PCA_COMP(_xll.RMNA(pca!$B$2:$N$475,),,1,7,4)</f>
        <v>-1.5357411393982433E-2</v>
      </c>
      <c r="X8" s="13">
        <f t="array" ref="X8:X20">_xll.PCA_COMP(_xll.RMNA(pca!$B$2:$N$475,),,1,8,4)</f>
        <v>-8.3090283116324604E-16</v>
      </c>
      <c r="Y8" s="13">
        <f t="array" ref="Y8:Y20">_xll.PCA_COMP(_xll.RMNA(pca!$B$2:$N$475,),,1,9,4)</f>
        <v>5.7729238994693088E-16</v>
      </c>
      <c r="Z8" s="13">
        <f t="array" ref="Z8:Z20">_xll.PCA_COMP(_xll.RMNA(pca!$B$2:$N$475,),,1,10,4)</f>
        <v>2.3332945718663751E-16</v>
      </c>
      <c r="AA8" s="13">
        <f t="array" ref="AA8:AA20">_xll.PCA_COMP(_xll.RMNA(pca!$B$2:$N$475,),,1,11,4)</f>
        <v>2.0016594939961867E-17</v>
      </c>
      <c r="AB8" s="13">
        <f t="array" ref="AB8:AB20">_xll.PCA_COMP(_xll.RMNA(pca!$B$2:$N$475,),,1,12,4)</f>
        <v>2.5452902612356196E-17</v>
      </c>
      <c r="AC8" s="13">
        <f t="array" ref="AC8:AC20">_xll.PCA_COMP(_xll.RMNA(pca!$B$2:$N$475,),,1,13,4)</f>
        <v>-2.0192082437754988E-17</v>
      </c>
    </row>
    <row r="9" spans="1:44" x14ac:dyDescent="0.25">
      <c r="A9" s="3">
        <v>1.2376614659863301E+18</v>
      </c>
      <c r="B9" s="3">
        <v>236.43879999999999</v>
      </c>
      <c r="C9" s="3">
        <v>35.659931</v>
      </c>
      <c r="D9" s="16">
        <v>5.5187600000000003E-2</v>
      </c>
      <c r="E9" s="3">
        <v>1.9930699999999977</v>
      </c>
      <c r="F9" s="3">
        <v>2.9022799999999993</v>
      </c>
      <c r="G9" s="3">
        <v>3.3467399999999987</v>
      </c>
      <c r="H9" s="3">
        <v>3.686119999999999</v>
      </c>
      <c r="I9" s="3">
        <v>0.90921000000000163</v>
      </c>
      <c r="J9" s="3">
        <v>1.353670000000001</v>
      </c>
      <c r="K9" s="3">
        <v>1.6930500000000013</v>
      </c>
      <c r="L9" s="3">
        <v>0.44445999999999941</v>
      </c>
      <c r="M9" s="3">
        <v>0.78383999999999965</v>
      </c>
      <c r="N9" s="3">
        <v>0.33938000000000024</v>
      </c>
      <c r="P9" s="12" t="s">
        <v>2</v>
      </c>
      <c r="Q9" s="13">
        <v>-2.3726159418869141E-2</v>
      </c>
      <c r="R9" s="20">
        <v>8.4863242673974035E-2</v>
      </c>
      <c r="S9" s="19">
        <v>0.7077165630357638</v>
      </c>
      <c r="T9" s="13">
        <v>0.69483278426896988</v>
      </c>
      <c r="U9" s="13">
        <v>-9.2456674499662245E-2</v>
      </c>
      <c r="V9" s="13">
        <v>-1.2155829871766534E-4</v>
      </c>
      <c r="W9" s="13">
        <v>5.6317205194450579E-3</v>
      </c>
      <c r="X9" s="13">
        <v>1.6712931687936106E-16</v>
      </c>
      <c r="Y9" s="13">
        <v>-1.4369170114751883E-15</v>
      </c>
      <c r="Z9" s="13">
        <v>-5.0587257208153809E-17</v>
      </c>
      <c r="AA9" s="13">
        <v>-2.5570928784461556E-17</v>
      </c>
      <c r="AB9" s="13">
        <v>4.5965346333629546E-17</v>
      </c>
      <c r="AC9" s="13">
        <v>4.1476349952636214E-17</v>
      </c>
    </row>
    <row r="10" spans="1:44" x14ac:dyDescent="0.25">
      <c r="A10" s="3">
        <v>1.2376614659863301E+18</v>
      </c>
      <c r="B10" s="3">
        <v>236.43879999999999</v>
      </c>
      <c r="C10" s="3">
        <v>35.659931</v>
      </c>
      <c r="D10" s="16">
        <v>5.5239209999999997E-2</v>
      </c>
      <c r="E10" s="3">
        <v>1.9930699999999977</v>
      </c>
      <c r="F10" s="3">
        <v>2.9022799999999993</v>
      </c>
      <c r="G10" s="3">
        <v>3.3467399999999987</v>
      </c>
      <c r="H10" s="3">
        <v>3.686119999999999</v>
      </c>
      <c r="I10" s="3">
        <v>0.90921000000000163</v>
      </c>
      <c r="J10" s="3">
        <v>1.353670000000001</v>
      </c>
      <c r="K10" s="3">
        <v>1.6930500000000013</v>
      </c>
      <c r="L10" s="3">
        <v>0.44445999999999941</v>
      </c>
      <c r="M10" s="3">
        <v>0.78383999999999965</v>
      </c>
      <c r="N10" s="3">
        <v>0.33938000000000024</v>
      </c>
      <c r="P10" s="12" t="s">
        <v>3</v>
      </c>
      <c r="Q10" s="19">
        <v>-0.32432649690712667</v>
      </c>
      <c r="R10" s="13">
        <v>0.18886035892754957</v>
      </c>
      <c r="S10" s="13">
        <v>-2.1542625782703467E-2</v>
      </c>
      <c r="T10" s="13">
        <v>1.5276023687229752E-2</v>
      </c>
      <c r="U10" s="13">
        <v>0.16180130818021726</v>
      </c>
      <c r="V10" s="13">
        <v>0.55835957739531816</v>
      </c>
      <c r="W10" s="13">
        <v>-0.72145794444755751</v>
      </c>
      <c r="X10" s="13">
        <v>-1.0052580582221209E-14</v>
      </c>
      <c r="Y10" s="13">
        <v>-4.1356794977769334E-15</v>
      </c>
      <c r="Z10" s="13">
        <v>1.1352229453674127E-14</v>
      </c>
      <c r="AA10" s="13">
        <v>4.4910621556714505E-17</v>
      </c>
      <c r="AB10" s="13">
        <v>-1.947414320217529E-17</v>
      </c>
      <c r="AC10" s="13">
        <v>5.040623965990614E-17</v>
      </c>
    </row>
    <row r="11" spans="1:44" x14ac:dyDescent="0.25">
      <c r="A11" s="3">
        <v>1.2376624736909299E+18</v>
      </c>
      <c r="B11" s="3">
        <v>236.28331</v>
      </c>
      <c r="C11" s="3">
        <v>36.184873000000003</v>
      </c>
      <c r="D11" s="16">
        <v>5.8443469999999997E-2</v>
      </c>
      <c r="E11" s="3">
        <v>1.3368899999999968</v>
      </c>
      <c r="F11" s="3">
        <v>1.9572799999999972</v>
      </c>
      <c r="G11" s="3">
        <v>2.2923599999999986</v>
      </c>
      <c r="H11" s="3">
        <v>2.495379999999999</v>
      </c>
      <c r="I11" s="3">
        <v>0.62039000000000044</v>
      </c>
      <c r="J11" s="3">
        <v>0.95547000000000182</v>
      </c>
      <c r="K11" s="3">
        <v>1.1584900000000022</v>
      </c>
      <c r="L11" s="3">
        <v>0.33508000000000138</v>
      </c>
      <c r="M11" s="3">
        <v>0.5381000000000018</v>
      </c>
      <c r="N11" s="3">
        <v>0.20302000000000042</v>
      </c>
      <c r="P11" s="12" t="s">
        <v>10</v>
      </c>
      <c r="Q11" s="20">
        <v>-5.6111627763159588E-2</v>
      </c>
      <c r="R11" s="19">
        <v>-0.55727487813506438</v>
      </c>
      <c r="S11" s="13">
        <v>5.7874454524096251E-2</v>
      </c>
      <c r="T11" s="13">
        <v>4.0414084288418695E-2</v>
      </c>
      <c r="U11" s="13">
        <v>0.24833722444134365</v>
      </c>
      <c r="V11" s="13">
        <v>5.9545259740181163E-2</v>
      </c>
      <c r="W11" s="13">
        <v>-1.9750414152080127E-2</v>
      </c>
      <c r="X11" s="13">
        <v>5.8226740214671245E-2</v>
      </c>
      <c r="Y11" s="13">
        <v>1.3188328652409339E-2</v>
      </c>
      <c r="Z11" s="13">
        <v>-0.63278282875208991</v>
      </c>
      <c r="AA11" s="13">
        <v>0.38297254963470556</v>
      </c>
      <c r="AB11" s="13">
        <v>-0.15792824881841047</v>
      </c>
      <c r="AC11" s="13">
        <v>-0.20029640953677841</v>
      </c>
    </row>
    <row r="12" spans="1:44" x14ac:dyDescent="0.25">
      <c r="A12" s="3">
        <v>1.2376625032188301E+18</v>
      </c>
      <c r="B12" s="3">
        <v>236.24143000000001</v>
      </c>
      <c r="C12" s="3">
        <v>36.068829999999998</v>
      </c>
      <c r="D12" s="16">
        <v>5.9998900000000001E-2</v>
      </c>
      <c r="E12" s="3">
        <v>1.8834099999999978</v>
      </c>
      <c r="F12" s="3">
        <v>2.7687799999999996</v>
      </c>
      <c r="G12" s="3">
        <v>3.1812699999999978</v>
      </c>
      <c r="H12" s="3">
        <v>3.5261399999999981</v>
      </c>
      <c r="I12" s="3">
        <v>0.88537000000000177</v>
      </c>
      <c r="J12" s="3">
        <v>1.29786</v>
      </c>
      <c r="K12" s="3">
        <v>1.6427300000000002</v>
      </c>
      <c r="L12" s="3">
        <v>0.41248999999999825</v>
      </c>
      <c r="M12" s="3">
        <v>0.75735999999999848</v>
      </c>
      <c r="N12" s="3">
        <v>0.34487000000000023</v>
      </c>
      <c r="P12" s="12" t="s">
        <v>11</v>
      </c>
      <c r="Q12" s="13">
        <v>-0.19825773120447099</v>
      </c>
      <c r="R12" s="19">
        <v>-0.48709231183130353</v>
      </c>
      <c r="S12" s="13">
        <v>5.40003479596988E-3</v>
      </c>
      <c r="T12" s="13">
        <v>4.0401569871203941E-2</v>
      </c>
      <c r="U12" s="13">
        <v>-5.6441585728137136E-2</v>
      </c>
      <c r="V12" s="13">
        <v>-4.6388485682868415E-2</v>
      </c>
      <c r="W12" s="13">
        <v>-8.6249139169980171E-2</v>
      </c>
      <c r="X12" s="13">
        <v>5.9894194235262106E-2</v>
      </c>
      <c r="Y12" s="13">
        <v>-0.25494901156198835</v>
      </c>
      <c r="Z12" s="13">
        <v>0.57300463732400009</v>
      </c>
      <c r="AA12" s="13">
        <v>0.44578272120038998</v>
      </c>
      <c r="AB12" s="13">
        <v>0.30120789931358699</v>
      </c>
      <c r="AC12" s="13">
        <v>0.15042601441756495</v>
      </c>
    </row>
    <row r="13" spans="1:44" x14ac:dyDescent="0.25">
      <c r="A13" s="3">
        <v>1.2376625032188301E+18</v>
      </c>
      <c r="B13" s="3">
        <v>236.261</v>
      </c>
      <c r="C13" s="3">
        <v>36.156339000000003</v>
      </c>
      <c r="D13" s="16">
        <v>6.0399269999999998E-2</v>
      </c>
      <c r="E13" s="3">
        <v>1.9595899999999986</v>
      </c>
      <c r="F13" s="3">
        <v>2.8495200000000001</v>
      </c>
      <c r="G13" s="3">
        <v>3.2759700000000009</v>
      </c>
      <c r="H13" s="3">
        <v>3.6084999999999994</v>
      </c>
      <c r="I13" s="3">
        <v>0.88993000000000144</v>
      </c>
      <c r="J13" s="3">
        <v>1.3163800000000023</v>
      </c>
      <c r="K13" s="3">
        <v>1.6489100000000008</v>
      </c>
      <c r="L13" s="3">
        <v>0.42645000000000088</v>
      </c>
      <c r="M13" s="3">
        <v>0.75897999999999932</v>
      </c>
      <c r="N13" s="3">
        <v>0.33252999999999844</v>
      </c>
      <c r="P13" s="12" t="s">
        <v>12</v>
      </c>
      <c r="Q13" s="13">
        <v>-0.27248963371756835</v>
      </c>
      <c r="R13" s="19">
        <v>-0.39458804250322893</v>
      </c>
      <c r="S13" s="13">
        <v>3.2142515625442326E-3</v>
      </c>
      <c r="T13" s="13">
        <v>3.5207632062447342E-2</v>
      </c>
      <c r="U13" s="13">
        <v>9.3450177342900011E-4</v>
      </c>
      <c r="V13" s="13">
        <v>6.0446774471010621E-2</v>
      </c>
      <c r="W13" s="13">
        <v>6.6842977672288612E-2</v>
      </c>
      <c r="X13" s="13">
        <v>-0.36153172615660578</v>
      </c>
      <c r="Y13" s="13">
        <v>0.70266893335245495</v>
      </c>
      <c r="Z13" s="13">
        <v>0.14131169979187141</v>
      </c>
      <c r="AA13" s="13">
        <v>-0.29193533651513498</v>
      </c>
      <c r="AB13" s="13">
        <v>-4.8333386404475653E-2</v>
      </c>
      <c r="AC13" s="13">
        <v>0.16940166940653509</v>
      </c>
    </row>
    <row r="14" spans="1:44" x14ac:dyDescent="0.25">
      <c r="A14" s="3">
        <v>1.2376625032188301E+18</v>
      </c>
      <c r="B14" s="3">
        <v>236.22997000000001</v>
      </c>
      <c r="C14" s="3">
        <v>36.067765000000001</v>
      </c>
      <c r="D14" s="16">
        <v>6.1005700000000003E-2</v>
      </c>
      <c r="E14" s="3">
        <v>1.8941200000000009</v>
      </c>
      <c r="F14" s="3">
        <v>2.8054799999999993</v>
      </c>
      <c r="G14" s="3">
        <v>3.2270699999999994</v>
      </c>
      <c r="H14" s="3">
        <v>3.5662599999999998</v>
      </c>
      <c r="I14" s="3">
        <v>0.91135999999999839</v>
      </c>
      <c r="J14" s="3">
        <v>1.3329499999999985</v>
      </c>
      <c r="K14" s="3">
        <v>1.6721399999999988</v>
      </c>
      <c r="L14" s="3">
        <v>0.42159000000000013</v>
      </c>
      <c r="M14" s="3">
        <v>0.76078000000000046</v>
      </c>
      <c r="N14" s="3">
        <v>0.33919000000000032</v>
      </c>
      <c r="P14" s="12" t="s">
        <v>14</v>
      </c>
      <c r="Q14" s="13">
        <v>-0.29868439419298315</v>
      </c>
      <c r="R14" s="19">
        <v>-0.34643767782021029</v>
      </c>
      <c r="S14" s="13">
        <v>9.6385666238736258E-3</v>
      </c>
      <c r="T14" s="13">
        <v>3.1050776854334165E-2</v>
      </c>
      <c r="U14" s="13">
        <v>6.7668101276826709E-2</v>
      </c>
      <c r="V14" s="13">
        <v>-3.7739999174044317E-2</v>
      </c>
      <c r="W14" s="13">
        <v>2.9919843456199004E-2</v>
      </c>
      <c r="X14" s="13">
        <v>0.23789881944234575</v>
      </c>
      <c r="Y14" s="13">
        <v>-0.46387617730914943</v>
      </c>
      <c r="Z14" s="13">
        <v>-1.586431010073854E-3</v>
      </c>
      <c r="AA14" s="13">
        <v>-0.70182507010691808</v>
      </c>
      <c r="AB14" s="13">
        <v>-9.5824383777949038E-2</v>
      </c>
      <c r="AC14" s="13">
        <v>-9.639929644148619E-2</v>
      </c>
    </row>
    <row r="15" spans="1:44" x14ac:dyDescent="0.25">
      <c r="A15" s="3">
        <v>1.2376625032188301E+18</v>
      </c>
      <c r="B15" s="3">
        <v>236.22997000000001</v>
      </c>
      <c r="C15" s="3">
        <v>36.067765000000001</v>
      </c>
      <c r="D15" s="16">
        <v>6.1044439999999998E-2</v>
      </c>
      <c r="E15" s="3">
        <v>1.8941200000000009</v>
      </c>
      <c r="F15" s="3">
        <v>2.8054799999999993</v>
      </c>
      <c r="G15" s="3">
        <v>3.2270699999999994</v>
      </c>
      <c r="H15" s="3">
        <v>3.5662599999999998</v>
      </c>
      <c r="I15" s="3">
        <v>0.91135999999999839</v>
      </c>
      <c r="J15" s="3">
        <v>1.3329499999999985</v>
      </c>
      <c r="K15" s="3">
        <v>1.6721399999999988</v>
      </c>
      <c r="L15" s="3">
        <v>0.42159000000000013</v>
      </c>
      <c r="M15" s="3">
        <v>0.76078000000000046</v>
      </c>
      <c r="N15" s="3">
        <v>0.33919000000000032</v>
      </c>
      <c r="P15" s="12" t="s">
        <v>15</v>
      </c>
      <c r="Q15" s="19">
        <v>-0.32633735969526034</v>
      </c>
      <c r="R15" s="13">
        <v>3.6474916715675418E-2</v>
      </c>
      <c r="S15" s="13">
        <v>-0.10372424106704629</v>
      </c>
      <c r="T15" s="13">
        <v>8.5838958027817866E-3</v>
      </c>
      <c r="U15" s="13">
        <v>-0.62115493463974358</v>
      </c>
      <c r="V15" s="13">
        <v>-0.22160284249458032</v>
      </c>
      <c r="W15" s="13">
        <v>-0.15128201509733913</v>
      </c>
      <c r="X15" s="13">
        <v>0.16958117555930993</v>
      </c>
      <c r="Y15" s="13">
        <v>0.14688493537499839</v>
      </c>
      <c r="Z15" s="13">
        <v>6.9041837108320514E-2</v>
      </c>
      <c r="AA15" s="13">
        <v>0.13923711801582681</v>
      </c>
      <c r="AB15" s="13">
        <v>-0.36295543266200797</v>
      </c>
      <c r="AC15" s="13">
        <v>-0.46614400156713798</v>
      </c>
    </row>
    <row r="16" spans="1:44" x14ac:dyDescent="0.25">
      <c r="A16" s="3">
        <v>1.2376624736909299E+18</v>
      </c>
      <c r="B16" s="3">
        <v>236.38212999999999</v>
      </c>
      <c r="C16" s="3">
        <v>36.217623000000003</v>
      </c>
      <c r="D16" s="16">
        <v>6.1346039999999998E-2</v>
      </c>
      <c r="E16" s="3">
        <v>1.8663600000000002</v>
      </c>
      <c r="F16" s="3">
        <v>2.7294100000000014</v>
      </c>
      <c r="G16" s="3">
        <v>3.1420200000000005</v>
      </c>
      <c r="H16" s="3">
        <v>3.4600000000000009</v>
      </c>
      <c r="I16" s="3">
        <v>0.86305000000000121</v>
      </c>
      <c r="J16" s="3">
        <v>1.2756600000000002</v>
      </c>
      <c r="K16" s="3">
        <v>1.5936400000000006</v>
      </c>
      <c r="L16" s="3">
        <v>0.41260999999999903</v>
      </c>
      <c r="M16" s="3">
        <v>0.73058999999999941</v>
      </c>
      <c r="N16" s="3">
        <v>0.31798000000000037</v>
      </c>
      <c r="P16" s="12" t="s">
        <v>16</v>
      </c>
      <c r="Q16" s="19">
        <v>-0.35712284548520412</v>
      </c>
      <c r="R16" s="13">
        <v>0.10054826573721483</v>
      </c>
      <c r="S16" s="13">
        <v>-7.0027437556188718E-2</v>
      </c>
      <c r="T16" s="13">
        <v>3.1086073055639971E-3</v>
      </c>
      <c r="U16" s="13">
        <v>-0.32077218523925316</v>
      </c>
      <c r="V16" s="13">
        <v>1.8105995135173941E-2</v>
      </c>
      <c r="W16" s="13">
        <v>0.13109335389453239</v>
      </c>
      <c r="X16" s="13">
        <v>-0.49789252464773442</v>
      </c>
      <c r="Y16" s="13">
        <v>-0.37409797512135318</v>
      </c>
      <c r="Z16" s="13">
        <v>-0.28472667794778894</v>
      </c>
      <c r="AA16" s="13">
        <v>0.11241327091931941</v>
      </c>
      <c r="AB16" s="13">
        <v>-0.17125865940588608</v>
      </c>
      <c r="AC16" s="13">
        <v>0.47555221647674822</v>
      </c>
    </row>
    <row r="17" spans="1:29" x14ac:dyDescent="0.25">
      <c r="A17" s="3">
        <v>1.2376624736910001E+18</v>
      </c>
      <c r="B17" s="3">
        <v>236.42131000000001</v>
      </c>
      <c r="C17" s="3">
        <v>36.137425999999998</v>
      </c>
      <c r="D17" s="16">
        <v>6.1372290000000003E-2</v>
      </c>
      <c r="E17" s="3">
        <v>0.98522999999999783</v>
      </c>
      <c r="F17" s="3">
        <v>1.309079999999998</v>
      </c>
      <c r="G17" s="3">
        <v>1.5925799999999981</v>
      </c>
      <c r="H17" s="3">
        <v>1.6967699999999972</v>
      </c>
      <c r="I17" s="3">
        <v>0.32385000000000019</v>
      </c>
      <c r="J17" s="3">
        <v>0.60735000000000028</v>
      </c>
      <c r="K17" s="3">
        <v>0.7115399999999994</v>
      </c>
      <c r="L17" s="3">
        <v>0.28350000000000009</v>
      </c>
      <c r="M17" s="3">
        <v>0.3876899999999992</v>
      </c>
      <c r="N17" s="3">
        <v>0.10418999999999912</v>
      </c>
      <c r="P17" s="12" t="s">
        <v>17</v>
      </c>
      <c r="Q17" s="19">
        <v>-0.36179852239534577</v>
      </c>
      <c r="R17" s="13">
        <v>0.12323797085191167</v>
      </c>
      <c r="S17" s="13">
        <v>-5.0162161900509428E-2</v>
      </c>
      <c r="T17" s="13">
        <v>-5.3006703473777988E-4</v>
      </c>
      <c r="U17" s="13">
        <v>-0.17792379372847059</v>
      </c>
      <c r="V17" s="13">
        <v>-0.11921231778604006</v>
      </c>
      <c r="W17" s="13">
        <v>6.4226197139512053E-2</v>
      </c>
      <c r="X17" s="13">
        <v>0.33126232219108959</v>
      </c>
      <c r="Y17" s="13">
        <v>0.18591500661826177</v>
      </c>
      <c r="Z17" s="13">
        <v>-0.36383374350837777</v>
      </c>
      <c r="AA17" s="13">
        <v>-3.7330423396372749E-2</v>
      </c>
      <c r="AB17" s="13">
        <v>0.71596593394464414</v>
      </c>
      <c r="AC17" s="13">
        <v>0.10358263852981371</v>
      </c>
    </row>
    <row r="18" spans="1:29" x14ac:dyDescent="0.25">
      <c r="A18" s="3">
        <v>1.2376625032188301E+18</v>
      </c>
      <c r="B18" s="3">
        <v>236.16559000000001</v>
      </c>
      <c r="C18" s="3">
        <v>36.137926</v>
      </c>
      <c r="D18" s="16">
        <v>6.1555510000000001E-2</v>
      </c>
      <c r="E18" s="3">
        <v>1.8344699999999996</v>
      </c>
      <c r="F18" s="3">
        <v>2.6386600000000016</v>
      </c>
      <c r="G18" s="3">
        <v>2.9953800000000008</v>
      </c>
      <c r="H18" s="3">
        <v>3.2629599999999996</v>
      </c>
      <c r="I18" s="3">
        <v>0.80419000000000196</v>
      </c>
      <c r="J18" s="3">
        <v>1.1609100000000012</v>
      </c>
      <c r="K18" s="3">
        <v>1.42849</v>
      </c>
      <c r="L18" s="3">
        <v>0.35671999999999926</v>
      </c>
      <c r="M18" s="3">
        <v>0.62429999999999808</v>
      </c>
      <c r="N18" s="3">
        <v>0.26757999999999882</v>
      </c>
      <c r="P18" s="12" t="s">
        <v>18</v>
      </c>
      <c r="Q18" s="19">
        <v>-0.33937378777095012</v>
      </c>
      <c r="R18" s="13">
        <v>0.17960525062572302</v>
      </c>
      <c r="S18" s="13">
        <v>-6.2686397625802423E-3</v>
      </c>
      <c r="T18" s="13">
        <v>-5.7588208436441758E-3</v>
      </c>
      <c r="U18" s="13">
        <v>0.19282161453079036</v>
      </c>
      <c r="V18" s="13">
        <v>0.37849323239371307</v>
      </c>
      <c r="W18" s="13">
        <v>0.53581696430566783</v>
      </c>
      <c r="X18" s="13">
        <v>0.44627565448879714</v>
      </c>
      <c r="Y18" s="13">
        <v>0.10228471612709375</v>
      </c>
      <c r="Z18" s="13">
        <v>0.14696279291174835</v>
      </c>
      <c r="AA18" s="13">
        <v>0.18106728036787967</v>
      </c>
      <c r="AB18" s="13">
        <v>-0.31132566680264412</v>
      </c>
      <c r="AC18" s="13">
        <v>0.15500512491813453</v>
      </c>
    </row>
    <row r="19" spans="1:29" x14ac:dyDescent="0.25">
      <c r="A19" s="3">
        <v>1.2376625032189E+18</v>
      </c>
      <c r="B19" s="3">
        <v>236.38392999999999</v>
      </c>
      <c r="C19" s="3">
        <v>36.077117000000001</v>
      </c>
      <c r="D19" s="16">
        <v>6.2095259999999999E-2</v>
      </c>
      <c r="E19" s="3">
        <v>1.0198</v>
      </c>
      <c r="F19" s="3">
        <v>1.3888099999999994</v>
      </c>
      <c r="G19" s="3">
        <v>1.6575300000000013</v>
      </c>
      <c r="H19" s="3">
        <v>1.7898199999999989</v>
      </c>
      <c r="I19" s="3">
        <v>0.36900999999999939</v>
      </c>
      <c r="J19" s="3">
        <v>0.63773000000000124</v>
      </c>
      <c r="K19" s="3">
        <v>0.77001999999999882</v>
      </c>
      <c r="L19" s="3">
        <v>0.26872000000000185</v>
      </c>
      <c r="M19" s="3">
        <v>0.40100999999999942</v>
      </c>
      <c r="N19" s="3">
        <v>0.13228999999999758</v>
      </c>
      <c r="P19" s="12" t="s">
        <v>19</v>
      </c>
      <c r="Q19" s="19">
        <v>-0.3412039073443453</v>
      </c>
      <c r="R19" s="13">
        <v>0.19362178624055668</v>
      </c>
      <c r="S19" s="13">
        <v>1.3297601787115566E-2</v>
      </c>
      <c r="T19" s="13">
        <v>-9.8913131464631703E-3</v>
      </c>
      <c r="U19" s="13">
        <v>0.309619887670738</v>
      </c>
      <c r="V19" s="13">
        <v>5.7952391919643721E-3</v>
      </c>
      <c r="W19" s="13">
        <v>0.277388466732714</v>
      </c>
      <c r="X19" s="13">
        <v>-0.46351983576376471</v>
      </c>
      <c r="Y19" s="13">
        <v>-0.11922826929910048</v>
      </c>
      <c r="Z19" s="13">
        <v>0.10148195224486095</v>
      </c>
      <c r="AA19" s="13">
        <v>6.3785741370494933E-2</v>
      </c>
      <c r="AB19" s="13">
        <v>0.23692485339890035</v>
      </c>
      <c r="AC19" s="13">
        <v>-0.61107020886624019</v>
      </c>
    </row>
    <row r="20" spans="1:29" x14ac:dyDescent="0.25">
      <c r="A20" s="3">
        <v>1.2376625032188301E+18</v>
      </c>
      <c r="B20" s="3">
        <v>236.19077999999999</v>
      </c>
      <c r="C20" s="3">
        <v>36.079214999999998</v>
      </c>
      <c r="D20" s="16">
        <v>6.2184040000000003E-2</v>
      </c>
      <c r="E20" s="3">
        <v>1.78613</v>
      </c>
      <c r="F20" s="3">
        <v>2.6250800000000005</v>
      </c>
      <c r="G20" s="3">
        <v>3.0429499999999976</v>
      </c>
      <c r="H20" s="3">
        <v>3.3318899999999978</v>
      </c>
      <c r="I20" s="3">
        <v>0.83895000000000053</v>
      </c>
      <c r="J20" s="3">
        <v>1.2568199999999976</v>
      </c>
      <c r="K20" s="3">
        <v>1.5457599999999978</v>
      </c>
      <c r="L20" s="3">
        <v>0.41786999999999708</v>
      </c>
      <c r="M20" s="3">
        <v>0.70680999999999727</v>
      </c>
      <c r="N20" s="3">
        <v>0.2889400000000002</v>
      </c>
      <c r="P20" s="12" t="s">
        <v>20</v>
      </c>
      <c r="Q20" s="19">
        <v>-0.29662439841507543</v>
      </c>
      <c r="R20" s="13">
        <v>0.19236932614162791</v>
      </c>
      <c r="S20" s="13">
        <v>4.7679310982845599E-2</v>
      </c>
      <c r="T20" s="13">
        <v>-1.6157131844495441E-2</v>
      </c>
      <c r="U20" s="13">
        <v>0.48248735618712102</v>
      </c>
      <c r="V20" s="13">
        <v>-0.68553344842151787</v>
      </c>
      <c r="W20" s="13">
        <v>-0.24041171732923169</v>
      </c>
      <c r="X20" s="13">
        <v>7.293304921341541E-2</v>
      </c>
      <c r="Y20" s="13">
        <v>7.166532947075889E-2</v>
      </c>
      <c r="Z20" s="13">
        <v>3.4239823694503797E-2</v>
      </c>
      <c r="AA20" s="13">
        <v>8.0955927044240233E-2</v>
      </c>
      <c r="AB20" s="13">
        <v>-0.21467088948132496</v>
      </c>
      <c r="AC20" s="13">
        <v>0.21831335242833919</v>
      </c>
    </row>
    <row r="21" spans="1:29" x14ac:dyDescent="0.25">
      <c r="A21" s="3">
        <v>1.2376625032188301E+18</v>
      </c>
      <c r="B21" s="3">
        <v>236.18645000000001</v>
      </c>
      <c r="C21" s="3">
        <v>36.129855999999997</v>
      </c>
      <c r="D21" s="16">
        <v>6.2794680000000005E-2</v>
      </c>
      <c r="E21" s="3">
        <v>1.97194</v>
      </c>
      <c r="F21" s="3">
        <v>2.8778699999999997</v>
      </c>
      <c r="G21" s="3">
        <v>3.305769999999999</v>
      </c>
      <c r="H21" s="3">
        <v>3.6497499999999992</v>
      </c>
      <c r="I21" s="3">
        <v>0.90592999999999968</v>
      </c>
      <c r="J21" s="3">
        <v>1.333829999999999</v>
      </c>
      <c r="K21" s="3">
        <v>1.6778099999999991</v>
      </c>
      <c r="L21" s="3">
        <v>0.42789999999999928</v>
      </c>
      <c r="M21" s="3">
        <v>0.77187999999999946</v>
      </c>
      <c r="N21" s="3">
        <v>0.34398000000000017</v>
      </c>
    </row>
    <row r="22" spans="1:29" ht="15.75" thickBot="1" x14ac:dyDescent="0.3">
      <c r="A22" s="3">
        <v>1.2376625032188301E+18</v>
      </c>
      <c r="B22" s="3">
        <v>236.09998999999999</v>
      </c>
      <c r="C22" s="3">
        <v>36.135241000000001</v>
      </c>
      <c r="D22" s="16">
        <v>6.2827939999999999E-2</v>
      </c>
      <c r="E22" s="3">
        <v>1.7394600000000011</v>
      </c>
      <c r="F22" s="3">
        <v>2.538920000000001</v>
      </c>
      <c r="G22" s="3">
        <v>2.9246900000000018</v>
      </c>
      <c r="H22" s="3">
        <v>3.1541500000000013</v>
      </c>
      <c r="I22" s="3">
        <v>0.79945999999999984</v>
      </c>
      <c r="J22" s="3">
        <v>1.1852300000000007</v>
      </c>
      <c r="K22" s="3">
        <v>1.4146900000000002</v>
      </c>
      <c r="L22" s="3">
        <v>0.38577000000000083</v>
      </c>
      <c r="M22" s="3">
        <v>0.61523000000000039</v>
      </c>
      <c r="N22" s="3">
        <v>0.22945999999999955</v>
      </c>
      <c r="P22" s="11" t="s">
        <v>33</v>
      </c>
      <c r="Q22" s="7" t="s">
        <v>22</v>
      </c>
      <c r="R22" s="7" t="s">
        <v>23</v>
      </c>
      <c r="S22" s="7" t="s">
        <v>24</v>
      </c>
      <c r="T22" s="7" t="s">
        <v>25</v>
      </c>
      <c r="U22" s="7" t="s">
        <v>26</v>
      </c>
      <c r="V22" s="7" t="s">
        <v>27</v>
      </c>
      <c r="W22" s="7" t="s">
        <v>28</v>
      </c>
      <c r="X22" s="7" t="s">
        <v>34</v>
      </c>
      <c r="Y22" s="7" t="s">
        <v>35</v>
      </c>
      <c r="Z22" s="7" t="s">
        <v>36</v>
      </c>
      <c r="AA22" s="7" t="s">
        <v>37</v>
      </c>
      <c r="AB22" s="7" t="s">
        <v>38</v>
      </c>
      <c r="AC22" s="7" t="s">
        <v>41</v>
      </c>
    </row>
    <row r="23" spans="1:29" x14ac:dyDescent="0.25">
      <c r="A23" s="3">
        <v>1.2376625032188301E+18</v>
      </c>
      <c r="B23" s="3">
        <v>236.25030000000001</v>
      </c>
      <c r="C23" s="3">
        <v>36.110351000000001</v>
      </c>
      <c r="D23" s="16">
        <v>6.2856140000000005E-2</v>
      </c>
      <c r="E23" s="3">
        <v>1.8698399999999999</v>
      </c>
      <c r="F23" s="3">
        <v>2.7921600000000026</v>
      </c>
      <c r="G23" s="3">
        <v>3.2268800000000013</v>
      </c>
      <c r="H23" s="3">
        <v>3.6159000000000017</v>
      </c>
      <c r="I23" s="3">
        <v>0.92232000000000269</v>
      </c>
      <c r="J23" s="3">
        <v>1.3570400000000014</v>
      </c>
      <c r="K23" s="3">
        <v>1.7460600000000017</v>
      </c>
      <c r="L23" s="3">
        <v>0.43471999999999866</v>
      </c>
      <c r="M23" s="3">
        <v>0.82373999999999903</v>
      </c>
      <c r="N23" s="3">
        <v>0.38902000000000037</v>
      </c>
      <c r="Q23" s="13">
        <f t="array" ref="Q23:Q496">_xll.PCA_COMP(_xll.RMNA(pca!$B$2:$N$475,),,1,1,5)</f>
        <v>0.62097452166511746</v>
      </c>
      <c r="R23" s="13">
        <f t="array" ref="R23:R496">_xll.PCA_COMP(_xll.RMNA(pca!$B$2:$N$475,),,1,2,5)</f>
        <v>-0.76512384463834826</v>
      </c>
      <c r="S23" s="13">
        <f t="array" ref="S23:S496">_xll.PCA_COMP(_xll.RMNA(pca!$B$2:$N$475,),,1,3,5)</f>
        <v>-1.842170424193101</v>
      </c>
      <c r="T23" s="13">
        <f t="array" ref="T23:T496">_xll.PCA_COMP(_xll.RMNA(pca!$B$2:$N$475,),,1,4,5)</f>
        <v>0.78335112000203189</v>
      </c>
      <c r="U23" s="13">
        <f t="array" ref="U23:U496">_xll.PCA_COMP(_xll.RMNA(pca!$B$2:$N$475,),,1,5,5)</f>
        <v>-8.3771224657517726E-2</v>
      </c>
      <c r="V23" s="13">
        <f t="array" ref="V23:V496">_xll.PCA_COMP(_xll.RMNA(pca!$B$2:$N$475,),,1,6,5)</f>
        <v>-0.70822803301067938</v>
      </c>
      <c r="W23" s="13">
        <f t="array" ref="W23:W496">_xll.PCA_COMP(_xll.RMNA(pca!$B$2:$N$475,),,1,7,5)</f>
        <v>0.89288705224641574</v>
      </c>
      <c r="X23" s="13">
        <f t="array" ref="X23:X496">_xll.PCA_COMP(_xll.RMNA(pca!$B$2:$N$475,),,1,8,5)</f>
        <v>0</v>
      </c>
      <c r="Y23" s="13">
        <f t="array" ref="Y23:Y496">_xll.PCA_COMP(_xll.RMNA(pca!$B$2:$N$475,),,1,9,5)</f>
        <v>0</v>
      </c>
      <c r="Z23" s="13">
        <f t="array" ref="Z23:Z496">_xll.PCA_COMP(_xll.RMNA(pca!$B$2:$N$475,),,1,10,5)</f>
        <v>0</v>
      </c>
      <c r="AA23" s="13">
        <f t="array" ref="AA23:AA496">_xll.PCA_COMP(_xll.RMNA(pca!$B$2:$N$475,),,1,11,5)</f>
        <v>0</v>
      </c>
      <c r="AB23" s="13">
        <f t="array" ref="AB23:AB496">_xll.PCA_COMP(_xll.RMNA(pca!$B$2:$N$475,),,1,12,5)</f>
        <v>0</v>
      </c>
      <c r="AC23" s="13">
        <f t="array" ref="AC23:AC496">_xll.PCA_COMP(_xll.RMNA(pca!$B$2:$N$475,),,1,13,5)</f>
        <v>0</v>
      </c>
    </row>
    <row r="24" spans="1:29" x14ac:dyDescent="0.25">
      <c r="A24" s="3">
        <v>1.2376624731541299E+18</v>
      </c>
      <c r="B24" s="3">
        <v>236.19515000000001</v>
      </c>
      <c r="C24" s="3">
        <v>35.950268000000001</v>
      </c>
      <c r="D24" s="16">
        <v>6.2868919999999995E-2</v>
      </c>
      <c r="E24" s="3">
        <v>2.010110000000001</v>
      </c>
      <c r="F24" s="3">
        <v>2.8955500000000018</v>
      </c>
      <c r="G24" s="3">
        <v>3.3125600000000013</v>
      </c>
      <c r="H24" s="3">
        <v>3.6143100000000015</v>
      </c>
      <c r="I24" s="3">
        <v>0.88544000000000089</v>
      </c>
      <c r="J24" s="3">
        <v>1.3024500000000003</v>
      </c>
      <c r="K24" s="3">
        <v>1.6042000000000005</v>
      </c>
      <c r="L24" s="3">
        <v>0.41700999999999944</v>
      </c>
      <c r="M24" s="3">
        <v>0.71875999999999962</v>
      </c>
      <c r="N24" s="3">
        <v>0.30175000000000018</v>
      </c>
      <c r="Q24" s="13">
        <v>7.0133943877003171</v>
      </c>
      <c r="R24" s="13">
        <v>1.2791033455853358</v>
      </c>
      <c r="S24" s="13">
        <v>-0.11628535789612891</v>
      </c>
      <c r="T24" s="13">
        <v>-0.77485535626034108</v>
      </c>
      <c r="U24" s="13">
        <v>0.16003973436734603</v>
      </c>
      <c r="V24" s="13">
        <v>0.45093517002772698</v>
      </c>
      <c r="W24" s="13">
        <v>-0.6120818317833977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</row>
    <row r="25" spans="1:29" x14ac:dyDescent="0.25">
      <c r="A25" s="3">
        <v>1.2376625032188301E+18</v>
      </c>
      <c r="B25" s="3">
        <v>236.24133</v>
      </c>
      <c r="C25" s="3">
        <v>36.188203000000001</v>
      </c>
      <c r="D25" s="16">
        <v>6.3321730000000007E-2</v>
      </c>
      <c r="E25" s="3">
        <v>1.8223300000000009</v>
      </c>
      <c r="F25" s="3">
        <v>2.6678800000000003</v>
      </c>
      <c r="G25" s="3">
        <v>3.0645300000000013</v>
      </c>
      <c r="H25" s="3">
        <v>3.3540000000000028</v>
      </c>
      <c r="I25" s="3">
        <v>0.84554999999999936</v>
      </c>
      <c r="J25" s="3">
        <v>1.2422000000000004</v>
      </c>
      <c r="K25" s="3">
        <v>1.5316700000000019</v>
      </c>
      <c r="L25" s="3">
        <v>0.39665000000000106</v>
      </c>
      <c r="M25" s="3">
        <v>0.68612000000000251</v>
      </c>
      <c r="N25" s="3">
        <v>0.28947000000000145</v>
      </c>
      <c r="Q25" s="13">
        <v>5.3488902215347451</v>
      </c>
      <c r="R25" s="13">
        <v>0.84979636301627615</v>
      </c>
      <c r="S25" s="13">
        <v>1.1591594023225642</v>
      </c>
      <c r="T25" s="13">
        <v>0.88063003847187193</v>
      </c>
      <c r="U25" s="13">
        <v>-0.13166175190435281</v>
      </c>
      <c r="V25" s="13">
        <v>0.33944753983311154</v>
      </c>
      <c r="W25" s="13">
        <v>-0.15733508469380134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</row>
    <row r="26" spans="1:29" x14ac:dyDescent="0.25">
      <c r="A26" s="3">
        <v>1.2376625032188301E+18</v>
      </c>
      <c r="B26" s="3">
        <v>236.23274000000001</v>
      </c>
      <c r="C26" s="3">
        <v>36.138508000000002</v>
      </c>
      <c r="D26" s="16">
        <v>6.3713649999999997E-2</v>
      </c>
      <c r="E26" s="3">
        <v>1.9234699999999982</v>
      </c>
      <c r="F26" s="3">
        <v>2.7790199999999992</v>
      </c>
      <c r="G26" s="3">
        <v>3.1644199999999998</v>
      </c>
      <c r="H26" s="3">
        <v>3.4677199999999981</v>
      </c>
      <c r="I26" s="3">
        <v>0.85555000000000092</v>
      </c>
      <c r="J26" s="3">
        <v>1.2409500000000016</v>
      </c>
      <c r="K26" s="3">
        <v>1.5442499999999999</v>
      </c>
      <c r="L26" s="3">
        <v>0.38540000000000063</v>
      </c>
      <c r="M26" s="3">
        <v>0.68869999999999898</v>
      </c>
      <c r="N26" s="3">
        <v>0.30329999999999835</v>
      </c>
      <c r="Q26" s="13">
        <v>5.6023262935042988</v>
      </c>
      <c r="R26" s="13">
        <v>0.85312963584262835</v>
      </c>
      <c r="S26" s="13">
        <v>0.49564518695209914</v>
      </c>
      <c r="T26" s="13">
        <v>-0.7368677036430672</v>
      </c>
      <c r="U26" s="13">
        <v>-0.12265460788354933</v>
      </c>
      <c r="V26" s="13">
        <v>0.73000456617016418</v>
      </c>
      <c r="W26" s="13">
        <v>1.8082531368908226E-2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</row>
    <row r="27" spans="1:29" x14ac:dyDescent="0.25">
      <c r="A27" s="3">
        <v>1.23766247369107E+18</v>
      </c>
      <c r="B27" s="3">
        <v>236.64888999999999</v>
      </c>
      <c r="C27" s="3">
        <v>36.163539999999998</v>
      </c>
      <c r="D27" s="16">
        <v>6.3729820000000006E-2</v>
      </c>
      <c r="E27" s="3">
        <v>1.0187100000000022</v>
      </c>
      <c r="F27" s="3">
        <v>1.4552800000000019</v>
      </c>
      <c r="G27" s="3">
        <v>1.7772700000000015</v>
      </c>
      <c r="H27" s="3">
        <v>1.9713700000000003</v>
      </c>
      <c r="I27" s="3">
        <v>0.43656999999999968</v>
      </c>
      <c r="J27" s="3">
        <v>0.75855999999999923</v>
      </c>
      <c r="K27" s="3">
        <v>0.95265999999999806</v>
      </c>
      <c r="L27" s="3">
        <v>0.32198999999999955</v>
      </c>
      <c r="M27" s="3">
        <v>0.51608999999999838</v>
      </c>
      <c r="N27" s="3">
        <v>0.19409999999999883</v>
      </c>
      <c r="Q27" s="13">
        <v>4.6458071396278369</v>
      </c>
      <c r="R27" s="13">
        <v>0.59964520071413385</v>
      </c>
      <c r="S27" s="13">
        <v>1.3190430830701629</v>
      </c>
      <c r="T27" s="13">
        <v>1.152866418790147</v>
      </c>
      <c r="U27" s="13">
        <v>-0.11532006027517808</v>
      </c>
      <c r="V27" s="13">
        <v>0.37608269110792369</v>
      </c>
      <c r="W27" s="13">
        <v>-2.3513633479217824E-2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</row>
    <row r="28" spans="1:29" x14ac:dyDescent="0.25">
      <c r="A28" s="3">
        <v>1.2376625032188301E+18</v>
      </c>
      <c r="B28" s="3">
        <v>236.09188</v>
      </c>
      <c r="C28" s="3">
        <v>36.105321000000004</v>
      </c>
      <c r="D28" s="16">
        <v>6.3836710000000005E-2</v>
      </c>
      <c r="E28" s="3">
        <v>1.899280000000001</v>
      </c>
      <c r="F28" s="3">
        <v>2.81325</v>
      </c>
      <c r="G28" s="3">
        <v>3.2392199999999995</v>
      </c>
      <c r="H28" s="3">
        <v>3.5721399999999992</v>
      </c>
      <c r="I28" s="3">
        <v>0.91396999999999906</v>
      </c>
      <c r="J28" s="3">
        <v>1.3399399999999986</v>
      </c>
      <c r="K28" s="3">
        <v>1.6728599999999982</v>
      </c>
      <c r="L28" s="3">
        <v>0.42596999999999952</v>
      </c>
      <c r="M28" s="3">
        <v>0.75888999999999918</v>
      </c>
      <c r="N28" s="3">
        <v>0.33291999999999966</v>
      </c>
      <c r="Q28" s="13">
        <v>4.9600852899846304</v>
      </c>
      <c r="R28" s="13">
        <v>0.81208754181632614</v>
      </c>
      <c r="S28" s="13">
        <v>-1.5188748496357403</v>
      </c>
      <c r="T28" s="13">
        <v>-0.6234278993296426</v>
      </c>
      <c r="U28" s="13">
        <v>0.53671270773159718</v>
      </c>
      <c r="V28" s="13">
        <v>0.27312641241024704</v>
      </c>
      <c r="W28" s="13">
        <v>-4.8708120904316594E-2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</row>
    <row r="29" spans="1:29" x14ac:dyDescent="0.25">
      <c r="A29" s="3">
        <v>1.2376625032189701E+18</v>
      </c>
      <c r="B29" s="3">
        <v>236.44991999999999</v>
      </c>
      <c r="C29" s="3">
        <v>35.928752000000003</v>
      </c>
      <c r="D29" s="16">
        <v>6.3864340000000006E-2</v>
      </c>
      <c r="E29" s="3">
        <v>1.6039500000000011</v>
      </c>
      <c r="F29" s="3">
        <v>2.4474100000000014</v>
      </c>
      <c r="G29" s="3">
        <v>2.8331000000000017</v>
      </c>
      <c r="H29" s="3">
        <v>3.1372299999999989</v>
      </c>
      <c r="I29" s="3">
        <v>0.84346000000000032</v>
      </c>
      <c r="J29" s="3">
        <v>1.2291500000000006</v>
      </c>
      <c r="K29" s="3">
        <v>1.5332799999999978</v>
      </c>
      <c r="L29" s="3">
        <v>0.38569000000000031</v>
      </c>
      <c r="M29" s="3">
        <v>0.68981999999999744</v>
      </c>
      <c r="N29" s="3">
        <v>0.30412999999999712</v>
      </c>
      <c r="Q29" s="13">
        <v>4.1532790754936402</v>
      </c>
      <c r="R29" s="13">
        <v>0.13832046035869805</v>
      </c>
      <c r="S29" s="13">
        <v>-0.46289064872971308</v>
      </c>
      <c r="T29" s="13">
        <v>-1.528119411332447</v>
      </c>
      <c r="U29" s="13">
        <v>0.3760542359990563</v>
      </c>
      <c r="V29" s="13">
        <v>8.2425299997224102E-2</v>
      </c>
      <c r="W29" s="13">
        <v>-0.13186102572563477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</row>
    <row r="30" spans="1:29" x14ac:dyDescent="0.25">
      <c r="A30" s="3">
        <v>1.2376625032187E+18</v>
      </c>
      <c r="B30" s="3">
        <v>235.8664</v>
      </c>
      <c r="C30" s="3">
        <v>36.370778000000001</v>
      </c>
      <c r="D30" s="16">
        <v>6.389388E-2</v>
      </c>
      <c r="E30" s="3">
        <v>2.009529999999998</v>
      </c>
      <c r="F30" s="3">
        <v>2.9230899999999984</v>
      </c>
      <c r="G30" s="3">
        <v>3.3683299999999985</v>
      </c>
      <c r="H30" s="3">
        <v>3.6771299999999982</v>
      </c>
      <c r="I30" s="3">
        <v>0.91356000000000037</v>
      </c>
      <c r="J30" s="3">
        <v>1.3588000000000005</v>
      </c>
      <c r="K30" s="3">
        <v>1.6676000000000002</v>
      </c>
      <c r="L30" s="3">
        <v>0.44524000000000008</v>
      </c>
      <c r="M30" s="3">
        <v>0.75403999999999982</v>
      </c>
      <c r="N30" s="3">
        <v>0.30879999999999974</v>
      </c>
      <c r="Q30" s="13">
        <v>2.1630147961697572</v>
      </c>
      <c r="R30" s="13">
        <v>-0.61369314275426368</v>
      </c>
      <c r="S30" s="13">
        <v>-0.51144384627413519</v>
      </c>
      <c r="T30" s="13">
        <v>-1.4702950351406274</v>
      </c>
      <c r="U30" s="13">
        <v>0.31758304397590609</v>
      </c>
      <c r="V30" s="13">
        <v>-0.36172230899669044</v>
      </c>
      <c r="W30" s="13">
        <v>0.21069115734935029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</row>
    <row r="31" spans="1:29" x14ac:dyDescent="0.25">
      <c r="A31" s="3">
        <v>1.2376625032188301E+18</v>
      </c>
      <c r="B31" s="3">
        <v>236.17264</v>
      </c>
      <c r="C31" s="3">
        <v>36.065449999999998</v>
      </c>
      <c r="D31" s="16">
        <v>6.3996040000000004E-2</v>
      </c>
      <c r="E31" s="3">
        <v>1.8203600000000009</v>
      </c>
      <c r="F31" s="3">
        <v>2.7034600000000015</v>
      </c>
      <c r="G31" s="3">
        <v>3.1217800000000011</v>
      </c>
      <c r="H31" s="3">
        <v>3.4220600000000001</v>
      </c>
      <c r="I31" s="3">
        <v>0.88310000000000066</v>
      </c>
      <c r="J31" s="3">
        <v>1.3014200000000002</v>
      </c>
      <c r="K31" s="3">
        <v>1.6016999999999992</v>
      </c>
      <c r="L31" s="3">
        <v>0.41831999999999958</v>
      </c>
      <c r="M31" s="3">
        <v>0.71859999999999857</v>
      </c>
      <c r="N31" s="3">
        <v>0.30027999999999899</v>
      </c>
      <c r="Q31" s="13">
        <v>2.1629491630088982</v>
      </c>
      <c r="R31" s="13">
        <v>-0.61365492354480822</v>
      </c>
      <c r="S31" s="13">
        <v>-0.51144820580268757</v>
      </c>
      <c r="T31" s="13">
        <v>-1.4702919437690321</v>
      </c>
      <c r="U31" s="13">
        <v>0.31761578731136658</v>
      </c>
      <c r="V31" s="13">
        <v>-0.36160931513306976</v>
      </c>
      <c r="W31" s="13">
        <v>0.2105451576676341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</row>
    <row r="32" spans="1:29" x14ac:dyDescent="0.25">
      <c r="A32" s="3">
        <v>1.2376625032189E+18</v>
      </c>
      <c r="B32" s="3">
        <v>236.24023</v>
      </c>
      <c r="C32" s="3">
        <v>36.020007999999997</v>
      </c>
      <c r="D32" s="16">
        <v>6.4113870000000003E-2</v>
      </c>
      <c r="E32" s="3">
        <v>1.8020999999999994</v>
      </c>
      <c r="F32" s="3">
        <v>2.6651299999999978</v>
      </c>
      <c r="G32" s="3">
        <v>3.0672399999999982</v>
      </c>
      <c r="H32" s="3">
        <v>3.3648299999999978</v>
      </c>
      <c r="I32" s="3">
        <v>0.86302999999999841</v>
      </c>
      <c r="J32" s="3">
        <v>1.2651399999999988</v>
      </c>
      <c r="K32" s="3">
        <v>1.5627299999999984</v>
      </c>
      <c r="L32" s="3">
        <v>0.40211000000000041</v>
      </c>
      <c r="M32" s="3">
        <v>0.69969999999999999</v>
      </c>
      <c r="N32" s="3">
        <v>0.29758999999999958</v>
      </c>
      <c r="Q32" s="13">
        <v>3.9363919214864835</v>
      </c>
      <c r="R32" s="13">
        <v>0.53252150274517707</v>
      </c>
      <c r="S32" s="13">
        <v>0.5046192815608147</v>
      </c>
      <c r="T32" s="13">
        <v>5.9184725518851795E-2</v>
      </c>
      <c r="U32" s="13">
        <v>5.65084656751721E-2</v>
      </c>
      <c r="V32" s="13">
        <v>0.19406149688275046</v>
      </c>
      <c r="W32" s="13">
        <v>6.947080774113755E-2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</row>
    <row r="33" spans="1:29" x14ac:dyDescent="0.25">
      <c r="A33" s="3">
        <v>1.2376614659862001E+18</v>
      </c>
      <c r="B33" s="3">
        <v>236.06752</v>
      </c>
      <c r="C33" s="3">
        <v>35.897171999999998</v>
      </c>
      <c r="D33" s="16">
        <v>6.4131209999999994E-2</v>
      </c>
      <c r="E33" s="3">
        <v>1.8261099999999999</v>
      </c>
      <c r="F33" s="3">
        <v>2.673099999999998</v>
      </c>
      <c r="G33" s="3">
        <v>3.0893699999999988</v>
      </c>
      <c r="H33" s="3">
        <v>3.3738299999999981</v>
      </c>
      <c r="I33" s="3">
        <v>0.84698999999999813</v>
      </c>
      <c r="J33" s="3">
        <v>1.2632599999999989</v>
      </c>
      <c r="K33" s="3">
        <v>1.5477199999999982</v>
      </c>
      <c r="L33" s="3">
        <v>0.41627000000000081</v>
      </c>
      <c r="M33" s="3">
        <v>0.70073000000000008</v>
      </c>
      <c r="N33" s="3">
        <v>0.28445999999999927</v>
      </c>
      <c r="Q33" s="13">
        <v>2.3653091879236467</v>
      </c>
      <c r="R33" s="13">
        <v>-0.30213224392654842</v>
      </c>
      <c r="S33" s="13">
        <v>0.10034400172362466</v>
      </c>
      <c r="T33" s="13">
        <v>-4.6287625802510349E-2</v>
      </c>
      <c r="U33" s="13">
        <v>0.25900971706582848</v>
      </c>
      <c r="V33" s="13">
        <v>-0.41187942225776797</v>
      </c>
      <c r="W33" s="13">
        <v>0.13509039678813003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</row>
    <row r="34" spans="1:29" x14ac:dyDescent="0.25">
      <c r="A34" s="3">
        <v>1.2376625032188301E+18</v>
      </c>
      <c r="B34" s="3">
        <v>236.23929999999999</v>
      </c>
      <c r="C34" s="3">
        <v>36.117984999999997</v>
      </c>
      <c r="D34" s="16">
        <v>6.4249870000000001E-2</v>
      </c>
      <c r="E34" s="3">
        <v>2.2490700000000032</v>
      </c>
      <c r="F34" s="3">
        <v>3.1645600000000016</v>
      </c>
      <c r="G34" s="3">
        <v>3.6622200000000014</v>
      </c>
      <c r="H34" s="3">
        <v>3.9597900000000017</v>
      </c>
      <c r="I34" s="3">
        <v>0.91548999999999836</v>
      </c>
      <c r="J34" s="3">
        <v>1.4131499999999981</v>
      </c>
      <c r="K34" s="3">
        <v>1.7107199999999985</v>
      </c>
      <c r="L34" s="3">
        <v>0.49765999999999977</v>
      </c>
      <c r="M34" s="3">
        <v>0.7952300000000001</v>
      </c>
      <c r="N34" s="3">
        <v>0.29757000000000033</v>
      </c>
      <c r="Q34" s="13">
        <v>2.2866507345160723</v>
      </c>
      <c r="R34" s="13">
        <v>-0.40687430484357295</v>
      </c>
      <c r="S34" s="13">
        <v>0.36049119495245641</v>
      </c>
      <c r="T34" s="13">
        <v>0.13770276406488632</v>
      </c>
      <c r="U34" s="13">
        <v>0.2053471124478376</v>
      </c>
      <c r="V34" s="13">
        <v>-0.3459447781732477</v>
      </c>
      <c r="W34" s="13">
        <v>0.17597768392462088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</row>
    <row r="35" spans="1:29" x14ac:dyDescent="0.25">
      <c r="A35" s="3">
        <v>1.23766250321903E+18</v>
      </c>
      <c r="B35" s="3">
        <v>236.62189000000001</v>
      </c>
      <c r="C35" s="3">
        <v>35.936266000000003</v>
      </c>
      <c r="D35" s="16">
        <v>6.4283400000000004E-2</v>
      </c>
      <c r="E35" s="3">
        <v>1.97654</v>
      </c>
      <c r="F35" s="3">
        <v>2.9062100000000015</v>
      </c>
      <c r="G35" s="3">
        <v>3.3224100000000014</v>
      </c>
      <c r="H35" s="3">
        <v>3.6519399999999997</v>
      </c>
      <c r="I35" s="3">
        <v>0.92967000000000155</v>
      </c>
      <c r="J35" s="3">
        <v>1.3458700000000015</v>
      </c>
      <c r="K35" s="3">
        <v>1.6753999999999998</v>
      </c>
      <c r="L35" s="3">
        <v>0.4161999999999999</v>
      </c>
      <c r="M35" s="3">
        <v>0.74572999999999823</v>
      </c>
      <c r="N35" s="3">
        <v>0.32952999999999832</v>
      </c>
      <c r="Q35" s="13">
        <v>2.2933588079738962</v>
      </c>
      <c r="R35" s="13">
        <v>-0.33777946619139448</v>
      </c>
      <c r="S35" s="13">
        <v>6.2844914931847878E-2</v>
      </c>
      <c r="T35" s="13">
        <v>-1.8764771074233601E-2</v>
      </c>
      <c r="U35" s="13">
        <v>0.20670890333384476</v>
      </c>
      <c r="V35" s="13">
        <v>-0.3927733436915633</v>
      </c>
      <c r="W35" s="13">
        <v>0.15739149230724087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</row>
    <row r="36" spans="1:29" x14ac:dyDescent="0.25">
      <c r="A36" s="3">
        <v>1.2376625032188301E+18</v>
      </c>
      <c r="B36" s="3">
        <v>236.10839000000001</v>
      </c>
      <c r="C36" s="3">
        <v>36.062103999999998</v>
      </c>
      <c r="D36" s="16">
        <v>6.4395629999999995E-2</v>
      </c>
      <c r="E36" s="3">
        <v>1.93309</v>
      </c>
      <c r="F36" s="3">
        <v>2.812660000000001</v>
      </c>
      <c r="G36" s="3">
        <v>3.2054500000000026</v>
      </c>
      <c r="H36" s="3">
        <v>3.503580000000003</v>
      </c>
      <c r="I36" s="3">
        <v>0.87957000000000107</v>
      </c>
      <c r="J36" s="3">
        <v>1.2723600000000026</v>
      </c>
      <c r="K36" s="3">
        <v>1.5704900000000031</v>
      </c>
      <c r="L36" s="3">
        <v>0.39279000000000153</v>
      </c>
      <c r="M36" s="3">
        <v>0.69092000000000198</v>
      </c>
      <c r="N36" s="3">
        <v>0.29813000000000045</v>
      </c>
      <c r="Q36" s="13">
        <v>2.2933095417725475</v>
      </c>
      <c r="R36" s="13">
        <v>-0.3377507777167903</v>
      </c>
      <c r="S36" s="13">
        <v>6.284164254013902E-2</v>
      </c>
      <c r="T36" s="13">
        <v>-1.8762450598829868E-2</v>
      </c>
      <c r="U36" s="13">
        <v>0.20673348145466869</v>
      </c>
      <c r="V36" s="13">
        <v>-0.39268852713902241</v>
      </c>
      <c r="W36" s="13">
        <v>0.15728190060660788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</row>
    <row r="37" spans="1:29" x14ac:dyDescent="0.25">
      <c r="A37" s="3">
        <v>1.2376625037556401E+18</v>
      </c>
      <c r="B37" s="3">
        <v>236.36396999999999</v>
      </c>
      <c r="C37" s="3">
        <v>36.529536</v>
      </c>
      <c r="D37" s="16">
        <v>6.4439060000000006E-2</v>
      </c>
      <c r="E37" s="3">
        <v>1.8131799999999991</v>
      </c>
      <c r="F37" s="3">
        <v>2.7027499999999982</v>
      </c>
      <c r="G37" s="3">
        <v>3.161699999999998</v>
      </c>
      <c r="H37" s="3">
        <v>3.5358699999999992</v>
      </c>
      <c r="I37" s="3">
        <v>0.88956999999999908</v>
      </c>
      <c r="J37" s="3">
        <v>1.3485199999999988</v>
      </c>
      <c r="K37" s="3">
        <v>1.7226900000000001</v>
      </c>
      <c r="L37" s="3">
        <v>0.45894999999999975</v>
      </c>
      <c r="M37" s="3">
        <v>0.83312000000000097</v>
      </c>
      <c r="N37" s="3">
        <v>0.37417000000000122</v>
      </c>
      <c r="Q37" s="13">
        <v>2.4624571100378403</v>
      </c>
      <c r="R37" s="13">
        <v>-0.25638525942696572</v>
      </c>
      <c r="S37" s="13">
        <v>0.7715709924458598</v>
      </c>
      <c r="T37" s="13">
        <v>8.0984136364805545E-3</v>
      </c>
      <c r="U37" s="13">
        <v>0.12021185361747513</v>
      </c>
      <c r="V37" s="13">
        <v>-0.28063088121332452</v>
      </c>
      <c r="W37" s="13">
        <v>0.14763014557836612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</row>
    <row r="38" spans="1:29" x14ac:dyDescent="0.25">
      <c r="A38" s="3">
        <v>1.23766247369087E+18</v>
      </c>
      <c r="B38" s="3">
        <v>236.31164999999999</v>
      </c>
      <c r="C38" s="3">
        <v>36.406641999999998</v>
      </c>
      <c r="D38" s="16">
        <v>6.4482990000000004E-2</v>
      </c>
      <c r="E38" s="3">
        <v>1.9159700000000015</v>
      </c>
      <c r="F38" s="3">
        <v>2.7629999999999981</v>
      </c>
      <c r="G38" s="3">
        <v>3.1620799999999996</v>
      </c>
      <c r="H38" s="3">
        <v>3.4850600000000007</v>
      </c>
      <c r="I38" s="3">
        <v>0.84702999999999662</v>
      </c>
      <c r="J38" s="3">
        <v>1.2461099999999981</v>
      </c>
      <c r="K38" s="3">
        <v>1.5690899999999992</v>
      </c>
      <c r="L38" s="3">
        <v>0.39908000000000143</v>
      </c>
      <c r="M38" s="3">
        <v>0.72206000000000259</v>
      </c>
      <c r="N38" s="3">
        <v>0.32298000000000116</v>
      </c>
      <c r="Q38" s="13">
        <v>5.2261848410375711</v>
      </c>
      <c r="R38" s="13">
        <v>1.1059147724808447</v>
      </c>
      <c r="S38" s="13">
        <v>0.73418995676448262</v>
      </c>
      <c r="T38" s="13">
        <v>-0.43098485860375546</v>
      </c>
      <c r="U38" s="13">
        <v>0.14008573111733846</v>
      </c>
      <c r="V38" s="13">
        <v>0.69974914608787953</v>
      </c>
      <c r="W38" s="13">
        <v>1.6713917551487552E-2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</row>
    <row r="39" spans="1:29" x14ac:dyDescent="0.25">
      <c r="A39" s="3">
        <v>1.2376625032186399E+18</v>
      </c>
      <c r="B39" s="3">
        <v>235.71006</v>
      </c>
      <c r="C39" s="3">
        <v>36.316696</v>
      </c>
      <c r="D39" s="16">
        <v>6.4746970000000001E-2</v>
      </c>
      <c r="E39" s="3">
        <v>1.8437400000000004</v>
      </c>
      <c r="F39" s="3">
        <v>2.6752799999999972</v>
      </c>
      <c r="G39" s="3">
        <v>3.0411199999999994</v>
      </c>
      <c r="H39" s="3">
        <v>3.2991499999999991</v>
      </c>
      <c r="I39" s="3">
        <v>0.83153999999999684</v>
      </c>
      <c r="J39" s="3">
        <v>1.197379999999999</v>
      </c>
      <c r="K39" s="3">
        <v>1.4554099999999988</v>
      </c>
      <c r="L39" s="3">
        <v>0.36584000000000216</v>
      </c>
      <c r="M39" s="3">
        <v>0.62387000000000192</v>
      </c>
      <c r="N39" s="3">
        <v>0.25802999999999976</v>
      </c>
      <c r="Q39" s="13">
        <v>2.9739891488282901</v>
      </c>
      <c r="R39" s="13">
        <v>-0.28110182461999361</v>
      </c>
      <c r="S39" s="13">
        <v>0.12431253778019076</v>
      </c>
      <c r="T39" s="13">
        <v>0.28149738048194411</v>
      </c>
      <c r="U39" s="13">
        <v>0.11530525446477452</v>
      </c>
      <c r="V39" s="13">
        <v>-0.12437116001366091</v>
      </c>
      <c r="W39" s="13">
        <v>5.5015722626841679E-2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</row>
    <row r="40" spans="1:29" x14ac:dyDescent="0.25">
      <c r="A40" s="3">
        <v>1.2376623378635799E+18</v>
      </c>
      <c r="B40" s="3">
        <v>235.79899</v>
      </c>
      <c r="C40" s="3">
        <v>35.815162999999998</v>
      </c>
      <c r="D40" s="16">
        <v>6.4833169999999996E-2</v>
      </c>
      <c r="E40" s="3">
        <v>1.0413199999999989</v>
      </c>
      <c r="F40" s="3">
        <v>1.378149999999998</v>
      </c>
      <c r="G40" s="3">
        <v>1.6449099999999994</v>
      </c>
      <c r="H40" s="3">
        <v>1.7672699999999999</v>
      </c>
      <c r="I40" s="3">
        <v>0.33682999999999907</v>
      </c>
      <c r="J40" s="3">
        <v>0.60359000000000052</v>
      </c>
      <c r="K40" s="3">
        <v>0.72595000000000098</v>
      </c>
      <c r="L40" s="3">
        <v>0.26676000000000144</v>
      </c>
      <c r="M40" s="3">
        <v>0.38912000000000191</v>
      </c>
      <c r="N40" s="3">
        <v>0.12236000000000047</v>
      </c>
      <c r="Q40" s="13">
        <v>5.0795057006694675</v>
      </c>
      <c r="R40" s="13">
        <v>1.0332071991035909</v>
      </c>
      <c r="S40" s="13">
        <v>0.499697140632265</v>
      </c>
      <c r="T40" s="13">
        <v>-0.49050556963384689</v>
      </c>
      <c r="U40" s="13">
        <v>0.17685590824544808</v>
      </c>
      <c r="V40" s="13">
        <v>0.54807570424840535</v>
      </c>
      <c r="W40" s="13">
        <v>-4.3706767776607612E-2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</row>
    <row r="41" spans="1:29" x14ac:dyDescent="0.25">
      <c r="A41" s="3">
        <v>1.2376624731541299E+18</v>
      </c>
      <c r="B41" s="3">
        <v>236.24706</v>
      </c>
      <c r="C41" s="3">
        <v>35.929934000000003</v>
      </c>
      <c r="D41" s="16">
        <v>6.4855990000000002E-2</v>
      </c>
      <c r="E41" s="3">
        <v>2.0538799999999995</v>
      </c>
      <c r="F41" s="3">
        <v>2.9844399999999993</v>
      </c>
      <c r="G41" s="3">
        <v>3.3550599999999982</v>
      </c>
      <c r="H41" s="3">
        <v>3.6664299999999983</v>
      </c>
      <c r="I41" s="3">
        <v>0.93055999999999983</v>
      </c>
      <c r="J41" s="3">
        <v>1.3011799999999987</v>
      </c>
      <c r="K41" s="3">
        <v>1.6125499999999988</v>
      </c>
      <c r="L41" s="3">
        <v>0.37061999999999884</v>
      </c>
      <c r="M41" s="3">
        <v>0.68198999999999899</v>
      </c>
      <c r="N41" s="3">
        <v>0.31137000000000015</v>
      </c>
      <c r="Q41" s="13">
        <v>2.6853354667699305</v>
      </c>
      <c r="R41" s="13">
        <v>-0.18180458448725464</v>
      </c>
      <c r="S41" s="13">
        <v>1.2917645964464897E-2</v>
      </c>
      <c r="T41" s="13">
        <v>7.8361691481603699E-2</v>
      </c>
      <c r="U41" s="13">
        <v>0.15967634007680398</v>
      </c>
      <c r="V41" s="13">
        <v>-0.16213817935108246</v>
      </c>
      <c r="W41" s="13">
        <v>0.18710267563296679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</row>
    <row r="42" spans="1:29" x14ac:dyDescent="0.25">
      <c r="A42" s="3">
        <v>1.23766247369087E+18</v>
      </c>
      <c r="B42" s="3">
        <v>236.20194000000001</v>
      </c>
      <c r="C42" s="3">
        <v>36.445641000000002</v>
      </c>
      <c r="D42" s="16">
        <v>6.4901249999999994E-2</v>
      </c>
      <c r="E42" s="3">
        <v>1.5531400000000026</v>
      </c>
      <c r="F42" s="3">
        <v>2.3354900000000001</v>
      </c>
      <c r="G42" s="3">
        <v>2.675060000000002</v>
      </c>
      <c r="H42" s="3">
        <v>2.9899200000000015</v>
      </c>
      <c r="I42" s="3">
        <v>0.78234999999999744</v>
      </c>
      <c r="J42" s="3">
        <v>1.1219199999999994</v>
      </c>
      <c r="K42" s="3">
        <v>1.4367799999999988</v>
      </c>
      <c r="L42" s="3">
        <v>0.33957000000000193</v>
      </c>
      <c r="M42" s="3">
        <v>0.6544300000000014</v>
      </c>
      <c r="N42" s="3">
        <v>0.31485999999999947</v>
      </c>
      <c r="Q42" s="13">
        <v>2.2194442398780012</v>
      </c>
      <c r="R42" s="13">
        <v>-0.42391793151961432</v>
      </c>
      <c r="S42" s="13">
        <v>0.13385867423925782</v>
      </c>
      <c r="T42" s="13">
        <v>0.23913655595639371</v>
      </c>
      <c r="U42" s="13">
        <v>0.24906259677321815</v>
      </c>
      <c r="V42" s="13">
        <v>-0.39830675311751812</v>
      </c>
      <c r="W42" s="13">
        <v>0.1669037461825327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</row>
    <row r="43" spans="1:29" x14ac:dyDescent="0.25">
      <c r="A43" s="3">
        <v>1.2376625032186399E+18</v>
      </c>
      <c r="B43" s="3">
        <v>235.80139</v>
      </c>
      <c r="C43" s="3">
        <v>36.410372000000002</v>
      </c>
      <c r="D43" s="16">
        <v>6.4920919999999993E-2</v>
      </c>
      <c r="E43" s="3">
        <v>1.8927200000000006</v>
      </c>
      <c r="F43" s="3">
        <v>2.7922799999999999</v>
      </c>
      <c r="G43" s="3">
        <v>3.2152399999999997</v>
      </c>
      <c r="H43" s="3">
        <v>3.5327399999999987</v>
      </c>
      <c r="I43" s="3">
        <v>0.89955999999999925</v>
      </c>
      <c r="J43" s="3">
        <v>1.322519999999999</v>
      </c>
      <c r="K43" s="3">
        <v>1.640019999999998</v>
      </c>
      <c r="L43" s="3">
        <v>0.42295999999999978</v>
      </c>
      <c r="M43" s="3">
        <v>0.74045999999999879</v>
      </c>
      <c r="N43" s="3">
        <v>0.31749999999999901</v>
      </c>
      <c r="Q43" s="13">
        <v>3.0852717508477112</v>
      </c>
      <c r="R43" s="13">
        <v>-0.15872726911608998</v>
      </c>
      <c r="S43" s="13">
        <v>-3.9907715342833543E-2</v>
      </c>
      <c r="T43" s="13">
        <v>0.41053932834263135</v>
      </c>
      <c r="U43" s="13">
        <v>2.0541176703509717E-2</v>
      </c>
      <c r="V43" s="13">
        <v>5.3657746196414363E-2</v>
      </c>
      <c r="W43" s="13">
        <v>0.15427399246416446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</row>
    <row r="44" spans="1:29" x14ac:dyDescent="0.25">
      <c r="A44" s="3">
        <v>1.2376625032187E+18</v>
      </c>
      <c r="B44" s="3">
        <v>235.94580999999999</v>
      </c>
      <c r="C44" s="3">
        <v>36.373638999999997</v>
      </c>
      <c r="D44" s="16">
        <v>6.4979609999999993E-2</v>
      </c>
      <c r="E44" s="3">
        <v>1.7072700000000012</v>
      </c>
      <c r="F44" s="3">
        <v>2.4680300000000024</v>
      </c>
      <c r="G44" s="3">
        <v>2.8274400000000028</v>
      </c>
      <c r="H44" s="3">
        <v>3.0700200000000031</v>
      </c>
      <c r="I44" s="3">
        <v>0.76076000000000121</v>
      </c>
      <c r="J44" s="3">
        <v>1.1201700000000017</v>
      </c>
      <c r="K44" s="3">
        <v>1.3627500000000019</v>
      </c>
      <c r="L44" s="3">
        <v>0.35941000000000045</v>
      </c>
      <c r="M44" s="3">
        <v>0.60199000000000069</v>
      </c>
      <c r="N44" s="3">
        <v>0.24258000000000024</v>
      </c>
      <c r="Q44" s="13">
        <v>2.089841090413485</v>
      </c>
      <c r="R44" s="13">
        <v>-0.21975287587036685</v>
      </c>
      <c r="S44" s="13">
        <v>0.21773418732043009</v>
      </c>
      <c r="T44" s="13">
        <v>3.5459459527759821E-2</v>
      </c>
      <c r="U44" s="13">
        <v>0.32794622080484215</v>
      </c>
      <c r="V44" s="13">
        <v>-0.57687519556992006</v>
      </c>
      <c r="W44" s="13">
        <v>0.15095164433233532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</row>
    <row r="45" spans="1:29" x14ac:dyDescent="0.25">
      <c r="A45" s="3">
        <v>1.2376625032188301E+18</v>
      </c>
      <c r="B45" s="3">
        <v>236.26456999999999</v>
      </c>
      <c r="C45" s="3">
        <v>36.167524</v>
      </c>
      <c r="D45" s="16">
        <v>6.4985280000000006E-2</v>
      </c>
      <c r="E45" s="3">
        <v>1.8518799999999978</v>
      </c>
      <c r="F45" s="3">
        <v>2.7363399999999984</v>
      </c>
      <c r="G45" s="3">
        <v>3.1441999999999979</v>
      </c>
      <c r="H45" s="3">
        <v>3.4565199999999976</v>
      </c>
      <c r="I45" s="3">
        <v>0.88446000000000069</v>
      </c>
      <c r="J45" s="3">
        <v>1.2923200000000001</v>
      </c>
      <c r="K45" s="3">
        <v>1.6046399999999998</v>
      </c>
      <c r="L45" s="3">
        <v>0.40785999999999945</v>
      </c>
      <c r="M45" s="3">
        <v>0.72017999999999915</v>
      </c>
      <c r="N45" s="3">
        <v>0.31231999999999971</v>
      </c>
      <c r="Q45" s="13">
        <v>2.40799142607933</v>
      </c>
      <c r="R45" s="13">
        <v>-0.58682915403248903</v>
      </c>
      <c r="S45" s="13">
        <v>-0.2974534768634175</v>
      </c>
      <c r="T45" s="13">
        <v>-0.21610790011648956</v>
      </c>
      <c r="U45" s="13">
        <v>0.21148511601757258</v>
      </c>
      <c r="V45" s="13">
        <v>-0.22949990190422501</v>
      </c>
      <c r="W45" s="13">
        <v>0.16455112880787601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</row>
    <row r="46" spans="1:29" x14ac:dyDescent="0.25">
      <c r="A46" s="3">
        <v>1.2376625032188301E+18</v>
      </c>
      <c r="B46" s="3">
        <v>236.26456999999999</v>
      </c>
      <c r="C46" s="3">
        <v>36.167524</v>
      </c>
      <c r="D46" s="16">
        <v>6.4999559999999998E-2</v>
      </c>
      <c r="E46" s="3">
        <v>1.8518799999999978</v>
      </c>
      <c r="F46" s="3">
        <v>2.7363399999999984</v>
      </c>
      <c r="G46" s="3">
        <v>3.1441999999999979</v>
      </c>
      <c r="H46" s="3">
        <v>3.4565199999999976</v>
      </c>
      <c r="I46" s="3">
        <v>0.88446000000000069</v>
      </c>
      <c r="J46" s="3">
        <v>1.2923200000000001</v>
      </c>
      <c r="K46" s="3">
        <v>1.6046399999999998</v>
      </c>
      <c r="L46" s="3">
        <v>0.40785999999999945</v>
      </c>
      <c r="M46" s="3">
        <v>0.72017999999999915</v>
      </c>
      <c r="N46" s="3">
        <v>0.31231999999999971</v>
      </c>
      <c r="Q46" s="13">
        <v>2.6887481626382481</v>
      </c>
      <c r="R46" s="13">
        <v>-0.22397559012051199</v>
      </c>
      <c r="S46" s="13">
        <v>0.3966100173059306</v>
      </c>
      <c r="T46" s="13">
        <v>0.24041577592296923</v>
      </c>
      <c r="U46" s="13">
        <v>9.40581340455105E-2</v>
      </c>
      <c r="V46" s="13">
        <v>-0.18286548524728283</v>
      </c>
      <c r="W46" s="13">
        <v>0.12956245879137113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</row>
    <row r="47" spans="1:29" x14ac:dyDescent="0.25">
      <c r="A47" s="3">
        <v>1.2376625032187E+18</v>
      </c>
      <c r="B47" s="3">
        <v>235.80547000000001</v>
      </c>
      <c r="C47" s="3">
        <v>36.275041000000002</v>
      </c>
      <c r="D47" s="16">
        <v>6.5075030000000006E-2</v>
      </c>
      <c r="E47" s="3">
        <v>1.9735700000000023</v>
      </c>
      <c r="F47" s="3">
        <v>2.8438499999999998</v>
      </c>
      <c r="G47" s="3">
        <v>3.2469600000000014</v>
      </c>
      <c r="H47" s="3">
        <v>3.5362600000000004</v>
      </c>
      <c r="I47" s="3">
        <v>0.8702799999999975</v>
      </c>
      <c r="J47" s="3">
        <v>1.2733899999999991</v>
      </c>
      <c r="K47" s="3">
        <v>1.5626899999999981</v>
      </c>
      <c r="L47" s="3">
        <v>0.40311000000000163</v>
      </c>
      <c r="M47" s="3">
        <v>0.69241000000000064</v>
      </c>
      <c r="N47" s="3">
        <v>0.289299999999999</v>
      </c>
      <c r="Q47" s="13">
        <v>2.5968655320135676</v>
      </c>
      <c r="R47" s="13">
        <v>-0.39216378504994837</v>
      </c>
      <c r="S47" s="13">
        <v>0.26243286415012418</v>
      </c>
      <c r="T47" s="13">
        <v>0.14962951649779763</v>
      </c>
      <c r="U47" s="13">
        <v>0.1562525362322931</v>
      </c>
      <c r="V47" s="13">
        <v>-0.25086249912295472</v>
      </c>
      <c r="W47" s="13">
        <v>8.8117439175210199E-2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</row>
    <row r="48" spans="1:29" x14ac:dyDescent="0.25">
      <c r="A48" s="3">
        <v>1.2376625032188301E+18</v>
      </c>
      <c r="B48" s="3">
        <v>236.25417999999999</v>
      </c>
      <c r="C48" s="3">
        <v>36.106436000000002</v>
      </c>
      <c r="D48" s="16">
        <v>6.5155870000000005E-2</v>
      </c>
      <c r="E48" s="3">
        <v>2.0028100000000002</v>
      </c>
      <c r="F48" s="3">
        <v>2.8889299999999984</v>
      </c>
      <c r="G48" s="3">
        <v>3.3202700000000007</v>
      </c>
      <c r="H48" s="3">
        <v>3.6051699999999993</v>
      </c>
      <c r="I48" s="3">
        <v>0.88611999999999824</v>
      </c>
      <c r="J48" s="3">
        <v>1.3174600000000005</v>
      </c>
      <c r="K48" s="3">
        <v>1.6023599999999991</v>
      </c>
      <c r="L48" s="3">
        <v>0.43134000000000228</v>
      </c>
      <c r="M48" s="3">
        <v>0.71624000000000088</v>
      </c>
      <c r="N48" s="3">
        <v>0.2848999999999986</v>
      </c>
      <c r="Q48" s="13">
        <v>4.5339957524030545</v>
      </c>
      <c r="R48" s="13">
        <v>1.1184447125393744</v>
      </c>
      <c r="S48" s="13">
        <v>1.2642427348305794</v>
      </c>
      <c r="T48" s="13">
        <v>-0.8581576714746274</v>
      </c>
      <c r="U48" s="13">
        <v>0.17643449710370468</v>
      </c>
      <c r="V48" s="13">
        <v>0.34551343892338759</v>
      </c>
      <c r="W48" s="13">
        <v>2.7475080920167781E-2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</row>
    <row r="49" spans="1:29" x14ac:dyDescent="0.25">
      <c r="A49" s="3">
        <v>1.2376625032186399E+18</v>
      </c>
      <c r="B49" s="3">
        <v>235.78666999999999</v>
      </c>
      <c r="C49" s="3">
        <v>36.463444000000003</v>
      </c>
      <c r="D49" s="16">
        <v>6.5224270000000001E-2</v>
      </c>
      <c r="E49" s="3">
        <v>1.7988499999999981</v>
      </c>
      <c r="F49" s="3">
        <v>2.6358099999999993</v>
      </c>
      <c r="G49" s="3">
        <v>3.0162899999999979</v>
      </c>
      <c r="H49" s="3">
        <v>3.288450000000001</v>
      </c>
      <c r="I49" s="3">
        <v>0.83696000000000126</v>
      </c>
      <c r="J49" s="3">
        <v>1.2174399999999999</v>
      </c>
      <c r="K49" s="3">
        <v>1.4896000000000029</v>
      </c>
      <c r="L49" s="3">
        <v>0.3804799999999986</v>
      </c>
      <c r="M49" s="3">
        <v>0.65264000000000166</v>
      </c>
      <c r="N49" s="3">
        <v>0.27216000000000307</v>
      </c>
      <c r="Q49" s="13">
        <v>2.3092204891801731</v>
      </c>
      <c r="R49" s="13">
        <v>-0.33368336180664088</v>
      </c>
      <c r="S49" s="13">
        <v>-0.13876749722496107</v>
      </c>
      <c r="T49" s="13">
        <v>0.37949262865549971</v>
      </c>
      <c r="U49" s="13">
        <v>0.21746742570357949</v>
      </c>
      <c r="V49" s="13">
        <v>-0.36863965430262224</v>
      </c>
      <c r="W49" s="13">
        <v>0.17149023159031909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</row>
    <row r="50" spans="1:29" x14ac:dyDescent="0.25">
      <c r="A50" s="3">
        <v>1.2376625032186399E+18</v>
      </c>
      <c r="B50" s="3">
        <v>235.81009</v>
      </c>
      <c r="C50" s="3">
        <v>36.410902999999998</v>
      </c>
      <c r="D50" s="16">
        <v>6.5315159999999997E-2</v>
      </c>
      <c r="E50" s="3">
        <v>1.9369399999999999</v>
      </c>
      <c r="F50" s="3">
        <v>2.8146200000000015</v>
      </c>
      <c r="G50" s="3">
        <v>3.2293200000000013</v>
      </c>
      <c r="H50" s="3">
        <v>3.5403200000000012</v>
      </c>
      <c r="I50" s="3">
        <v>0.87768000000000157</v>
      </c>
      <c r="J50" s="3">
        <v>1.2923800000000014</v>
      </c>
      <c r="K50" s="3">
        <v>1.6033800000000014</v>
      </c>
      <c r="L50" s="3">
        <v>0.41469999999999985</v>
      </c>
      <c r="M50" s="3">
        <v>0.72569999999999979</v>
      </c>
      <c r="N50" s="3">
        <v>0.31099999999999994</v>
      </c>
      <c r="Q50" s="13">
        <v>2.8130105847932017</v>
      </c>
      <c r="R50" s="13">
        <v>4.5637759746505004E-2</v>
      </c>
      <c r="S50" s="13">
        <v>0.17838771807504009</v>
      </c>
      <c r="T50" s="13">
        <v>-0.88735605275680551</v>
      </c>
      <c r="U50" s="13">
        <v>0.10542791048869958</v>
      </c>
      <c r="V50" s="13">
        <v>-0.24265175912872902</v>
      </c>
      <c r="W50" s="13">
        <v>8.0246586958768532E-2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</row>
    <row r="51" spans="1:29" x14ac:dyDescent="0.25">
      <c r="A51" s="3">
        <v>1.23766247369074E+18</v>
      </c>
      <c r="B51" s="3">
        <v>235.81360000000001</v>
      </c>
      <c r="C51" s="3">
        <v>36.473101</v>
      </c>
      <c r="D51" s="16">
        <v>6.5316739999999998E-2</v>
      </c>
      <c r="E51" s="3">
        <v>1.7890300000000003</v>
      </c>
      <c r="F51" s="3">
        <v>2.5791599999999981</v>
      </c>
      <c r="G51" s="3">
        <v>2.9582799999999985</v>
      </c>
      <c r="H51" s="3">
        <v>3.2732599999999969</v>
      </c>
      <c r="I51" s="3">
        <v>0.79012999999999778</v>
      </c>
      <c r="J51" s="3">
        <v>1.1692499999999981</v>
      </c>
      <c r="K51" s="3">
        <v>1.4842299999999966</v>
      </c>
      <c r="L51" s="3">
        <v>0.37912000000000035</v>
      </c>
      <c r="M51" s="3">
        <v>0.69409999999999883</v>
      </c>
      <c r="N51" s="3">
        <v>0.31497999999999848</v>
      </c>
      <c r="Q51" s="13">
        <v>2.2688883672056397</v>
      </c>
      <c r="R51" s="13">
        <v>-0.43651925308435013</v>
      </c>
      <c r="S51" s="13">
        <v>4.8347120218756548E-2</v>
      </c>
      <c r="T51" s="13">
        <v>1.5461216895965255</v>
      </c>
      <c r="U51" s="13">
        <v>0.16301281963234138</v>
      </c>
      <c r="V51" s="13">
        <v>-0.26535343874160672</v>
      </c>
      <c r="W51" s="13">
        <v>0.24922936837359055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</row>
    <row r="52" spans="1:29" x14ac:dyDescent="0.25">
      <c r="A52" s="3">
        <v>1.2376625032187699E+18</v>
      </c>
      <c r="B52" s="3">
        <v>236.01967999999999</v>
      </c>
      <c r="C52" s="3">
        <v>36.125104999999998</v>
      </c>
      <c r="D52" s="16">
        <v>6.5348059999999999E-2</v>
      </c>
      <c r="E52" s="3">
        <v>1.9589399999999983</v>
      </c>
      <c r="F52" s="3">
        <v>2.8948599999999978</v>
      </c>
      <c r="G52" s="3">
        <v>3.3355999999999995</v>
      </c>
      <c r="H52" s="3">
        <v>3.6846099999999993</v>
      </c>
      <c r="I52" s="3">
        <v>0.93591999999999942</v>
      </c>
      <c r="J52" s="3">
        <v>1.3766600000000011</v>
      </c>
      <c r="K52" s="3">
        <v>1.7256700000000009</v>
      </c>
      <c r="L52" s="3">
        <v>0.44074000000000169</v>
      </c>
      <c r="M52" s="3">
        <v>0.78975000000000151</v>
      </c>
      <c r="N52" s="3">
        <v>0.34900999999999982</v>
      </c>
      <c r="Q52" s="13">
        <v>2.5358431041956262</v>
      </c>
      <c r="R52" s="13">
        <v>-0.25234372180782344</v>
      </c>
      <c r="S52" s="13">
        <v>-6.9802960343348042E-2</v>
      </c>
      <c r="T52" s="13">
        <v>9.2725395690435253E-2</v>
      </c>
      <c r="U52" s="13">
        <v>0.13486222422994126</v>
      </c>
      <c r="V52" s="13">
        <v>-0.22733602764818239</v>
      </c>
      <c r="W52" s="13">
        <v>0.17274273775197097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</row>
    <row r="53" spans="1:29" x14ac:dyDescent="0.25">
      <c r="A53" s="3">
        <v>1.2376624736910001E+18</v>
      </c>
      <c r="B53" s="3">
        <v>236.37001000000001</v>
      </c>
      <c r="C53" s="3">
        <v>36.133343000000004</v>
      </c>
      <c r="D53" s="16">
        <v>6.5348920000000005E-2</v>
      </c>
      <c r="E53" s="3">
        <v>1.7693000000000012</v>
      </c>
      <c r="F53" s="3">
        <v>2.6161600000000007</v>
      </c>
      <c r="G53" s="3">
        <v>2.9935100000000006</v>
      </c>
      <c r="H53" s="3">
        <v>3.2851400000000019</v>
      </c>
      <c r="I53" s="3">
        <v>0.8468599999999995</v>
      </c>
      <c r="J53" s="3">
        <v>1.2242099999999994</v>
      </c>
      <c r="K53" s="3">
        <v>1.5158400000000007</v>
      </c>
      <c r="L53" s="3">
        <v>0.37734999999999985</v>
      </c>
      <c r="M53" s="3">
        <v>0.66898000000000124</v>
      </c>
      <c r="N53" s="3">
        <v>0.29163000000000139</v>
      </c>
      <c r="Q53" s="13">
        <v>2.638369917179304</v>
      </c>
      <c r="R53" s="13">
        <v>-0.24005298365591637</v>
      </c>
      <c r="S53" s="13">
        <v>-3.36133349157429E-2</v>
      </c>
      <c r="T53" s="13">
        <v>-0.17256445005810364</v>
      </c>
      <c r="U53" s="13">
        <v>0.14236800336269928</v>
      </c>
      <c r="V53" s="13">
        <v>-0.21799365423396891</v>
      </c>
      <c r="W53" s="13">
        <v>0.13144539485931936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</row>
    <row r="54" spans="1:29" x14ac:dyDescent="0.25">
      <c r="A54" s="3">
        <v>1.23766250321903E+18</v>
      </c>
      <c r="B54" s="3">
        <v>236.63884999999999</v>
      </c>
      <c r="C54" s="3">
        <v>35.784723999999997</v>
      </c>
      <c r="D54" s="16">
        <v>6.5432879999999999E-2</v>
      </c>
      <c r="E54" s="3">
        <v>1.8967999999999989</v>
      </c>
      <c r="F54" s="3">
        <v>2.7572599999999987</v>
      </c>
      <c r="G54" s="3">
        <v>3.1620599999999985</v>
      </c>
      <c r="H54" s="3">
        <v>3.4725699999999993</v>
      </c>
      <c r="I54" s="3">
        <v>0.86045999999999978</v>
      </c>
      <c r="J54" s="3">
        <v>1.2652599999999996</v>
      </c>
      <c r="K54" s="3">
        <v>1.5757700000000003</v>
      </c>
      <c r="L54" s="3">
        <v>0.40479999999999983</v>
      </c>
      <c r="M54" s="3">
        <v>0.71531000000000056</v>
      </c>
      <c r="N54" s="3">
        <v>0.31051000000000073</v>
      </c>
      <c r="Q54" s="13">
        <v>2.6954267011666158</v>
      </c>
      <c r="R54" s="13">
        <v>-0.30465829181768767</v>
      </c>
      <c r="S54" s="13">
        <v>-0.70603278846878992</v>
      </c>
      <c r="T54" s="13">
        <v>-9.2028709253076491E-2</v>
      </c>
      <c r="U54" s="13">
        <v>0.23777182923755422</v>
      </c>
      <c r="V54" s="13">
        <v>-0.15389060100007804</v>
      </c>
      <c r="W54" s="13">
        <v>0.18158076874562146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</row>
    <row r="55" spans="1:29" x14ac:dyDescent="0.25">
      <c r="A55" s="3">
        <v>1.2376625032188301E+18</v>
      </c>
      <c r="B55" s="3">
        <v>236.23173</v>
      </c>
      <c r="C55" s="3">
        <v>36.092804000000001</v>
      </c>
      <c r="D55" s="16">
        <v>6.5570669999999998E-2</v>
      </c>
      <c r="E55" s="3">
        <v>1.882950000000001</v>
      </c>
      <c r="F55" s="3">
        <v>2.75929</v>
      </c>
      <c r="G55" s="3">
        <v>3.2014600000000009</v>
      </c>
      <c r="H55" s="3">
        <v>3.5233600000000003</v>
      </c>
      <c r="I55" s="3">
        <v>0.87633999999999901</v>
      </c>
      <c r="J55" s="3">
        <v>1.3185099999999998</v>
      </c>
      <c r="K55" s="3">
        <v>1.6404099999999993</v>
      </c>
      <c r="L55" s="3">
        <v>0.44217000000000084</v>
      </c>
      <c r="M55" s="3">
        <v>0.76407000000000025</v>
      </c>
      <c r="N55" s="3">
        <v>0.32189999999999941</v>
      </c>
      <c r="Q55" s="13">
        <v>1.9268297679387596</v>
      </c>
      <c r="R55" s="13">
        <v>-0.8890798221209355</v>
      </c>
      <c r="S55" s="13">
        <v>0.21272450385821812</v>
      </c>
      <c r="T55" s="13">
        <v>0.13546274378122564</v>
      </c>
      <c r="U55" s="13">
        <v>0.18806887702049438</v>
      </c>
      <c r="V55" s="13">
        <v>-0.129654123441067</v>
      </c>
      <c r="W55" s="13">
        <v>0.35845927162568197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</row>
    <row r="56" spans="1:29" x14ac:dyDescent="0.25">
      <c r="A56" s="3">
        <v>1.2376625032188301E+18</v>
      </c>
      <c r="B56" s="3">
        <v>236.15736000000001</v>
      </c>
      <c r="C56" s="3">
        <v>36.030281000000002</v>
      </c>
      <c r="D56" s="16">
        <v>6.5647179999999999E-2</v>
      </c>
      <c r="E56" s="3">
        <v>2.1199899999999978</v>
      </c>
      <c r="F56" s="3">
        <v>2.9894499999999979</v>
      </c>
      <c r="G56" s="3">
        <v>3.3914200000000001</v>
      </c>
      <c r="H56" s="3">
        <v>3.6735599999999984</v>
      </c>
      <c r="I56" s="3">
        <v>0.86946000000000012</v>
      </c>
      <c r="J56" s="3">
        <v>1.2714300000000023</v>
      </c>
      <c r="K56" s="3">
        <v>1.5535700000000006</v>
      </c>
      <c r="L56" s="3">
        <v>0.40197000000000216</v>
      </c>
      <c r="M56" s="3">
        <v>0.68411000000000044</v>
      </c>
      <c r="N56" s="3">
        <v>0.28213999999999828</v>
      </c>
      <c r="Q56" s="13">
        <v>2.1754942940344182</v>
      </c>
      <c r="R56" s="13">
        <v>-0.55051894305358373</v>
      </c>
      <c r="S56" s="13">
        <v>0.56243444423812083</v>
      </c>
      <c r="T56" s="13">
        <v>-1.1920059640131522</v>
      </c>
      <c r="U56" s="13">
        <v>8.6407190769315953E-2</v>
      </c>
      <c r="V56" s="13">
        <v>-0.33171285024788466</v>
      </c>
      <c r="W56" s="13">
        <v>0.11738940191903706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</row>
    <row r="57" spans="1:29" x14ac:dyDescent="0.25">
      <c r="A57" s="3">
        <v>1.2376625032188301E+18</v>
      </c>
      <c r="B57" s="3">
        <v>236.26403999999999</v>
      </c>
      <c r="C57" s="3">
        <v>36.182251999999998</v>
      </c>
      <c r="D57" s="16">
        <v>6.5654039999999997E-2</v>
      </c>
      <c r="E57" s="3">
        <v>1.9060499999999969</v>
      </c>
      <c r="F57" s="3">
        <v>2.839109999999998</v>
      </c>
      <c r="G57" s="3">
        <v>3.2886299999999977</v>
      </c>
      <c r="H57" s="3">
        <v>3.6416599999999981</v>
      </c>
      <c r="I57" s="3">
        <v>0.93306000000000111</v>
      </c>
      <c r="J57" s="3">
        <v>1.3825800000000008</v>
      </c>
      <c r="K57" s="3">
        <v>1.7356100000000012</v>
      </c>
      <c r="L57" s="3">
        <v>0.4495199999999997</v>
      </c>
      <c r="M57" s="3">
        <v>0.8025500000000001</v>
      </c>
      <c r="N57" s="3">
        <v>0.3530300000000004</v>
      </c>
      <c r="Q57" s="13">
        <v>2.5617072571391519</v>
      </c>
      <c r="R57" s="13">
        <v>-0.44290918264571782</v>
      </c>
      <c r="S57" s="13">
        <v>-0.20258886025326014</v>
      </c>
      <c r="T57" s="13">
        <v>0.23975324571013482</v>
      </c>
      <c r="U57" s="13">
        <v>0.16633190989444691</v>
      </c>
      <c r="V57" s="13">
        <v>-0.2434450002845536</v>
      </c>
      <c r="W57" s="13">
        <v>0.1107270292616012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</row>
    <row r="58" spans="1:29" x14ac:dyDescent="0.25">
      <c r="A58" s="3">
        <v>1.2376625032189E+18</v>
      </c>
      <c r="B58" s="3">
        <v>236.21476999999999</v>
      </c>
      <c r="C58" s="3">
        <v>36.019869999999997</v>
      </c>
      <c r="D58" s="16">
        <v>6.5661650000000002E-2</v>
      </c>
      <c r="E58" s="3">
        <v>1.6394300000000008</v>
      </c>
      <c r="F58" s="3">
        <v>2.4712800000000001</v>
      </c>
      <c r="G58" s="3">
        <v>2.8665699999999994</v>
      </c>
      <c r="H58" s="3">
        <v>3.1563500000000015</v>
      </c>
      <c r="I58" s="3">
        <v>0.83184999999999931</v>
      </c>
      <c r="J58" s="3">
        <v>1.2271399999999986</v>
      </c>
      <c r="K58" s="3">
        <v>1.5169200000000007</v>
      </c>
      <c r="L58" s="3">
        <v>0.39528999999999925</v>
      </c>
      <c r="M58" s="3">
        <v>0.6850700000000014</v>
      </c>
      <c r="N58" s="3">
        <v>0.28978000000000215</v>
      </c>
      <c r="Q58" s="13">
        <v>2.1099812080079761</v>
      </c>
      <c r="R58" s="13">
        <v>8.6418246119975388E-3</v>
      </c>
      <c r="S58" s="13">
        <v>1.5102774332238764</v>
      </c>
      <c r="T58" s="13">
        <v>0.80836684688464655</v>
      </c>
      <c r="U58" s="13">
        <v>0.17201358206041165</v>
      </c>
      <c r="V58" s="13">
        <v>-0.46479217152820668</v>
      </c>
      <c r="W58" s="13">
        <v>0.22262686519516486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</row>
    <row r="59" spans="1:29" x14ac:dyDescent="0.25">
      <c r="A59" s="3">
        <v>1.2376624731539999E+18</v>
      </c>
      <c r="B59" s="3">
        <v>235.99902</v>
      </c>
      <c r="C59" s="3">
        <v>36.086818000000001</v>
      </c>
      <c r="D59" s="16">
        <v>6.5674079999999996E-2</v>
      </c>
      <c r="E59" s="3">
        <v>1.7484500000000018</v>
      </c>
      <c r="F59" s="3">
        <v>2.6404100000000028</v>
      </c>
      <c r="G59" s="3">
        <v>3.0121099999999998</v>
      </c>
      <c r="H59" s="3">
        <v>3.3375500000000002</v>
      </c>
      <c r="I59" s="3">
        <v>0.89196000000000097</v>
      </c>
      <c r="J59" s="3">
        <v>1.263659999999998</v>
      </c>
      <c r="K59" s="3">
        <v>1.5890999999999984</v>
      </c>
      <c r="L59" s="3">
        <v>0.37169999999999703</v>
      </c>
      <c r="M59" s="3">
        <v>0.69713999999999743</v>
      </c>
      <c r="N59" s="3">
        <v>0.3254400000000004</v>
      </c>
      <c r="Q59" s="13">
        <v>2.4820467980571381</v>
      </c>
      <c r="R59" s="13">
        <v>-0.26245326487571663</v>
      </c>
      <c r="S59" s="13">
        <v>1.1076564197100827</v>
      </c>
      <c r="T59" s="13">
        <v>0.63283529850429066</v>
      </c>
      <c r="U59" s="13">
        <v>0.12995298424257171</v>
      </c>
      <c r="V59" s="13">
        <v>-0.30210882252604188</v>
      </c>
      <c r="W59" s="13">
        <v>0.10894087204402049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</row>
    <row r="60" spans="1:29" x14ac:dyDescent="0.25">
      <c r="A60" s="3">
        <v>1.2376625032188301E+18</v>
      </c>
      <c r="B60" s="3">
        <v>236.27367000000001</v>
      </c>
      <c r="C60" s="3">
        <v>36.115484000000002</v>
      </c>
      <c r="D60" s="16">
        <v>6.5750260000000005E-2</v>
      </c>
      <c r="E60" s="3">
        <v>1.8521899999999967</v>
      </c>
      <c r="F60" s="3">
        <v>2.7235799999999983</v>
      </c>
      <c r="G60" s="3">
        <v>3.1620699999999999</v>
      </c>
      <c r="H60" s="3">
        <v>3.4625199999999978</v>
      </c>
      <c r="I60" s="3">
        <v>0.87139000000000166</v>
      </c>
      <c r="J60" s="3">
        <v>1.3098800000000033</v>
      </c>
      <c r="K60" s="3">
        <v>1.6103300000000011</v>
      </c>
      <c r="L60" s="3">
        <v>0.4384900000000016</v>
      </c>
      <c r="M60" s="3">
        <v>0.73893999999999949</v>
      </c>
      <c r="N60" s="3">
        <v>0.30044999999999789</v>
      </c>
      <c r="Q60" s="13">
        <v>2.9781725065790101</v>
      </c>
      <c r="R60" s="13">
        <v>-0.24476600230614015</v>
      </c>
      <c r="S60" s="13">
        <v>-0.40602639841758253</v>
      </c>
      <c r="T60" s="13">
        <v>1.7300144414919665</v>
      </c>
      <c r="U60" s="13">
        <v>0.12450062420397222</v>
      </c>
      <c r="V60" s="13">
        <v>-0.11861338504375757</v>
      </c>
      <c r="W60" s="13">
        <v>9.8326383408989512E-2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</row>
    <row r="61" spans="1:29" x14ac:dyDescent="0.25">
      <c r="A61" s="3">
        <v>1.2376625032188301E+18</v>
      </c>
      <c r="B61" s="3">
        <v>236.05607000000001</v>
      </c>
      <c r="C61" s="3">
        <v>36.111181999999999</v>
      </c>
      <c r="D61" s="16">
        <v>6.5796610000000005E-2</v>
      </c>
      <c r="E61" s="3">
        <v>1.8721599999999974</v>
      </c>
      <c r="F61" s="3">
        <v>2.7383299999999977</v>
      </c>
      <c r="G61" s="3">
        <v>3.1506199999999982</v>
      </c>
      <c r="H61" s="3">
        <v>3.4721099999999989</v>
      </c>
      <c r="I61" s="3">
        <v>0.86617000000000033</v>
      </c>
      <c r="J61" s="3">
        <v>1.2784600000000008</v>
      </c>
      <c r="K61" s="3">
        <v>1.5999500000000015</v>
      </c>
      <c r="L61" s="3">
        <v>0.41229000000000049</v>
      </c>
      <c r="M61" s="3">
        <v>0.73378000000000121</v>
      </c>
      <c r="N61" s="3">
        <v>0.32149000000000072</v>
      </c>
      <c r="Q61" s="13">
        <v>5.298215176963752</v>
      </c>
      <c r="R61" s="13">
        <v>0.95680978053941701</v>
      </c>
      <c r="S61" s="13">
        <v>-1.3884742247486537</v>
      </c>
      <c r="T61" s="13">
        <v>0.15263653709238728</v>
      </c>
      <c r="U61" s="13">
        <v>0.47239945545420525</v>
      </c>
      <c r="V61" s="13">
        <v>0.56738926536576517</v>
      </c>
      <c r="W61" s="13">
        <v>-2.5678345520026936E-2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</row>
    <row r="62" spans="1:29" x14ac:dyDescent="0.25">
      <c r="A62" s="3">
        <v>1.2376625032189E+18</v>
      </c>
      <c r="B62" s="3">
        <v>236.24889999999999</v>
      </c>
      <c r="C62" s="3">
        <v>35.988132999999998</v>
      </c>
      <c r="D62" s="16">
        <v>6.5869510000000006E-2</v>
      </c>
      <c r="E62" s="3">
        <v>1.8909200000000013</v>
      </c>
      <c r="F62" s="3">
        <v>2.7892299999999999</v>
      </c>
      <c r="G62" s="3">
        <v>3.2072099999999999</v>
      </c>
      <c r="H62" s="3">
        <v>3.5671299999999988</v>
      </c>
      <c r="I62" s="3">
        <v>0.89830999999999861</v>
      </c>
      <c r="J62" s="3">
        <v>1.3162899999999986</v>
      </c>
      <c r="K62" s="3">
        <v>1.6762099999999975</v>
      </c>
      <c r="L62" s="3">
        <v>0.41798000000000002</v>
      </c>
      <c r="M62" s="3">
        <v>0.77789999999999893</v>
      </c>
      <c r="N62" s="3">
        <v>0.35991999999999891</v>
      </c>
      <c r="Q62" s="13">
        <v>2.3830127288995797</v>
      </c>
      <c r="R62" s="13">
        <v>-0.7088206402863666</v>
      </c>
      <c r="S62" s="13">
        <v>-0.24221150009395356</v>
      </c>
      <c r="T62" s="13">
        <v>-0.3715265482007557</v>
      </c>
      <c r="U62" s="13">
        <v>0.13215385692435158</v>
      </c>
      <c r="V62" s="13">
        <v>-0.33207228646366549</v>
      </c>
      <c r="W62" s="13">
        <v>3.0930037675376876E-2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</row>
    <row r="63" spans="1:29" x14ac:dyDescent="0.25">
      <c r="A63" s="3">
        <v>1.2376625032189701E+18</v>
      </c>
      <c r="B63" s="3">
        <v>236.45294999999999</v>
      </c>
      <c r="C63" s="3">
        <v>35.954416000000002</v>
      </c>
      <c r="D63" s="16">
        <v>6.5956790000000001E-2</v>
      </c>
      <c r="E63" s="3">
        <v>1.9209500000000013</v>
      </c>
      <c r="F63" s="3">
        <v>2.8317699999999988</v>
      </c>
      <c r="G63" s="3">
        <v>3.2589800000000011</v>
      </c>
      <c r="H63" s="3">
        <v>3.6038700000000006</v>
      </c>
      <c r="I63" s="3">
        <v>0.91081999999999752</v>
      </c>
      <c r="J63" s="3">
        <v>1.3380299999999998</v>
      </c>
      <c r="K63" s="3">
        <v>1.6829199999999993</v>
      </c>
      <c r="L63" s="3">
        <v>0.42721000000000231</v>
      </c>
      <c r="M63" s="3">
        <v>0.77210000000000178</v>
      </c>
      <c r="N63" s="3">
        <v>0.34488999999999947</v>
      </c>
      <c r="Q63" s="13">
        <v>3.0865969668127406</v>
      </c>
      <c r="R63" s="13">
        <v>0.32074535920620567</v>
      </c>
      <c r="S63" s="13">
        <v>0.97366948868207559</v>
      </c>
      <c r="T63" s="13">
        <v>0.91654706720915113</v>
      </c>
      <c r="U63" s="13">
        <v>0.11416476210696869</v>
      </c>
      <c r="V63" s="13">
        <v>-0.31719711521527133</v>
      </c>
      <c r="W63" s="13">
        <v>-1.7646413205036904E-2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</row>
    <row r="64" spans="1:29" x14ac:dyDescent="0.25">
      <c r="A64" s="3">
        <v>1.2376625032187E+18</v>
      </c>
      <c r="B64" s="3">
        <v>235.78942000000001</v>
      </c>
      <c r="C64" s="3">
        <v>36.296126999999998</v>
      </c>
      <c r="D64" s="16">
        <v>6.6005069999999999E-2</v>
      </c>
      <c r="E64" s="3">
        <v>1.7686500000000009</v>
      </c>
      <c r="F64" s="3">
        <v>2.56616</v>
      </c>
      <c r="G64" s="3">
        <v>2.9246000000000016</v>
      </c>
      <c r="H64" s="3">
        <v>3.1822499999999998</v>
      </c>
      <c r="I64" s="3">
        <v>0.79750999999999905</v>
      </c>
      <c r="J64" s="3">
        <v>1.1559500000000007</v>
      </c>
      <c r="K64" s="3">
        <v>1.4135999999999989</v>
      </c>
      <c r="L64" s="3">
        <v>0.35844000000000165</v>
      </c>
      <c r="M64" s="3">
        <v>0.6160899999999998</v>
      </c>
      <c r="N64" s="3">
        <v>0.25764999999999816</v>
      </c>
      <c r="Q64" s="13">
        <v>2.4272047027572867</v>
      </c>
      <c r="R64" s="13">
        <v>-0.23016927330371267</v>
      </c>
      <c r="S64" s="13">
        <v>1.083253024298278E-2</v>
      </c>
      <c r="T64" s="13">
        <v>1.7691690408503917</v>
      </c>
      <c r="U64" s="13">
        <v>0.17986855943069463</v>
      </c>
      <c r="V64" s="13">
        <v>-0.32218201443905337</v>
      </c>
      <c r="W64" s="13">
        <v>0.19213660329166968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</row>
    <row r="65" spans="1:29" x14ac:dyDescent="0.25">
      <c r="A65" s="3">
        <v>1.2376625032189701E+18</v>
      </c>
      <c r="B65" s="3">
        <v>236.43817000000001</v>
      </c>
      <c r="C65" s="3">
        <v>35.865676000000001</v>
      </c>
      <c r="D65" s="16">
        <v>6.6037529999999997E-2</v>
      </c>
      <c r="E65" s="3">
        <v>1.9364699999999999</v>
      </c>
      <c r="F65" s="3">
        <v>2.8178699999999992</v>
      </c>
      <c r="G65" s="3">
        <v>3.2472699999999985</v>
      </c>
      <c r="H65" s="3">
        <v>3.5849499999999992</v>
      </c>
      <c r="I65" s="3">
        <v>0.8813999999999993</v>
      </c>
      <c r="J65" s="3">
        <v>1.3107999999999986</v>
      </c>
      <c r="K65" s="3">
        <v>1.6484799999999993</v>
      </c>
      <c r="L65" s="3">
        <v>0.42939999999999934</v>
      </c>
      <c r="M65" s="3">
        <v>0.76707999999999998</v>
      </c>
      <c r="N65" s="3">
        <v>0.33768000000000065</v>
      </c>
      <c r="Q65" s="13">
        <v>3.2362767214894257</v>
      </c>
      <c r="R65" s="13">
        <v>-1.1877991031938519E-4</v>
      </c>
      <c r="S65" s="13">
        <v>0.24780038439843771</v>
      </c>
      <c r="T65" s="13">
        <v>1.3272148266354391</v>
      </c>
      <c r="U65" s="13">
        <v>7.7161109146702239E-2</v>
      </c>
      <c r="V65" s="13">
        <v>-1.1951727443755186E-2</v>
      </c>
      <c r="W65" s="13">
        <v>8.8955863496815626E-2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</row>
    <row r="66" spans="1:29" x14ac:dyDescent="0.25">
      <c r="A66" s="3">
        <v>1.2376624736909299E+18</v>
      </c>
      <c r="B66" s="3">
        <v>236.33320000000001</v>
      </c>
      <c r="C66" s="3">
        <v>36.342984999999999</v>
      </c>
      <c r="D66" s="16">
        <v>6.6088040000000001E-2</v>
      </c>
      <c r="E66" s="3">
        <v>1.9434199999999997</v>
      </c>
      <c r="F66" s="3">
        <v>2.8417899999999996</v>
      </c>
      <c r="G66" s="3">
        <v>3.2593700000000005</v>
      </c>
      <c r="H66" s="3">
        <v>3.6097599999999979</v>
      </c>
      <c r="I66" s="3">
        <v>0.89836999999999989</v>
      </c>
      <c r="J66" s="3">
        <v>1.3159500000000008</v>
      </c>
      <c r="K66" s="3">
        <v>1.6663399999999982</v>
      </c>
      <c r="L66" s="3">
        <v>0.41758000000000095</v>
      </c>
      <c r="M66" s="3">
        <v>0.76796999999999827</v>
      </c>
      <c r="N66" s="3">
        <v>0.35038999999999731</v>
      </c>
      <c r="Q66" s="13">
        <v>2.4799791813174852</v>
      </c>
      <c r="R66" s="13">
        <v>-0.26580418461423044</v>
      </c>
      <c r="S66" s="13">
        <v>0.38722428609656656</v>
      </c>
      <c r="T66" s="13">
        <v>0.14466975364905563</v>
      </c>
      <c r="U66" s="13">
        <v>0.11078012688862504</v>
      </c>
      <c r="V66" s="13">
        <v>-0.27657549123125619</v>
      </c>
      <c r="W66" s="13">
        <v>0.13290007844288784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</row>
    <row r="67" spans="1:29" x14ac:dyDescent="0.25">
      <c r="A67" s="3">
        <v>1.2376625037557701E+18</v>
      </c>
      <c r="B67" s="3">
        <v>236.55311</v>
      </c>
      <c r="C67" s="3">
        <v>36.306319999999999</v>
      </c>
      <c r="D67" s="16">
        <v>6.6127720000000001E-2</v>
      </c>
      <c r="E67" s="3">
        <v>1.6878100000000025</v>
      </c>
      <c r="F67" s="3">
        <v>2.5025500000000029</v>
      </c>
      <c r="G67" s="3">
        <v>2.8564700000000016</v>
      </c>
      <c r="H67" s="3">
        <v>3.0897100000000002</v>
      </c>
      <c r="I67" s="3">
        <v>0.81474000000000046</v>
      </c>
      <c r="J67" s="3">
        <v>1.1686599999999991</v>
      </c>
      <c r="K67" s="3">
        <v>1.4018999999999977</v>
      </c>
      <c r="L67" s="3">
        <v>0.35391999999999868</v>
      </c>
      <c r="M67" s="3">
        <v>0.58715999999999724</v>
      </c>
      <c r="N67" s="3">
        <v>0.23323999999999856</v>
      </c>
      <c r="Q67" s="13">
        <v>2.4799610212412002</v>
      </c>
      <c r="R67" s="13">
        <v>-0.26579360971961685</v>
      </c>
      <c r="S67" s="13">
        <v>0.3872230798561539</v>
      </c>
      <c r="T67" s="13">
        <v>0.144670609002405</v>
      </c>
      <c r="U67" s="13">
        <v>0.11078918666057581</v>
      </c>
      <c r="V67" s="13">
        <v>-0.2765442268954203</v>
      </c>
      <c r="W67" s="13">
        <v>0.13285968170863274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</row>
    <row r="68" spans="1:29" x14ac:dyDescent="0.25">
      <c r="A68" s="3">
        <v>1.2376625032188301E+18</v>
      </c>
      <c r="B68" s="3">
        <v>236.24598</v>
      </c>
      <c r="C68" s="3">
        <v>36.109456999999999</v>
      </c>
      <c r="D68" s="16">
        <v>6.6295129999999994E-2</v>
      </c>
      <c r="E68" s="3">
        <v>2.2125299999999992</v>
      </c>
      <c r="F68" s="3">
        <v>3.1335699999999989</v>
      </c>
      <c r="G68" s="3">
        <v>3.5693099999999998</v>
      </c>
      <c r="H68" s="3">
        <v>3.8889699999999987</v>
      </c>
      <c r="I68" s="3">
        <v>0.92103999999999964</v>
      </c>
      <c r="J68" s="3">
        <v>1.3567800000000005</v>
      </c>
      <c r="K68" s="3">
        <v>1.6764399999999995</v>
      </c>
      <c r="L68" s="3">
        <v>0.4357400000000009</v>
      </c>
      <c r="M68" s="3">
        <v>0.75539999999999985</v>
      </c>
      <c r="N68" s="3">
        <v>0.31965999999999894</v>
      </c>
      <c r="Q68" s="13">
        <v>2.5877794490788468</v>
      </c>
      <c r="R68" s="13">
        <v>-0.42722914867626671</v>
      </c>
      <c r="S68" s="13">
        <v>-0.30874607246282881</v>
      </c>
      <c r="T68" s="13">
        <v>1.4362148824147531</v>
      </c>
      <c r="U68" s="13">
        <v>0.19428200753388444</v>
      </c>
      <c r="V68" s="13">
        <v>-0.21176414886762931</v>
      </c>
      <c r="W68" s="13">
        <v>0.15870930613776252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</row>
    <row r="69" spans="1:29" x14ac:dyDescent="0.25">
      <c r="A69" s="3">
        <v>1.23766146598626E+18</v>
      </c>
      <c r="B69" s="3">
        <v>236.36339000000001</v>
      </c>
      <c r="C69" s="3">
        <v>35.81127</v>
      </c>
      <c r="D69" s="16">
        <v>6.6331390000000004E-2</v>
      </c>
      <c r="E69" s="3">
        <v>1.9531499999999973</v>
      </c>
      <c r="F69" s="3">
        <v>2.8321899999999971</v>
      </c>
      <c r="G69" s="3">
        <v>3.2434999999999974</v>
      </c>
      <c r="H69" s="3">
        <v>3.5411999999999999</v>
      </c>
      <c r="I69" s="3">
        <v>0.87903999999999982</v>
      </c>
      <c r="J69" s="3">
        <v>1.2903500000000001</v>
      </c>
      <c r="K69" s="3">
        <v>1.5880500000000026</v>
      </c>
      <c r="L69" s="3">
        <v>0.41131000000000029</v>
      </c>
      <c r="M69" s="3">
        <v>0.7090100000000028</v>
      </c>
      <c r="N69" s="3">
        <v>0.29770000000000252</v>
      </c>
      <c r="Q69" s="13">
        <v>2.3910007955127082</v>
      </c>
      <c r="R69" s="13">
        <v>-0.543515885302846</v>
      </c>
      <c r="S69" s="13">
        <v>0.21260464591319392</v>
      </c>
      <c r="T69" s="13">
        <v>3.9454469396363288E-2</v>
      </c>
      <c r="U69" s="13">
        <v>9.7049033239432272E-2</v>
      </c>
      <c r="V69" s="13">
        <v>-0.13934590930988264</v>
      </c>
      <c r="W69" s="13">
        <v>0.20538753923078951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</row>
    <row r="70" spans="1:29" x14ac:dyDescent="0.25">
      <c r="A70" s="3">
        <v>1.2376624736908001E+18</v>
      </c>
      <c r="B70" s="3">
        <v>236.01835</v>
      </c>
      <c r="C70" s="3">
        <v>36.347510999999997</v>
      </c>
      <c r="D70" s="16">
        <v>6.6398659999999998E-2</v>
      </c>
      <c r="E70" s="3">
        <v>1.869130000000002</v>
      </c>
      <c r="F70" s="3">
        <v>2.7234100000000012</v>
      </c>
      <c r="G70" s="3">
        <v>3.1403800000000004</v>
      </c>
      <c r="H70" s="3">
        <v>3.4681500000000014</v>
      </c>
      <c r="I70" s="3">
        <v>0.85427999999999926</v>
      </c>
      <c r="J70" s="3">
        <v>1.2712499999999984</v>
      </c>
      <c r="K70" s="3">
        <v>1.5990199999999994</v>
      </c>
      <c r="L70" s="3">
        <v>0.41696999999999917</v>
      </c>
      <c r="M70" s="3">
        <v>0.74474000000000018</v>
      </c>
      <c r="N70" s="3">
        <v>0.327770000000001</v>
      </c>
      <c r="Q70" s="13">
        <v>2.883856162641139</v>
      </c>
      <c r="R70" s="13">
        <v>-0.10937421919475099</v>
      </c>
      <c r="S70" s="13">
        <v>0.12109561799365488</v>
      </c>
      <c r="T70" s="13">
        <v>1.9165929109479469</v>
      </c>
      <c r="U70" s="13">
        <v>8.6897238027799389E-2</v>
      </c>
      <c r="V70" s="13">
        <v>-0.15698933368647688</v>
      </c>
      <c r="W70" s="13">
        <v>0.1236509672739195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</row>
    <row r="71" spans="1:29" x14ac:dyDescent="0.25">
      <c r="A71" s="3">
        <v>1.2376625032189E+18</v>
      </c>
      <c r="B71" s="3">
        <v>236.35445999999999</v>
      </c>
      <c r="C71" s="3">
        <v>36.020178999999999</v>
      </c>
      <c r="D71" s="16">
        <v>6.6449170000000002E-2</v>
      </c>
      <c r="E71" s="3">
        <v>2.0114400000000003</v>
      </c>
      <c r="F71" s="3">
        <v>2.9162999999999997</v>
      </c>
      <c r="G71" s="3">
        <v>3.3345599999999997</v>
      </c>
      <c r="H71" s="3">
        <v>3.6760200000000012</v>
      </c>
      <c r="I71" s="3">
        <v>0.90485999999999933</v>
      </c>
      <c r="J71" s="3">
        <v>1.3231199999999994</v>
      </c>
      <c r="K71" s="3">
        <v>1.6645800000000008</v>
      </c>
      <c r="L71" s="3">
        <v>0.41826000000000008</v>
      </c>
      <c r="M71" s="3">
        <v>0.75972000000000151</v>
      </c>
      <c r="N71" s="3">
        <v>0.34146000000000143</v>
      </c>
      <c r="Q71" s="13">
        <v>2.4853296581453819</v>
      </c>
      <c r="R71" s="13">
        <v>-0.29813953863885428</v>
      </c>
      <c r="S71" s="13">
        <v>4.0516124008788929E-2</v>
      </c>
      <c r="T71" s="13">
        <v>1.7550442425607342</v>
      </c>
      <c r="U71" s="13">
        <v>0.2021872414190698</v>
      </c>
      <c r="V71" s="13">
        <v>-0.28979051541070233</v>
      </c>
      <c r="W71" s="13">
        <v>0.17496007772564201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</row>
    <row r="72" spans="1:29" x14ac:dyDescent="0.25">
      <c r="A72" s="3">
        <v>1.23766247369087E+18</v>
      </c>
      <c r="B72" s="3">
        <v>236.21849</v>
      </c>
      <c r="C72" s="3">
        <v>36.333888000000002</v>
      </c>
      <c r="D72" s="16">
        <v>6.6489409999999999E-2</v>
      </c>
      <c r="E72" s="3">
        <v>1.5154099999999993</v>
      </c>
      <c r="F72" s="3">
        <v>2.3124499999999983</v>
      </c>
      <c r="G72" s="3">
        <v>2.7183400000000013</v>
      </c>
      <c r="H72" s="3">
        <v>3.0335699999999992</v>
      </c>
      <c r="I72" s="3">
        <v>0.79703999999999908</v>
      </c>
      <c r="J72" s="3">
        <v>1.2029300000000021</v>
      </c>
      <c r="K72" s="3">
        <v>1.51816</v>
      </c>
      <c r="L72" s="3">
        <v>0.40589000000000297</v>
      </c>
      <c r="M72" s="3">
        <v>0.72112000000000087</v>
      </c>
      <c r="N72" s="3">
        <v>0.3152299999999979</v>
      </c>
      <c r="Q72" s="13">
        <v>2.8610426301371494</v>
      </c>
      <c r="R72" s="13">
        <v>-4.1006311293613415E-3</v>
      </c>
      <c r="S72" s="13">
        <v>0.22797512939110195</v>
      </c>
      <c r="T72" s="13">
        <v>1.8710139903027476</v>
      </c>
      <c r="U72" s="13">
        <v>0.29314459066488696</v>
      </c>
      <c r="V72" s="13">
        <v>-0.29897975788925091</v>
      </c>
      <c r="W72" s="13">
        <v>9.3169780374870975E-2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</row>
    <row r="73" spans="1:29" x14ac:dyDescent="0.25">
      <c r="A73" s="3">
        <v>1.2376614659861299E+18</v>
      </c>
      <c r="B73" s="3">
        <v>235.9846</v>
      </c>
      <c r="C73" s="3">
        <v>35.897812000000002</v>
      </c>
      <c r="D73" s="16">
        <v>6.6573939999999998E-2</v>
      </c>
      <c r="E73" s="3">
        <v>1.8771599999999999</v>
      </c>
      <c r="F73" s="3">
        <v>2.7173900000000017</v>
      </c>
      <c r="G73" s="3">
        <v>3.1031900000000014</v>
      </c>
      <c r="H73" s="3">
        <v>3.3945299999999996</v>
      </c>
      <c r="I73" s="3">
        <v>0.84023000000000181</v>
      </c>
      <c r="J73" s="3">
        <v>1.2260300000000015</v>
      </c>
      <c r="K73" s="3">
        <v>1.5173699999999997</v>
      </c>
      <c r="L73" s="3">
        <v>0.3857999999999997</v>
      </c>
      <c r="M73" s="3">
        <v>0.67713999999999785</v>
      </c>
      <c r="N73" s="3">
        <v>0.29133999999999816</v>
      </c>
      <c r="Q73" s="13">
        <v>2.1401230080834477</v>
      </c>
      <c r="R73" s="13">
        <v>-0.40155631459317953</v>
      </c>
      <c r="S73" s="13">
        <v>-0.24342983444730806</v>
      </c>
      <c r="T73" s="13">
        <v>0.59617561707418654</v>
      </c>
      <c r="U73" s="13">
        <v>0.26900609485380672</v>
      </c>
      <c r="V73" s="13">
        <v>-0.42858821553149756</v>
      </c>
      <c r="W73" s="13">
        <v>0.19440087804639777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</row>
    <row r="74" spans="1:29" x14ac:dyDescent="0.25">
      <c r="A74" s="3">
        <v>1.2376625032188301E+18</v>
      </c>
      <c r="B74" s="3">
        <v>236.21942000000001</v>
      </c>
      <c r="C74" s="3">
        <v>36.215575000000001</v>
      </c>
      <c r="D74" s="16">
        <v>6.6674170000000005E-2</v>
      </c>
      <c r="E74" s="3">
        <v>2.0042399999999994</v>
      </c>
      <c r="F74" s="3">
        <v>2.8588200000000015</v>
      </c>
      <c r="G74" s="3">
        <v>3.2528900000000007</v>
      </c>
      <c r="H74" s="3">
        <v>3.5459300000000002</v>
      </c>
      <c r="I74" s="3">
        <v>0.85458000000000212</v>
      </c>
      <c r="J74" s="3">
        <v>1.2486500000000014</v>
      </c>
      <c r="K74" s="3">
        <v>1.5416900000000009</v>
      </c>
      <c r="L74" s="3">
        <v>0.39406999999999925</v>
      </c>
      <c r="M74" s="3">
        <v>0.68710999999999878</v>
      </c>
      <c r="N74" s="3">
        <v>0.29303999999999952</v>
      </c>
      <c r="Q74" s="13">
        <v>2.7513482914334424</v>
      </c>
      <c r="R74" s="13">
        <v>-0.17141916392637349</v>
      </c>
      <c r="S74" s="13">
        <v>0.53057485435973439</v>
      </c>
      <c r="T74" s="13">
        <v>-0.18506611879870807</v>
      </c>
      <c r="U74" s="13">
        <v>5.3117820436655173E-2</v>
      </c>
      <c r="V74" s="13">
        <v>-0.2006084791570231</v>
      </c>
      <c r="W74" s="13">
        <v>6.8238515396605151E-2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</row>
    <row r="75" spans="1:29" x14ac:dyDescent="0.25">
      <c r="A75" s="3">
        <v>1.23766233786351E+18</v>
      </c>
      <c r="B75" s="3">
        <v>235.67094</v>
      </c>
      <c r="C75" s="3">
        <v>35.869135999999997</v>
      </c>
      <c r="D75" s="16">
        <v>6.6760009999999995E-2</v>
      </c>
      <c r="E75" s="3">
        <v>1.6348999999999982</v>
      </c>
      <c r="F75" s="3">
        <v>2.4556199999999997</v>
      </c>
      <c r="G75" s="3">
        <v>2.8477099999999993</v>
      </c>
      <c r="H75" s="3">
        <v>3.1529500000000006</v>
      </c>
      <c r="I75" s="3">
        <v>0.82072000000000145</v>
      </c>
      <c r="J75" s="3">
        <v>1.2128100000000011</v>
      </c>
      <c r="K75" s="3">
        <v>1.5180500000000023</v>
      </c>
      <c r="L75" s="3">
        <v>0.39208999999999961</v>
      </c>
      <c r="M75" s="3">
        <v>0.69733000000000089</v>
      </c>
      <c r="N75" s="3">
        <v>0.30524000000000129</v>
      </c>
      <c r="Q75" s="13">
        <v>2.4751515640258184</v>
      </c>
      <c r="R75" s="13">
        <v>-0.45579974805979923</v>
      </c>
      <c r="S75" s="13">
        <v>0.23240270311758776</v>
      </c>
      <c r="T75" s="13">
        <v>-1.6187270259488002</v>
      </c>
      <c r="U75" s="13">
        <v>0.1706242329939848</v>
      </c>
      <c r="V75" s="13">
        <v>-0.22891086272422753</v>
      </c>
      <c r="W75" s="13">
        <v>0.10049686198750574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</row>
    <row r="76" spans="1:29" x14ac:dyDescent="0.25">
      <c r="A76" s="3">
        <v>1.23766247369087E+18</v>
      </c>
      <c r="B76" s="3">
        <v>236.14635000000001</v>
      </c>
      <c r="C76" s="3">
        <v>36.440747000000002</v>
      </c>
      <c r="D76" s="16">
        <v>6.6768380000000002E-2</v>
      </c>
      <c r="E76" s="3">
        <v>1.9153699999999994</v>
      </c>
      <c r="F76" s="3">
        <v>2.8350299999999997</v>
      </c>
      <c r="G76" s="3">
        <v>3.2627900000000007</v>
      </c>
      <c r="H76" s="3">
        <v>3.6264800000000008</v>
      </c>
      <c r="I76" s="3">
        <v>0.91966000000000037</v>
      </c>
      <c r="J76" s="3">
        <v>1.3474200000000014</v>
      </c>
      <c r="K76" s="3">
        <v>1.7111100000000015</v>
      </c>
      <c r="L76" s="3">
        <v>0.42776000000000103</v>
      </c>
      <c r="M76" s="3">
        <v>0.7914500000000011</v>
      </c>
      <c r="N76" s="3">
        <v>0.36369000000000007</v>
      </c>
      <c r="Q76" s="13">
        <v>2.3561677545823416</v>
      </c>
      <c r="R76" s="13">
        <v>-0.29589317450525482</v>
      </c>
      <c r="S76" s="13">
        <v>0.13306591466100132</v>
      </c>
      <c r="T76" s="13">
        <v>3.5925021946713091E-2</v>
      </c>
      <c r="U76" s="13">
        <v>0.22086991213903312</v>
      </c>
      <c r="V76" s="13">
        <v>-0.27343876124079958</v>
      </c>
      <c r="W76" s="13">
        <v>0.20990454885488372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</row>
    <row r="77" spans="1:29" x14ac:dyDescent="0.25">
      <c r="A77" s="3">
        <v>1.2376625032189E+18</v>
      </c>
      <c r="B77" s="3">
        <v>236.31521000000001</v>
      </c>
      <c r="C77" s="3">
        <v>36.017164000000001</v>
      </c>
      <c r="D77" s="16">
        <v>6.683443E-2</v>
      </c>
      <c r="E77" s="3">
        <v>1.9855599999999995</v>
      </c>
      <c r="F77" s="3">
        <v>2.8892299999999977</v>
      </c>
      <c r="G77" s="3">
        <v>3.304829999999999</v>
      </c>
      <c r="H77" s="3">
        <v>3.6335699999999989</v>
      </c>
      <c r="I77" s="3">
        <v>0.9036699999999982</v>
      </c>
      <c r="J77" s="3">
        <v>1.3192699999999995</v>
      </c>
      <c r="K77" s="3">
        <v>1.6480099999999993</v>
      </c>
      <c r="L77" s="3">
        <v>0.4156000000000013</v>
      </c>
      <c r="M77" s="3">
        <v>0.74434000000000111</v>
      </c>
      <c r="N77" s="3">
        <v>0.32873999999999981</v>
      </c>
      <c r="Q77" s="13">
        <v>2.4672212310556993</v>
      </c>
      <c r="R77" s="13">
        <v>-0.75557517236359339</v>
      </c>
      <c r="S77" s="13">
        <v>-0.16686503041913486</v>
      </c>
      <c r="T77" s="13">
        <v>7.8045591621469346E-2</v>
      </c>
      <c r="U77" s="13">
        <v>0.18287095210557383</v>
      </c>
      <c r="V77" s="13">
        <v>-0.1516859271234845</v>
      </c>
      <c r="W77" s="13">
        <v>0.13478585236771554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</row>
    <row r="78" spans="1:29" x14ac:dyDescent="0.25">
      <c r="A78" s="3">
        <v>1.2376624736908001E+18</v>
      </c>
      <c r="B78" s="3">
        <v>236.14118999999999</v>
      </c>
      <c r="C78" s="3">
        <v>36.477392999999999</v>
      </c>
      <c r="D78" s="16">
        <v>6.6917630000000006E-2</v>
      </c>
      <c r="E78" s="3">
        <v>1.8567400000000021</v>
      </c>
      <c r="F78" s="3">
        <v>2.7475900000000006</v>
      </c>
      <c r="G78" s="3">
        <v>3.165140000000001</v>
      </c>
      <c r="H78" s="3">
        <v>3.5187400000000011</v>
      </c>
      <c r="I78" s="3">
        <v>0.89084999999999859</v>
      </c>
      <c r="J78" s="3">
        <v>1.3083999999999989</v>
      </c>
      <c r="K78" s="3">
        <v>1.661999999999999</v>
      </c>
      <c r="L78" s="3">
        <v>0.41755000000000031</v>
      </c>
      <c r="M78" s="3">
        <v>0.77115000000000045</v>
      </c>
      <c r="N78" s="3">
        <v>0.35360000000000014</v>
      </c>
      <c r="Q78" s="13">
        <v>2.0921880762713423</v>
      </c>
      <c r="R78" s="13">
        <v>-0.29961222243984115</v>
      </c>
      <c r="S78" s="13">
        <v>0.41535764944288167</v>
      </c>
      <c r="T78" s="13">
        <v>0.19160664459523655</v>
      </c>
      <c r="U78" s="13">
        <v>0.1873182165795981</v>
      </c>
      <c r="V78" s="13">
        <v>-0.41699198661557613</v>
      </c>
      <c r="W78" s="13">
        <v>0.20339022128132128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</row>
    <row r="79" spans="1:29" x14ac:dyDescent="0.25">
      <c r="A79" s="3">
        <v>1.2376625032189E+18</v>
      </c>
      <c r="B79" s="3">
        <v>236.36476999999999</v>
      </c>
      <c r="C79" s="3">
        <v>36.013185</v>
      </c>
      <c r="D79" s="16">
        <v>6.6954180000000002E-2</v>
      </c>
      <c r="E79" s="3">
        <v>1.9879899999999999</v>
      </c>
      <c r="F79" s="3">
        <v>2.9320899999999988</v>
      </c>
      <c r="G79" s="3">
        <v>3.3717400000000008</v>
      </c>
      <c r="H79" s="3">
        <v>3.7352000000000007</v>
      </c>
      <c r="I79" s="3">
        <v>0.94409999999999883</v>
      </c>
      <c r="J79" s="3">
        <v>1.3837500000000009</v>
      </c>
      <c r="K79" s="3">
        <v>1.7472100000000008</v>
      </c>
      <c r="L79" s="3">
        <v>0.43965000000000209</v>
      </c>
      <c r="M79" s="3">
        <v>0.80311000000000199</v>
      </c>
      <c r="N79" s="3">
        <v>0.36345999999999989</v>
      </c>
      <c r="Q79" s="13">
        <v>2.8618345445428215</v>
      </c>
      <c r="R79" s="13">
        <v>2.4101626728006573E-2</v>
      </c>
      <c r="S79" s="13">
        <v>-9.0441022412573902E-2</v>
      </c>
      <c r="T79" s="13">
        <v>-0.14043228543803685</v>
      </c>
      <c r="U79" s="13">
        <v>0.1386118937778314</v>
      </c>
      <c r="V79" s="13">
        <v>-0.18139235242695867</v>
      </c>
      <c r="W79" s="13">
        <v>0.12158738474876471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</row>
    <row r="80" spans="1:29" x14ac:dyDescent="0.25">
      <c r="A80" s="3">
        <v>1.23766250321903E+18</v>
      </c>
      <c r="B80" s="3">
        <v>236.59724</v>
      </c>
      <c r="C80" s="3">
        <v>35.946224000000001</v>
      </c>
      <c r="D80" s="16">
        <v>6.7003170000000001E-2</v>
      </c>
      <c r="E80" s="3">
        <v>1.8468900000000019</v>
      </c>
      <c r="F80" s="3">
        <v>2.6915700000000022</v>
      </c>
      <c r="G80" s="3">
        <v>3.0783799999999992</v>
      </c>
      <c r="H80" s="3">
        <v>3.3844700000000003</v>
      </c>
      <c r="I80" s="3">
        <v>0.84468000000000032</v>
      </c>
      <c r="J80" s="3">
        <v>1.2314899999999973</v>
      </c>
      <c r="K80" s="3">
        <v>1.5375799999999984</v>
      </c>
      <c r="L80" s="3">
        <v>0.38680999999999699</v>
      </c>
      <c r="M80" s="3">
        <v>0.69289999999999807</v>
      </c>
      <c r="N80" s="3">
        <v>0.30609000000000108</v>
      </c>
      <c r="Q80" s="13">
        <v>2.6610364467929633</v>
      </c>
      <c r="R80" s="13">
        <v>-0.12509572496935817</v>
      </c>
      <c r="S80" s="13">
        <v>-0.38084605894503298</v>
      </c>
      <c r="T80" s="13">
        <v>0.51643647773548507</v>
      </c>
      <c r="U80" s="13">
        <v>0.19632284017197496</v>
      </c>
      <c r="V80" s="13">
        <v>-0.39248245410524518</v>
      </c>
      <c r="W80" s="13">
        <v>4.4884224304796876E-2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</row>
    <row r="81" spans="1:29" x14ac:dyDescent="0.25">
      <c r="A81" s="3">
        <v>1.2376625032188301E+18</v>
      </c>
      <c r="B81" s="3">
        <v>236.08357000000001</v>
      </c>
      <c r="C81" s="3">
        <v>36.118487999999999</v>
      </c>
      <c r="D81" s="16">
        <v>6.7073629999999995E-2</v>
      </c>
      <c r="E81" s="3">
        <v>1.8969799999999992</v>
      </c>
      <c r="F81" s="3">
        <v>2.7920300000000005</v>
      </c>
      <c r="G81" s="3">
        <v>3.2015000000000011</v>
      </c>
      <c r="H81" s="3">
        <v>3.5157300000000014</v>
      </c>
      <c r="I81" s="3">
        <v>0.89505000000000123</v>
      </c>
      <c r="J81" s="3">
        <v>1.3045200000000019</v>
      </c>
      <c r="K81" s="3">
        <v>1.6187500000000021</v>
      </c>
      <c r="L81" s="3">
        <v>0.40947000000000067</v>
      </c>
      <c r="M81" s="3">
        <v>0.7237000000000009</v>
      </c>
      <c r="N81" s="3">
        <v>0.31423000000000023</v>
      </c>
      <c r="Q81" s="13">
        <v>2.4520778333239628</v>
      </c>
      <c r="R81" s="13">
        <v>-0.26995148668186125</v>
      </c>
      <c r="S81" s="13">
        <v>0.27358760805586424</v>
      </c>
      <c r="T81" s="13">
        <v>-3.2539036355194581E-3</v>
      </c>
      <c r="U81" s="13">
        <v>0.13209455715883336</v>
      </c>
      <c r="V81" s="13">
        <v>-0.18768833817969632</v>
      </c>
      <c r="W81" s="13">
        <v>0.21403352781078835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</row>
    <row r="82" spans="1:29" x14ac:dyDescent="0.25">
      <c r="A82" s="3">
        <v>1.2376624736910001E+18</v>
      </c>
      <c r="B82" s="3">
        <v>236.43284</v>
      </c>
      <c r="C82" s="3">
        <v>36.130147999999998</v>
      </c>
      <c r="D82" s="16">
        <v>6.7119040000000005E-2</v>
      </c>
      <c r="E82" s="3">
        <v>1.8868599999999986</v>
      </c>
      <c r="F82" s="3">
        <v>2.7563899999999997</v>
      </c>
      <c r="G82" s="3">
        <v>3.1540900000000001</v>
      </c>
      <c r="H82" s="3">
        <v>3.4734300000000005</v>
      </c>
      <c r="I82" s="3">
        <v>0.86953000000000102</v>
      </c>
      <c r="J82" s="3">
        <v>1.2672300000000014</v>
      </c>
      <c r="K82" s="3">
        <v>1.5865700000000018</v>
      </c>
      <c r="L82" s="3">
        <v>0.39770000000000039</v>
      </c>
      <c r="M82" s="3">
        <v>0.71704000000000079</v>
      </c>
      <c r="N82" s="3">
        <v>0.3193400000000004</v>
      </c>
      <c r="Q82" s="13">
        <v>2.5078264440180091</v>
      </c>
      <c r="R82" s="13">
        <v>-0.27711605302171782</v>
      </c>
      <c r="S82" s="13">
        <v>-0.18728529113086204</v>
      </c>
      <c r="T82" s="13">
        <v>0.46495890572755422</v>
      </c>
      <c r="U82" s="13">
        <v>0.26299310005871468</v>
      </c>
      <c r="V82" s="13">
        <v>-0.3104248156841507</v>
      </c>
      <c r="W82" s="13">
        <v>0.14488703487280785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</row>
    <row r="83" spans="1:29" x14ac:dyDescent="0.25">
      <c r="A83" s="3">
        <v>1.2376625037557701E+18</v>
      </c>
      <c r="B83" s="3">
        <v>236.58447000000001</v>
      </c>
      <c r="C83" s="3">
        <v>36.317391000000001</v>
      </c>
      <c r="D83" s="16">
        <v>6.7139190000000001E-2</v>
      </c>
      <c r="E83" s="3">
        <v>1.813209999999998</v>
      </c>
      <c r="F83" s="3">
        <v>2.6355199999999996</v>
      </c>
      <c r="G83" s="3">
        <v>3.0365199999999994</v>
      </c>
      <c r="H83" s="3">
        <v>3.3049299999999988</v>
      </c>
      <c r="I83" s="3">
        <v>0.82231000000000165</v>
      </c>
      <c r="J83" s="3">
        <v>1.2233100000000015</v>
      </c>
      <c r="K83" s="3">
        <v>1.4917200000000008</v>
      </c>
      <c r="L83" s="3">
        <v>0.4009999999999998</v>
      </c>
      <c r="M83" s="3">
        <v>0.66940999999999917</v>
      </c>
      <c r="N83" s="3">
        <v>0.26840999999999937</v>
      </c>
      <c r="Q83" s="13">
        <v>2.2695921181219449</v>
      </c>
      <c r="R83" s="13">
        <v>-0.31968820591751435</v>
      </c>
      <c r="S83" s="13">
        <v>-8.7486577022213977E-2</v>
      </c>
      <c r="T83" s="13">
        <v>-0.25991971258900709</v>
      </c>
      <c r="U83" s="13">
        <v>0.31634871766708794</v>
      </c>
      <c r="V83" s="13">
        <v>-0.4589821302099944</v>
      </c>
      <c r="W83" s="13">
        <v>0.1191074098940311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</row>
    <row r="84" spans="1:29" x14ac:dyDescent="0.25">
      <c r="A84" s="3">
        <v>1.2376625032189701E+18</v>
      </c>
      <c r="B84" s="3">
        <v>236.51518999999999</v>
      </c>
      <c r="C84" s="3">
        <v>35.948939000000003</v>
      </c>
      <c r="D84" s="16">
        <v>6.7181210000000005E-2</v>
      </c>
      <c r="E84" s="3">
        <v>1.9525100000000002</v>
      </c>
      <c r="F84" s="3">
        <v>2.8408200000000008</v>
      </c>
      <c r="G84" s="3">
        <v>3.2486800000000002</v>
      </c>
      <c r="H84" s="3">
        <v>3.5651400000000013</v>
      </c>
      <c r="I84" s="3">
        <v>0.8883100000000006</v>
      </c>
      <c r="J84" s="3">
        <v>1.29617</v>
      </c>
      <c r="K84" s="3">
        <v>1.6126300000000011</v>
      </c>
      <c r="L84" s="3">
        <v>0.40785999999999945</v>
      </c>
      <c r="M84" s="3">
        <v>0.72432000000000052</v>
      </c>
      <c r="N84" s="3">
        <v>0.31646000000000107</v>
      </c>
      <c r="Q84" s="13">
        <v>2.2032138171220796</v>
      </c>
      <c r="R84" s="13">
        <v>-0.40899281052803055</v>
      </c>
      <c r="S84" s="13">
        <v>0.25403270007385603</v>
      </c>
      <c r="T84" s="13">
        <v>-0.78553868915873526</v>
      </c>
      <c r="U84" s="13">
        <v>0.20898351594814213</v>
      </c>
      <c r="V84" s="13">
        <v>-0.38078243225450925</v>
      </c>
      <c r="W84" s="13">
        <v>0.14021056587655509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</row>
    <row r="85" spans="1:29" x14ac:dyDescent="0.25">
      <c r="A85" s="3">
        <v>1.23766247369074E+18</v>
      </c>
      <c r="B85" s="3">
        <v>235.96458999999999</v>
      </c>
      <c r="C85" s="3">
        <v>36.526887000000002</v>
      </c>
      <c r="D85" s="16">
        <v>6.7256919999999998E-2</v>
      </c>
      <c r="E85" s="3">
        <v>0.77464999999999939</v>
      </c>
      <c r="F85" s="3">
        <v>1.275640000000001</v>
      </c>
      <c r="G85" s="3">
        <v>1.6906800000000004</v>
      </c>
      <c r="H85" s="3">
        <v>1.8536400000000004</v>
      </c>
      <c r="I85" s="3">
        <v>0.5009900000000016</v>
      </c>
      <c r="J85" s="3">
        <v>0.91603000000000101</v>
      </c>
      <c r="K85" s="3">
        <v>1.078990000000001</v>
      </c>
      <c r="L85" s="3">
        <v>0.41503999999999941</v>
      </c>
      <c r="M85" s="3">
        <v>0.5779999999999994</v>
      </c>
      <c r="N85" s="3">
        <v>0.16295999999999999</v>
      </c>
      <c r="Q85" s="13">
        <v>3.1098701790526637</v>
      </c>
      <c r="R85" s="13">
        <v>-0.11757591982592901</v>
      </c>
      <c r="S85" s="13">
        <v>-0.28254855863339101</v>
      </c>
      <c r="T85" s="13">
        <v>1.4912882619950385</v>
      </c>
      <c r="U85" s="13">
        <v>0.14554739048860965</v>
      </c>
      <c r="V85" s="13">
        <v>-9.9975277818418098E-2</v>
      </c>
      <c r="W85" s="13">
        <v>7.5983196597247407E-2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</row>
    <row r="86" spans="1:29" x14ac:dyDescent="0.25">
      <c r="A86" s="3">
        <v>1.23766247369074E+18</v>
      </c>
      <c r="B86" s="3">
        <v>235.87022999999999</v>
      </c>
      <c r="C86" s="3">
        <v>36.612698999999999</v>
      </c>
      <c r="D86" s="16">
        <v>6.7274340000000002E-2</v>
      </c>
      <c r="E86" s="3">
        <v>1.8501499999999993</v>
      </c>
      <c r="F86" s="3">
        <v>2.6800999999999995</v>
      </c>
      <c r="G86" s="3">
        <v>3.0853599999999979</v>
      </c>
      <c r="H86" s="3">
        <v>3.3864799999999988</v>
      </c>
      <c r="I86" s="3">
        <v>0.82995000000000019</v>
      </c>
      <c r="J86" s="3">
        <v>1.2352099999999986</v>
      </c>
      <c r="K86" s="3">
        <v>1.5363299999999995</v>
      </c>
      <c r="L86" s="3">
        <v>0.4052599999999984</v>
      </c>
      <c r="M86" s="3">
        <v>0.70637999999999934</v>
      </c>
      <c r="N86" s="3">
        <v>0.30112000000000094</v>
      </c>
      <c r="Q86" s="13">
        <v>2.2798967762838962</v>
      </c>
      <c r="R86" s="13">
        <v>-0.44739252621101139</v>
      </c>
      <c r="S86" s="13">
        <v>9.0004704615341737E-3</v>
      </c>
      <c r="T86" s="13">
        <v>-0.97204357762180493</v>
      </c>
      <c r="U86" s="13">
        <v>0.2787311131491147</v>
      </c>
      <c r="V86" s="13">
        <v>-0.33374207881327767</v>
      </c>
      <c r="W86" s="13">
        <v>0.15066326150275053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</row>
    <row r="87" spans="1:29" x14ac:dyDescent="0.25">
      <c r="A87" s="3">
        <v>1.23766247369074E+18</v>
      </c>
      <c r="B87" s="3">
        <v>235.96593999999999</v>
      </c>
      <c r="C87" s="3">
        <v>36.560442999999999</v>
      </c>
      <c r="D87" s="16">
        <v>6.7340609999999995E-2</v>
      </c>
      <c r="E87" s="3">
        <v>1.8488100000000003</v>
      </c>
      <c r="F87" s="3">
        <v>2.7378399999999985</v>
      </c>
      <c r="G87" s="3">
        <v>3.1393899999999988</v>
      </c>
      <c r="H87" s="3">
        <v>3.4502999999999986</v>
      </c>
      <c r="I87" s="3">
        <v>0.88902999999999821</v>
      </c>
      <c r="J87" s="3">
        <v>1.2905799999999985</v>
      </c>
      <c r="K87" s="3">
        <v>1.6014899999999983</v>
      </c>
      <c r="L87" s="3">
        <v>0.4015500000000003</v>
      </c>
      <c r="M87" s="3">
        <v>0.71246000000000009</v>
      </c>
      <c r="N87" s="3">
        <v>0.3109099999999998</v>
      </c>
      <c r="Q87" s="13">
        <v>2.2169403602043247</v>
      </c>
      <c r="R87" s="13">
        <v>-0.31189223011326761</v>
      </c>
      <c r="S87" s="13">
        <v>0.98280048714926815</v>
      </c>
      <c r="T87" s="13">
        <v>0.43580050518927577</v>
      </c>
      <c r="U87" s="13">
        <v>0.15723772653872672</v>
      </c>
      <c r="V87" s="13">
        <v>-0.41341460575311112</v>
      </c>
      <c r="W87" s="13">
        <v>0.12598456303827782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</row>
    <row r="88" spans="1:29" x14ac:dyDescent="0.25">
      <c r="A88" s="3">
        <v>1.2376624736909299E+18</v>
      </c>
      <c r="B88" s="3">
        <v>236.32599999999999</v>
      </c>
      <c r="C88" s="3">
        <v>36.213644000000002</v>
      </c>
      <c r="D88" s="16">
        <v>6.7534540000000004E-2</v>
      </c>
      <c r="E88" s="3">
        <v>1.9074799999999996</v>
      </c>
      <c r="F88" s="3">
        <v>2.7887000000000022</v>
      </c>
      <c r="G88" s="3">
        <v>3.2061600000000006</v>
      </c>
      <c r="H88" s="3">
        <v>3.5120100000000001</v>
      </c>
      <c r="I88" s="3">
        <v>0.88122000000000256</v>
      </c>
      <c r="J88" s="3">
        <v>1.2986800000000009</v>
      </c>
      <c r="K88" s="3">
        <v>1.6045300000000005</v>
      </c>
      <c r="L88" s="3">
        <v>0.41745999999999839</v>
      </c>
      <c r="M88" s="3">
        <v>0.7233099999999979</v>
      </c>
      <c r="N88" s="3">
        <v>0.30584999999999951</v>
      </c>
      <c r="Q88" s="13">
        <v>3.0679323176435664</v>
      </c>
      <c r="R88" s="13">
        <v>-6.9173360102067927E-2</v>
      </c>
      <c r="S88" s="13">
        <v>1.3463785765694194</v>
      </c>
      <c r="T88" s="13">
        <v>-0.17155097028226687</v>
      </c>
      <c r="U88" s="13">
        <v>-0.21986018815146802</v>
      </c>
      <c r="V88" s="13">
        <v>3.4883186950061811E-2</v>
      </c>
      <c r="W88" s="13">
        <v>4.5413312839226727E-2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</row>
    <row r="89" spans="1:29" x14ac:dyDescent="0.25">
      <c r="A89" s="3">
        <v>1.2376625032187699E+18</v>
      </c>
      <c r="B89" s="3">
        <v>236.09370999999999</v>
      </c>
      <c r="C89" s="3">
        <v>36.178286</v>
      </c>
      <c r="D89" s="16">
        <v>6.7626790000000006E-2</v>
      </c>
      <c r="E89" s="3">
        <v>1.7988499999999981</v>
      </c>
      <c r="F89" s="3">
        <v>2.6768399999999986</v>
      </c>
      <c r="G89" s="3">
        <v>3.07789</v>
      </c>
      <c r="H89" s="3">
        <v>3.3715099999999989</v>
      </c>
      <c r="I89" s="3">
        <v>0.87799000000000049</v>
      </c>
      <c r="J89" s="3">
        <v>1.279040000000002</v>
      </c>
      <c r="K89" s="3">
        <v>1.5726600000000008</v>
      </c>
      <c r="L89" s="3">
        <v>0.40105000000000146</v>
      </c>
      <c r="M89" s="3">
        <v>0.69467000000000034</v>
      </c>
      <c r="N89" s="3">
        <v>0.29361999999999888</v>
      </c>
      <c r="Q89" s="13">
        <v>2.0577948035194198</v>
      </c>
      <c r="R89" s="13">
        <v>-0.84530036916352758</v>
      </c>
      <c r="S89" s="13">
        <v>0.21403003816665939</v>
      </c>
      <c r="T89" s="13">
        <v>9.275576147482005E-2</v>
      </c>
      <c r="U89" s="13">
        <v>0.20013388509619326</v>
      </c>
      <c r="V89" s="13">
        <v>-0.28165531655604298</v>
      </c>
      <c r="W89" s="13">
        <v>0.18405328312865427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</row>
    <row r="90" spans="1:29" x14ac:dyDescent="0.25">
      <c r="A90" s="3">
        <v>1.2376625032188301E+18</v>
      </c>
      <c r="B90" s="3">
        <v>236.11035000000001</v>
      </c>
      <c r="C90" s="3">
        <v>36.119973000000002</v>
      </c>
      <c r="D90" s="16">
        <v>6.7648449999999999E-2</v>
      </c>
      <c r="E90" s="3">
        <v>1.8811199999999992</v>
      </c>
      <c r="F90" s="3">
        <v>2.781369999999999</v>
      </c>
      <c r="G90" s="3">
        <v>3.2020599999999995</v>
      </c>
      <c r="H90" s="3">
        <v>3.5395499999999984</v>
      </c>
      <c r="I90" s="3">
        <v>0.90024999999999977</v>
      </c>
      <c r="J90" s="3">
        <v>1.3209400000000002</v>
      </c>
      <c r="K90" s="3">
        <v>1.6584299999999992</v>
      </c>
      <c r="L90" s="3">
        <v>0.42069000000000045</v>
      </c>
      <c r="M90" s="3">
        <v>0.75817999999999941</v>
      </c>
      <c r="N90" s="3">
        <v>0.33748999999999896</v>
      </c>
      <c r="Q90" s="13">
        <v>2.4647735827827049</v>
      </c>
      <c r="R90" s="13">
        <v>-0.54882830971976293</v>
      </c>
      <c r="S90" s="13">
        <v>-0.29162885926855969</v>
      </c>
      <c r="T90" s="13">
        <v>-0.93633862125911582</v>
      </c>
      <c r="U90" s="13">
        <v>0.18947894941686588</v>
      </c>
      <c r="V90" s="13">
        <v>-0.1981243209765183</v>
      </c>
      <c r="W90" s="13">
        <v>0.13407772708371138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</row>
    <row r="91" spans="1:29" x14ac:dyDescent="0.25">
      <c r="A91" s="3">
        <v>1.23766250321903E+18</v>
      </c>
      <c r="B91" s="3">
        <v>236.61057</v>
      </c>
      <c r="C91" s="3">
        <v>35.901086999999997</v>
      </c>
      <c r="D91" s="16">
        <v>6.7894540000000003E-2</v>
      </c>
      <c r="E91" s="3">
        <v>1.6896699999999996</v>
      </c>
      <c r="F91" s="3">
        <v>2.5334800000000008</v>
      </c>
      <c r="G91" s="3">
        <v>2.9314199999999992</v>
      </c>
      <c r="H91" s="3">
        <v>3.2116299999999995</v>
      </c>
      <c r="I91" s="3">
        <v>0.84381000000000128</v>
      </c>
      <c r="J91" s="3">
        <v>1.2417499999999997</v>
      </c>
      <c r="K91" s="3">
        <v>1.52196</v>
      </c>
      <c r="L91" s="3">
        <v>0.39793999999999841</v>
      </c>
      <c r="M91" s="3">
        <v>0.6781499999999987</v>
      </c>
      <c r="N91" s="3">
        <v>0.28021000000000029</v>
      </c>
      <c r="Q91" s="13">
        <v>2.4889501480455922</v>
      </c>
      <c r="R91" s="13">
        <v>-0.1798059466270632</v>
      </c>
      <c r="S91" s="13">
        <v>0.33003994932580938</v>
      </c>
      <c r="T91" s="13">
        <v>1.1278342021860985</v>
      </c>
      <c r="U91" s="13">
        <v>0.24120455999579132</v>
      </c>
      <c r="V91" s="13">
        <v>-0.32518482555313077</v>
      </c>
      <c r="W91" s="13">
        <v>0.1578526674829811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</row>
    <row r="92" spans="1:29" x14ac:dyDescent="0.25">
      <c r="A92" s="3">
        <v>1.2376614659861299E+18</v>
      </c>
      <c r="B92" s="3">
        <v>235.94979000000001</v>
      </c>
      <c r="C92" s="3">
        <v>35.964848000000003</v>
      </c>
      <c r="D92" s="16">
        <v>6.8176280000000006E-2</v>
      </c>
      <c r="E92" s="3">
        <v>1.0882000000000005</v>
      </c>
      <c r="F92" s="3">
        <v>1.5284000000000013</v>
      </c>
      <c r="G92" s="3">
        <v>1.8585700000000003</v>
      </c>
      <c r="H92" s="3">
        <v>1.9844499999999989</v>
      </c>
      <c r="I92" s="3">
        <v>0.44020000000000081</v>
      </c>
      <c r="J92" s="3">
        <v>0.77036999999999978</v>
      </c>
      <c r="K92" s="3">
        <v>0.89624999999999844</v>
      </c>
      <c r="L92" s="3">
        <v>0.33016999999999896</v>
      </c>
      <c r="M92" s="3">
        <v>0.45604999999999762</v>
      </c>
      <c r="N92" s="3">
        <v>0.12587999999999866</v>
      </c>
      <c r="Q92" s="13">
        <v>2.2038580490172053</v>
      </c>
      <c r="R92" s="13">
        <v>-0.53222112923618303</v>
      </c>
      <c r="S92" s="13">
        <v>0.21873537093130935</v>
      </c>
      <c r="T92" s="13">
        <v>-0.3956444940687322</v>
      </c>
      <c r="U92" s="13">
        <v>0.23399496217073518</v>
      </c>
      <c r="V92" s="13">
        <v>-0.37612769533561918</v>
      </c>
      <c r="W92" s="13">
        <v>0.12350796863369301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</row>
    <row r="93" spans="1:29" x14ac:dyDescent="0.25">
      <c r="A93" s="3">
        <v>1.2376625037558999E+18</v>
      </c>
      <c r="B93" s="3">
        <v>236.80717999999999</v>
      </c>
      <c r="C93" s="3">
        <v>36.161382000000003</v>
      </c>
      <c r="D93" s="16">
        <v>6.8195469999999994E-2</v>
      </c>
      <c r="E93" s="3">
        <v>1.9433100000000003</v>
      </c>
      <c r="F93" s="3">
        <v>2.7389499999999991</v>
      </c>
      <c r="G93" s="3">
        <v>3.0961700000000008</v>
      </c>
      <c r="H93" s="3">
        <v>3.3600399999999979</v>
      </c>
      <c r="I93" s="3">
        <v>0.79563999999999879</v>
      </c>
      <c r="J93" s="3">
        <v>1.1528600000000004</v>
      </c>
      <c r="K93" s="3">
        <v>1.4167299999999976</v>
      </c>
      <c r="L93" s="3">
        <v>0.35722000000000165</v>
      </c>
      <c r="M93" s="3">
        <v>0.62108999999999881</v>
      </c>
      <c r="N93" s="3">
        <v>0.26386999999999716</v>
      </c>
      <c r="Q93" s="13">
        <v>2.8846991432976536</v>
      </c>
      <c r="R93" s="13">
        <v>0.37755778455865768</v>
      </c>
      <c r="S93" s="13">
        <v>0.71251892184347099</v>
      </c>
      <c r="T93" s="13">
        <v>0.60297273263348905</v>
      </c>
      <c r="U93" s="13">
        <v>0.15541523846276875</v>
      </c>
      <c r="V93" s="13">
        <v>-0.25356282018981646</v>
      </c>
      <c r="W93" s="13">
        <v>0.13901414808967127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</row>
    <row r="94" spans="1:29" x14ac:dyDescent="0.25">
      <c r="A94" s="3">
        <v>1.23766247369074E+18</v>
      </c>
      <c r="B94" s="3">
        <v>235.99565000000001</v>
      </c>
      <c r="C94" s="3">
        <v>36.567264999999999</v>
      </c>
      <c r="D94" s="16">
        <v>6.846621E-2</v>
      </c>
      <c r="E94" s="3">
        <v>1.3670399999999994</v>
      </c>
      <c r="F94" s="3">
        <v>1.9974100000000021</v>
      </c>
      <c r="G94" s="3">
        <v>2.3528400000000005</v>
      </c>
      <c r="H94" s="3">
        <v>2.5597600000000007</v>
      </c>
      <c r="I94" s="3">
        <v>0.63037000000000276</v>
      </c>
      <c r="J94" s="3">
        <v>0.98580000000000112</v>
      </c>
      <c r="K94" s="3">
        <v>1.1927200000000013</v>
      </c>
      <c r="L94" s="3">
        <v>0.35542999999999836</v>
      </c>
      <c r="M94" s="3">
        <v>0.56234999999999857</v>
      </c>
      <c r="N94" s="3">
        <v>0.20692000000000021</v>
      </c>
      <c r="Q94" s="13">
        <v>2.7589272945324352</v>
      </c>
      <c r="R94" s="13">
        <v>-0.38374829955667022</v>
      </c>
      <c r="S94" s="13">
        <v>-0.86913584162277047</v>
      </c>
      <c r="T94" s="13">
        <v>9.6919560650737951E-2</v>
      </c>
      <c r="U94" s="13">
        <v>0.29082361002434909</v>
      </c>
      <c r="V94" s="13">
        <v>-0.20819127336918053</v>
      </c>
      <c r="W94" s="13">
        <v>9.779838284143326E-2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</row>
    <row r="95" spans="1:29" x14ac:dyDescent="0.25">
      <c r="A95" s="3">
        <v>1.2376624736908001E+18</v>
      </c>
      <c r="B95" s="3">
        <v>236.03367</v>
      </c>
      <c r="C95" s="3">
        <v>36.556773</v>
      </c>
      <c r="D95" s="16">
        <v>6.8495280000000006E-2</v>
      </c>
      <c r="E95" s="3">
        <v>1.7509900000000016</v>
      </c>
      <c r="F95" s="3">
        <v>2.5737000000000005</v>
      </c>
      <c r="G95" s="3">
        <v>2.9553600000000007</v>
      </c>
      <c r="H95" s="3">
        <v>3.2679700000000018</v>
      </c>
      <c r="I95" s="3">
        <v>0.82270999999999894</v>
      </c>
      <c r="J95" s="3">
        <v>1.2043699999999991</v>
      </c>
      <c r="K95" s="3">
        <v>1.5169800000000002</v>
      </c>
      <c r="L95" s="3">
        <v>0.38166000000000011</v>
      </c>
      <c r="M95" s="3">
        <v>0.69427000000000127</v>
      </c>
      <c r="N95" s="3">
        <v>0.31261000000000116</v>
      </c>
      <c r="Q95" s="13">
        <v>2.5404438566197016</v>
      </c>
      <c r="R95" s="13">
        <v>-0.50053306497752681</v>
      </c>
      <c r="S95" s="13">
        <v>0.42973912218099375</v>
      </c>
      <c r="T95" s="13">
        <v>0.38018913137678273</v>
      </c>
      <c r="U95" s="13">
        <v>0.13188966184313425</v>
      </c>
      <c r="V95" s="13">
        <v>-0.19222071896028206</v>
      </c>
      <c r="W95" s="13">
        <v>0.10882964393864815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</row>
    <row r="96" spans="1:29" x14ac:dyDescent="0.25">
      <c r="A96" s="3">
        <v>1.2376624731539999E+18</v>
      </c>
      <c r="B96" s="3">
        <v>235.94121000000001</v>
      </c>
      <c r="C96" s="3">
        <v>36.107756999999999</v>
      </c>
      <c r="D96" s="16">
        <v>6.8518010000000004E-2</v>
      </c>
      <c r="E96" s="3">
        <v>1.8187500000000014</v>
      </c>
      <c r="F96" s="3">
        <v>2.6358999999999995</v>
      </c>
      <c r="G96" s="3">
        <v>3.0136400000000005</v>
      </c>
      <c r="H96" s="3">
        <v>3.3060799999999997</v>
      </c>
      <c r="I96" s="3">
        <v>0.81714999999999804</v>
      </c>
      <c r="J96" s="3">
        <v>1.1948899999999991</v>
      </c>
      <c r="K96" s="3">
        <v>1.4873299999999983</v>
      </c>
      <c r="L96" s="3">
        <v>0.37774000000000107</v>
      </c>
      <c r="M96" s="3">
        <v>0.67018000000000022</v>
      </c>
      <c r="N96" s="3">
        <v>0.29243999999999915</v>
      </c>
      <c r="Q96" s="13">
        <v>2.9671712801760215</v>
      </c>
      <c r="R96" s="13">
        <v>3.7493077048404315E-2</v>
      </c>
      <c r="S96" s="13">
        <v>-1.6148537320871685</v>
      </c>
      <c r="T96" s="13">
        <v>0.68269007043854868</v>
      </c>
      <c r="U96" s="13">
        <v>0.41886731240663105</v>
      </c>
      <c r="V96" s="13">
        <v>-0.27693866761802338</v>
      </c>
      <c r="W96" s="13">
        <v>0.12362386021030872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</row>
    <row r="97" spans="1:29" x14ac:dyDescent="0.25">
      <c r="A97" s="3">
        <v>1.2376625032187699E+18</v>
      </c>
      <c r="B97" s="3">
        <v>236.0421</v>
      </c>
      <c r="C97" s="3">
        <v>36.258574000000003</v>
      </c>
      <c r="D97" s="16">
        <v>6.8584859999999997E-2</v>
      </c>
      <c r="E97" s="3">
        <v>1.6225700000000032</v>
      </c>
      <c r="F97" s="3">
        <v>2.4696700000000007</v>
      </c>
      <c r="G97" s="3">
        <v>2.8996500000000012</v>
      </c>
      <c r="H97" s="3">
        <v>3.2720800000000025</v>
      </c>
      <c r="I97" s="3">
        <v>0.84709999999999752</v>
      </c>
      <c r="J97" s="3">
        <v>1.277079999999998</v>
      </c>
      <c r="K97" s="3">
        <v>1.6495099999999994</v>
      </c>
      <c r="L97" s="3">
        <v>0.42998000000000047</v>
      </c>
      <c r="M97" s="3">
        <v>0.80241000000000184</v>
      </c>
      <c r="N97" s="3">
        <v>0.37243000000000137</v>
      </c>
      <c r="Q97" s="13">
        <v>2.1474180502460527</v>
      </c>
      <c r="R97" s="13">
        <v>-0.22025708551375422</v>
      </c>
      <c r="S97" s="13">
        <v>0.82434213614018437</v>
      </c>
      <c r="T97" s="13">
        <v>1.085725453409647</v>
      </c>
      <c r="U97" s="13">
        <v>0.18501831397441676</v>
      </c>
      <c r="V97" s="13">
        <v>-0.48037225775254927</v>
      </c>
      <c r="W97" s="13">
        <v>0.15043070704590561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</row>
    <row r="98" spans="1:29" x14ac:dyDescent="0.25">
      <c r="A98" s="3">
        <v>1.2376625032188301E+18</v>
      </c>
      <c r="B98" s="3">
        <v>236.21589</v>
      </c>
      <c r="C98" s="3">
        <v>36.166634999999999</v>
      </c>
      <c r="D98" s="16">
        <v>6.8595450000000002E-2</v>
      </c>
      <c r="E98" s="3">
        <v>1.8478600000000007</v>
      </c>
      <c r="F98" s="3">
        <v>2.7456099999999992</v>
      </c>
      <c r="G98" s="3">
        <v>3.1833299999999998</v>
      </c>
      <c r="H98" s="3">
        <v>3.5115099999999995</v>
      </c>
      <c r="I98" s="3">
        <v>0.89774999999999849</v>
      </c>
      <c r="J98" s="3">
        <v>1.335469999999999</v>
      </c>
      <c r="K98" s="3">
        <v>1.6636499999999987</v>
      </c>
      <c r="L98" s="3">
        <v>0.43772000000000055</v>
      </c>
      <c r="M98" s="3">
        <v>0.76590000000000025</v>
      </c>
      <c r="N98" s="3">
        <v>0.32817999999999969</v>
      </c>
      <c r="Q98" s="13">
        <v>2.2769156827393608</v>
      </c>
      <c r="R98" s="13">
        <v>-0.50818958168529682</v>
      </c>
      <c r="S98" s="13">
        <v>0.12363429411702902</v>
      </c>
      <c r="T98" s="13">
        <v>-0.31901981407495422</v>
      </c>
      <c r="U98" s="13">
        <v>0.20089803071630297</v>
      </c>
      <c r="V98" s="13">
        <v>-0.33112869003824369</v>
      </c>
      <c r="W98" s="13">
        <v>0.12672809603218899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</row>
    <row r="99" spans="1:29" x14ac:dyDescent="0.25">
      <c r="A99" s="3">
        <v>1.23766247369074E+18</v>
      </c>
      <c r="B99" s="3">
        <v>236.01264</v>
      </c>
      <c r="C99" s="3">
        <v>36.597296999999998</v>
      </c>
      <c r="D99" s="16">
        <v>6.8684869999999995E-2</v>
      </c>
      <c r="E99" s="3">
        <v>1.8165699999999987</v>
      </c>
      <c r="F99" s="3">
        <v>2.6432899999999986</v>
      </c>
      <c r="G99" s="3">
        <v>3.0209599999999988</v>
      </c>
      <c r="H99" s="3">
        <v>3.3230299999999975</v>
      </c>
      <c r="I99" s="3">
        <v>0.8267199999999999</v>
      </c>
      <c r="J99" s="3">
        <v>1.2043900000000001</v>
      </c>
      <c r="K99" s="3">
        <v>1.5064599999999988</v>
      </c>
      <c r="L99" s="3">
        <v>0.37767000000000017</v>
      </c>
      <c r="M99" s="3">
        <v>0.6797399999999989</v>
      </c>
      <c r="N99" s="3">
        <v>0.30206999999999873</v>
      </c>
      <c r="Q99" s="13">
        <v>2.306730892062955</v>
      </c>
      <c r="R99" s="13">
        <v>-0.11685495710593737</v>
      </c>
      <c r="S99" s="13">
        <v>0.9095096431358205</v>
      </c>
      <c r="T99" s="13">
        <v>1.1773747726264736</v>
      </c>
      <c r="U99" s="13">
        <v>0.17413763272358926</v>
      </c>
      <c r="V99" s="13">
        <v>-0.43739889321569825</v>
      </c>
      <c r="W99" s="13">
        <v>0.135285473377391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</row>
    <row r="100" spans="1:29" x14ac:dyDescent="0.25">
      <c r="A100" s="3">
        <v>1.23766247315426E+18</v>
      </c>
      <c r="B100" s="3">
        <v>236.56117</v>
      </c>
      <c r="C100" s="3">
        <v>35.739919</v>
      </c>
      <c r="D100" s="16">
        <v>6.869741E-2</v>
      </c>
      <c r="E100" s="3">
        <v>1.275500000000001</v>
      </c>
      <c r="F100" s="3">
        <v>1.9152900000000024</v>
      </c>
      <c r="G100" s="3">
        <v>2.2789800000000007</v>
      </c>
      <c r="H100" s="3">
        <v>2.5149800000000013</v>
      </c>
      <c r="I100" s="3">
        <v>0.63979000000000141</v>
      </c>
      <c r="J100" s="3">
        <v>1.0034799999999997</v>
      </c>
      <c r="K100" s="3">
        <v>1.2394800000000004</v>
      </c>
      <c r="L100" s="3">
        <v>0.36368999999999829</v>
      </c>
      <c r="M100" s="3">
        <v>0.59968999999999895</v>
      </c>
      <c r="N100" s="3">
        <v>0.23600000000000065</v>
      </c>
      <c r="Q100" s="13">
        <v>2.0051698550465407</v>
      </c>
      <c r="R100" s="13">
        <v>-0.48225292735446212</v>
      </c>
      <c r="S100" s="13">
        <v>0.21093258571496962</v>
      </c>
      <c r="T100" s="13">
        <v>-0.43578822837313153</v>
      </c>
      <c r="U100" s="13">
        <v>0.23970846617360189</v>
      </c>
      <c r="V100" s="13">
        <v>-0.46139350393840578</v>
      </c>
      <c r="W100" s="13">
        <v>0.15783705934524808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</row>
    <row r="101" spans="1:29" x14ac:dyDescent="0.25">
      <c r="A101" s="3">
        <v>1.2376614659863301E+18</v>
      </c>
      <c r="B101" s="3">
        <v>236.32719</v>
      </c>
      <c r="C101" s="3">
        <v>35.705584000000002</v>
      </c>
      <c r="D101" s="16">
        <v>6.8698999999999996E-2</v>
      </c>
      <c r="E101" s="3">
        <v>1.5968499999999999</v>
      </c>
      <c r="F101" s="3">
        <v>2.3666499999999999</v>
      </c>
      <c r="G101" s="3">
        <v>2.7378499999999981</v>
      </c>
      <c r="H101" s="3">
        <v>3.0450099999999978</v>
      </c>
      <c r="I101" s="3">
        <v>0.76980000000000004</v>
      </c>
      <c r="J101" s="3">
        <v>1.1409999999999982</v>
      </c>
      <c r="K101" s="3">
        <v>1.4481599999999979</v>
      </c>
      <c r="L101" s="3">
        <v>0.3711999999999982</v>
      </c>
      <c r="M101" s="3">
        <v>0.67835999999999785</v>
      </c>
      <c r="N101" s="3">
        <v>0.30715999999999966</v>
      </c>
      <c r="Q101" s="13">
        <v>2.6021790496031589</v>
      </c>
      <c r="R101" s="13">
        <v>-0.33194848226247059</v>
      </c>
      <c r="S101" s="13">
        <v>0.55189009641868836</v>
      </c>
      <c r="T101" s="13">
        <v>-1.137403601266227</v>
      </c>
      <c r="U101" s="13">
        <v>0.12193624333844477</v>
      </c>
      <c r="V101" s="13">
        <v>-0.22313784040233736</v>
      </c>
      <c r="W101" s="13">
        <v>6.1479641273983046E-2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</row>
    <row r="102" spans="1:29" x14ac:dyDescent="0.25">
      <c r="A102" s="3">
        <v>1.2376625032189E+18</v>
      </c>
      <c r="B102" s="3">
        <v>236.34595999999999</v>
      </c>
      <c r="C102" s="3">
        <v>36.106417999999998</v>
      </c>
      <c r="D102" s="16">
        <v>6.8745210000000001E-2</v>
      </c>
      <c r="E102" s="3">
        <v>1.9429799999999986</v>
      </c>
      <c r="F102" s="3">
        <v>2.8477899999999998</v>
      </c>
      <c r="G102" s="3">
        <v>3.2625100000000007</v>
      </c>
      <c r="H102" s="3">
        <v>3.5661400000000008</v>
      </c>
      <c r="I102" s="3">
        <v>0.90481000000000122</v>
      </c>
      <c r="J102" s="3">
        <v>1.3195300000000021</v>
      </c>
      <c r="K102" s="3">
        <v>1.6231600000000022</v>
      </c>
      <c r="L102" s="3">
        <v>0.41472000000000087</v>
      </c>
      <c r="M102" s="3">
        <v>0.71835000000000093</v>
      </c>
      <c r="N102" s="3">
        <v>0.30363000000000007</v>
      </c>
      <c r="Q102" s="13">
        <v>2.4522280139287012</v>
      </c>
      <c r="R102" s="13">
        <v>-0.34527147801880631</v>
      </c>
      <c r="S102" s="13">
        <v>-0.11998963621329865</v>
      </c>
      <c r="T102" s="13">
        <v>0.42936823871687319</v>
      </c>
      <c r="U102" s="13">
        <v>0.18174260332796757</v>
      </c>
      <c r="V102" s="13">
        <v>-0.29534449618839537</v>
      </c>
      <c r="W102" s="13">
        <v>0.13578500513367581</v>
      </c>
      <c r="X102" s="13">
        <v>0</v>
      </c>
      <c r="Y102" s="13">
        <v>0</v>
      </c>
      <c r="Z102" s="13">
        <v>0</v>
      </c>
      <c r="AA102" s="13">
        <v>0</v>
      </c>
      <c r="AB102" s="13">
        <v>0</v>
      </c>
      <c r="AC102" s="13">
        <v>0</v>
      </c>
    </row>
    <row r="103" spans="1:29" x14ac:dyDescent="0.25">
      <c r="A103" s="3">
        <v>1.2376624736910001E+18</v>
      </c>
      <c r="B103" s="3">
        <v>236.36196000000001</v>
      </c>
      <c r="C103" s="3">
        <v>36.155037</v>
      </c>
      <c r="D103" s="16">
        <v>6.8889779999999998E-2</v>
      </c>
      <c r="E103" s="3">
        <v>1.8213399999999993</v>
      </c>
      <c r="F103" s="3">
        <v>2.6524799999999971</v>
      </c>
      <c r="G103" s="3">
        <v>3.040619999999997</v>
      </c>
      <c r="H103" s="3">
        <v>3.3378999999999976</v>
      </c>
      <c r="I103" s="3">
        <v>0.83113999999999777</v>
      </c>
      <c r="J103" s="3">
        <v>1.2192799999999977</v>
      </c>
      <c r="K103" s="3">
        <v>1.5165599999999984</v>
      </c>
      <c r="L103" s="3">
        <v>0.38813999999999993</v>
      </c>
      <c r="M103" s="3">
        <v>0.68542000000000058</v>
      </c>
      <c r="N103" s="3">
        <v>0.29728000000000065</v>
      </c>
      <c r="Q103" s="13">
        <v>2.4659676790274045</v>
      </c>
      <c r="R103" s="13">
        <v>-0.32456755308667434</v>
      </c>
      <c r="S103" s="13">
        <v>0.6608029969672734</v>
      </c>
      <c r="T103" s="13">
        <v>-0.31566293369334308</v>
      </c>
      <c r="U103" s="13">
        <v>0.12496702777244736</v>
      </c>
      <c r="V103" s="13">
        <v>-0.28823952538849884</v>
      </c>
      <c r="W103" s="13">
        <v>8.8457624434517448E-2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</row>
    <row r="104" spans="1:29" x14ac:dyDescent="0.25">
      <c r="A104" s="3">
        <v>1.23766247315406E+18</v>
      </c>
      <c r="B104" s="3">
        <v>236.03241</v>
      </c>
      <c r="C104" s="3">
        <v>36.017156</v>
      </c>
      <c r="D104" s="16">
        <v>6.8977289999999997E-2</v>
      </c>
      <c r="E104" s="3">
        <v>1.7911199999999994</v>
      </c>
      <c r="F104" s="3">
        <v>2.6652400000000007</v>
      </c>
      <c r="G104" s="3">
        <v>3.1387599999999978</v>
      </c>
      <c r="H104" s="3">
        <v>3.4508799999999979</v>
      </c>
      <c r="I104" s="3">
        <v>0.87412000000000134</v>
      </c>
      <c r="J104" s="3">
        <v>1.3476399999999984</v>
      </c>
      <c r="K104" s="3">
        <v>1.6597599999999986</v>
      </c>
      <c r="L104" s="3">
        <v>0.47351999999999705</v>
      </c>
      <c r="M104" s="3">
        <v>0.78563999999999723</v>
      </c>
      <c r="N104" s="3">
        <v>0.31212000000000018</v>
      </c>
      <c r="Q104" s="13">
        <v>2.7124186957461247</v>
      </c>
      <c r="R104" s="13">
        <v>-0.19293443376184732</v>
      </c>
      <c r="S104" s="13">
        <v>1.4497408242898862</v>
      </c>
      <c r="T104" s="13">
        <v>-0.19856515075233147</v>
      </c>
      <c r="U104" s="13">
        <v>-7.3030281646320264E-2</v>
      </c>
      <c r="V104" s="13">
        <v>-4.9075257119282484E-2</v>
      </c>
      <c r="W104" s="13">
        <v>0.13163007224251008</v>
      </c>
      <c r="X104" s="13">
        <v>0</v>
      </c>
      <c r="Y104" s="13">
        <v>0</v>
      </c>
      <c r="Z104" s="13">
        <v>0</v>
      </c>
      <c r="AA104" s="13">
        <v>0</v>
      </c>
      <c r="AB104" s="13">
        <v>0</v>
      </c>
      <c r="AC104" s="13">
        <v>0</v>
      </c>
    </row>
    <row r="105" spans="1:29" x14ac:dyDescent="0.25">
      <c r="A105" s="3">
        <v>1.2376614659861299E+18</v>
      </c>
      <c r="B105" s="3">
        <v>235.89382000000001</v>
      </c>
      <c r="C105" s="3">
        <v>35.877684000000002</v>
      </c>
      <c r="D105" s="16">
        <v>6.9098850000000003E-2</v>
      </c>
      <c r="E105" s="3">
        <v>1.4157999999999973</v>
      </c>
      <c r="F105" s="3">
        <v>2.083319999999997</v>
      </c>
      <c r="G105" s="3">
        <v>2.4720899999999979</v>
      </c>
      <c r="H105" s="3">
        <v>2.7341799999999985</v>
      </c>
      <c r="I105" s="3">
        <v>0.66751999999999967</v>
      </c>
      <c r="J105" s="3">
        <v>1.0562900000000006</v>
      </c>
      <c r="K105" s="3">
        <v>1.3183800000000012</v>
      </c>
      <c r="L105" s="3">
        <v>0.38877000000000095</v>
      </c>
      <c r="M105" s="3">
        <v>0.65086000000000155</v>
      </c>
      <c r="N105" s="3">
        <v>0.2620900000000006</v>
      </c>
      <c r="Q105" s="13">
        <v>2.3588611714367991</v>
      </c>
      <c r="R105" s="13">
        <v>-0.49618287623231955</v>
      </c>
      <c r="S105" s="13">
        <v>0.37751824357513813</v>
      </c>
      <c r="T105" s="13">
        <v>-0.93229016276286591</v>
      </c>
      <c r="U105" s="13">
        <v>0.13903988783147805</v>
      </c>
      <c r="V105" s="13">
        <v>-0.26804920504902285</v>
      </c>
      <c r="W105" s="13">
        <v>0.10552850688435983</v>
      </c>
      <c r="X105" s="13">
        <v>0</v>
      </c>
      <c r="Y105" s="13">
        <v>0</v>
      </c>
      <c r="Z105" s="13">
        <v>0</v>
      </c>
      <c r="AA105" s="13">
        <v>0</v>
      </c>
      <c r="AB105" s="13">
        <v>0</v>
      </c>
      <c r="AC105" s="13">
        <v>0</v>
      </c>
    </row>
    <row r="106" spans="1:29" x14ac:dyDescent="0.25">
      <c r="A106" s="3">
        <v>1.2376625032189E+18</v>
      </c>
      <c r="B106" s="3">
        <v>236.28028</v>
      </c>
      <c r="C106" s="3">
        <v>36.090775999999998</v>
      </c>
      <c r="D106" s="16">
        <v>6.9101659999999995E-2</v>
      </c>
      <c r="E106" s="3">
        <v>1.8897899999999979</v>
      </c>
      <c r="F106" s="3">
        <v>2.8221600000000002</v>
      </c>
      <c r="G106" s="3">
        <v>3.2669999999999995</v>
      </c>
      <c r="H106" s="3">
        <v>3.6051099999999998</v>
      </c>
      <c r="I106" s="3">
        <v>0.93237000000000236</v>
      </c>
      <c r="J106" s="3">
        <v>1.3772100000000016</v>
      </c>
      <c r="K106" s="3">
        <v>1.715320000000002</v>
      </c>
      <c r="L106" s="3">
        <v>0.44483999999999924</v>
      </c>
      <c r="M106" s="3">
        <v>0.78294999999999959</v>
      </c>
      <c r="N106" s="3">
        <v>0.33811000000000035</v>
      </c>
      <c r="Q106" s="13">
        <v>4.4711824621717806</v>
      </c>
      <c r="R106" s="13">
        <v>1.6151893849236041</v>
      </c>
      <c r="S106" s="13">
        <v>0.6650428229708456</v>
      </c>
      <c r="T106" s="13">
        <v>1.5235480665729157</v>
      </c>
      <c r="U106" s="13">
        <v>5.1123638949962497E-2</v>
      </c>
      <c r="V106" s="13">
        <v>0.47853687533292466</v>
      </c>
      <c r="W106" s="13">
        <v>0.30974806890237405</v>
      </c>
      <c r="X106" s="13">
        <v>0</v>
      </c>
      <c r="Y106" s="13">
        <v>0</v>
      </c>
      <c r="Z106" s="13">
        <v>0</v>
      </c>
      <c r="AA106" s="13">
        <v>0</v>
      </c>
      <c r="AB106" s="13">
        <v>0</v>
      </c>
      <c r="AC106" s="13">
        <v>0</v>
      </c>
    </row>
    <row r="107" spans="1:29" x14ac:dyDescent="0.25">
      <c r="A107" s="3">
        <v>1.2376623378635799E+18</v>
      </c>
      <c r="B107" s="3">
        <v>235.88793999999999</v>
      </c>
      <c r="C107" s="3">
        <v>35.759864999999998</v>
      </c>
      <c r="D107" s="16">
        <v>6.9166039999999998E-2</v>
      </c>
      <c r="E107" s="3">
        <v>1.9090199999999982</v>
      </c>
      <c r="F107" s="3">
        <v>2.7794199999999982</v>
      </c>
      <c r="G107" s="3">
        <v>3.1769099999999995</v>
      </c>
      <c r="H107" s="3">
        <v>3.4670599999999983</v>
      </c>
      <c r="I107" s="3">
        <v>0.87040000000000006</v>
      </c>
      <c r="J107" s="3">
        <v>1.2678900000000013</v>
      </c>
      <c r="K107" s="3">
        <v>1.5580400000000001</v>
      </c>
      <c r="L107" s="3">
        <v>0.39749000000000123</v>
      </c>
      <c r="M107" s="3">
        <v>0.68764000000000003</v>
      </c>
      <c r="N107" s="3">
        <v>0.2901499999999988</v>
      </c>
      <c r="Q107" s="13">
        <v>2.6723635385181903</v>
      </c>
      <c r="R107" s="13">
        <v>-8.8825125915228745E-2</v>
      </c>
      <c r="S107" s="13">
        <v>0.68251644211626239</v>
      </c>
      <c r="T107" s="13">
        <v>2.1040149286459746</v>
      </c>
      <c r="U107" s="13">
        <v>0.14735824054876373</v>
      </c>
      <c r="V107" s="13">
        <v>-0.22854172045828788</v>
      </c>
      <c r="W107" s="13">
        <v>0.15835063552062079</v>
      </c>
      <c r="X107" s="13">
        <v>0</v>
      </c>
      <c r="Y107" s="13">
        <v>0</v>
      </c>
      <c r="Z107" s="13">
        <v>0</v>
      </c>
      <c r="AA107" s="13">
        <v>0</v>
      </c>
      <c r="AB107" s="13">
        <v>0</v>
      </c>
      <c r="AC107" s="13">
        <v>0</v>
      </c>
    </row>
    <row r="108" spans="1:29" x14ac:dyDescent="0.25">
      <c r="A108" s="3">
        <v>1.2376614659863301E+18</v>
      </c>
      <c r="B108" s="3">
        <v>236.30957000000001</v>
      </c>
      <c r="C108" s="3">
        <v>35.697831999999998</v>
      </c>
      <c r="D108" s="16">
        <v>6.9270659999999998E-2</v>
      </c>
      <c r="E108" s="3">
        <v>1.9167699999999996</v>
      </c>
      <c r="F108" s="3">
        <v>2.8183199999999999</v>
      </c>
      <c r="G108" s="3">
        <v>3.2471199999999989</v>
      </c>
      <c r="H108" s="3">
        <v>3.5528300000000002</v>
      </c>
      <c r="I108" s="3">
        <v>0.9015500000000003</v>
      </c>
      <c r="J108" s="3">
        <v>1.3303499999999993</v>
      </c>
      <c r="K108" s="3">
        <v>1.6360600000000005</v>
      </c>
      <c r="L108" s="3">
        <v>0.42879999999999896</v>
      </c>
      <c r="M108" s="3">
        <v>0.73451000000000022</v>
      </c>
      <c r="N108" s="3">
        <v>0.30571000000000126</v>
      </c>
      <c r="Q108" s="13">
        <v>2.5163722852844796</v>
      </c>
      <c r="R108" s="13">
        <v>-0.13641904962855592</v>
      </c>
      <c r="S108" s="13">
        <v>0.73757206588677626</v>
      </c>
      <c r="T108" s="13">
        <v>1.7699437754529508</v>
      </c>
      <c r="U108" s="13">
        <v>5.6009107040381229E-2</v>
      </c>
      <c r="V108" s="13">
        <v>-0.29724937932082213</v>
      </c>
      <c r="W108" s="13">
        <v>0.13327686659327515</v>
      </c>
      <c r="X108" s="13">
        <v>0</v>
      </c>
      <c r="Y108" s="13">
        <v>0</v>
      </c>
      <c r="Z108" s="13">
        <v>0</v>
      </c>
      <c r="AA108" s="13">
        <v>0</v>
      </c>
      <c r="AB108" s="13">
        <v>0</v>
      </c>
      <c r="AC108" s="13">
        <v>0</v>
      </c>
    </row>
    <row r="109" spans="1:29" x14ac:dyDescent="0.25">
      <c r="A109" s="3">
        <v>1.2376624736909299E+18</v>
      </c>
      <c r="B109" s="3">
        <v>236.19955999999999</v>
      </c>
      <c r="C109" s="3">
        <v>36.264617999999999</v>
      </c>
      <c r="D109" s="16">
        <v>6.9475839999999997E-2</v>
      </c>
      <c r="E109" s="3">
        <v>1.72682</v>
      </c>
      <c r="F109" s="3">
        <v>2.5693999999999981</v>
      </c>
      <c r="G109" s="3">
        <v>2.9609699999999997</v>
      </c>
      <c r="H109" s="3">
        <v>3.2605900000000005</v>
      </c>
      <c r="I109" s="3">
        <v>0.84257999999999811</v>
      </c>
      <c r="J109" s="3">
        <v>1.2341499999999996</v>
      </c>
      <c r="K109" s="3">
        <v>1.5337700000000005</v>
      </c>
      <c r="L109" s="3">
        <v>0.39157000000000153</v>
      </c>
      <c r="M109" s="3">
        <v>0.69119000000000241</v>
      </c>
      <c r="N109" s="3">
        <v>0.29962000000000089</v>
      </c>
      <c r="Q109" s="13">
        <v>2.4203967620226825</v>
      </c>
      <c r="R109" s="13">
        <v>-0.34054108055450949</v>
      </c>
      <c r="S109" s="13">
        <v>0.63530323847568804</v>
      </c>
      <c r="T109" s="13">
        <v>0.13063676597155721</v>
      </c>
      <c r="U109" s="13">
        <v>8.4239944504653927E-2</v>
      </c>
      <c r="V109" s="13">
        <v>-0.22696635207960791</v>
      </c>
      <c r="W109" s="13">
        <v>0.15100272593890043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</row>
    <row r="110" spans="1:29" x14ac:dyDescent="0.25">
      <c r="A110" s="3">
        <v>1.2376625032188301E+18</v>
      </c>
      <c r="B110" s="3">
        <v>236.20070000000001</v>
      </c>
      <c r="C110" s="3">
        <v>36.100549000000001</v>
      </c>
      <c r="D110" s="16">
        <v>6.9494669999999995E-2</v>
      </c>
      <c r="E110" s="3">
        <v>1.9367800000000024</v>
      </c>
      <c r="F110" s="3">
        <v>2.839739999999999</v>
      </c>
      <c r="G110" s="3">
        <v>3.282980000000002</v>
      </c>
      <c r="H110" s="3">
        <v>3.5942500000000024</v>
      </c>
      <c r="I110" s="3">
        <v>0.90295999999999665</v>
      </c>
      <c r="J110" s="3">
        <v>1.3461999999999996</v>
      </c>
      <c r="K110" s="3">
        <v>1.65747</v>
      </c>
      <c r="L110" s="3">
        <v>0.44324000000000296</v>
      </c>
      <c r="M110" s="3">
        <v>0.75451000000000334</v>
      </c>
      <c r="N110" s="3">
        <v>0.31127000000000038</v>
      </c>
      <c r="Q110" s="13">
        <v>2.6339482051371808</v>
      </c>
      <c r="R110" s="13">
        <v>-0.19428994544810682</v>
      </c>
      <c r="S110" s="13">
        <v>4.6123537837104676E-2</v>
      </c>
      <c r="T110" s="13">
        <v>0.54151967105425747</v>
      </c>
      <c r="U110" s="13">
        <v>9.5636176439552481E-2</v>
      </c>
      <c r="V110" s="13">
        <v>-0.21512899436854177</v>
      </c>
      <c r="W110" s="13">
        <v>0.13079571547139965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</row>
    <row r="111" spans="1:29" x14ac:dyDescent="0.25">
      <c r="A111" s="3">
        <v>1.23766247315406E+18</v>
      </c>
      <c r="B111" s="3">
        <v>236.11779000000001</v>
      </c>
      <c r="C111" s="3">
        <v>35.985916000000003</v>
      </c>
      <c r="D111" s="16">
        <v>6.9518380000000005E-2</v>
      </c>
      <c r="E111" s="3">
        <v>1.5199800000000003</v>
      </c>
      <c r="F111" s="3">
        <v>2.155190000000001</v>
      </c>
      <c r="G111" s="3">
        <v>2.4218000000000011</v>
      </c>
      <c r="H111" s="3">
        <v>2.6474200000000003</v>
      </c>
      <c r="I111" s="3">
        <v>0.63521000000000072</v>
      </c>
      <c r="J111" s="3">
        <v>0.90182000000000073</v>
      </c>
      <c r="K111" s="3">
        <v>1.12744</v>
      </c>
      <c r="L111" s="3">
        <v>0.26661000000000001</v>
      </c>
      <c r="M111" s="3">
        <v>0.49222999999999928</v>
      </c>
      <c r="N111" s="3">
        <v>0.22561999999999927</v>
      </c>
      <c r="Q111" s="13">
        <v>2.3434342052231609</v>
      </c>
      <c r="R111" s="13">
        <v>-0.28656459642063503</v>
      </c>
      <c r="S111" s="13">
        <v>-5.8104556039857959E-2</v>
      </c>
      <c r="T111" s="13">
        <v>0.37082373917687822</v>
      </c>
      <c r="U111" s="13">
        <v>0.24103075584523584</v>
      </c>
      <c r="V111" s="13">
        <v>-0.3754789089687538</v>
      </c>
      <c r="W111" s="13">
        <v>0.1451269010126813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</row>
    <row r="112" spans="1:29" x14ac:dyDescent="0.25">
      <c r="A112" s="3">
        <v>1.2376624736910001E+18</v>
      </c>
      <c r="B112" s="3">
        <v>236.44767999999999</v>
      </c>
      <c r="C112" s="3">
        <v>36.254269000000001</v>
      </c>
      <c r="D112" s="16">
        <v>6.9524959999999997E-2</v>
      </c>
      <c r="E112" s="3">
        <v>1.7307799999999993</v>
      </c>
      <c r="F112" s="3">
        <v>2.5426099999999998</v>
      </c>
      <c r="G112" s="3">
        <v>2.907709999999998</v>
      </c>
      <c r="H112" s="3">
        <v>3.2039099999999987</v>
      </c>
      <c r="I112" s="3">
        <v>0.8118300000000005</v>
      </c>
      <c r="J112" s="3">
        <v>1.1769299999999987</v>
      </c>
      <c r="K112" s="3">
        <v>1.4731299999999994</v>
      </c>
      <c r="L112" s="3">
        <v>0.3650999999999982</v>
      </c>
      <c r="M112" s="3">
        <v>0.66129999999999889</v>
      </c>
      <c r="N112" s="3">
        <v>0.29620000000000068</v>
      </c>
      <c r="Q112" s="13">
        <v>2.7544103213449374</v>
      </c>
      <c r="R112" s="13">
        <v>-0.12593767537940204</v>
      </c>
      <c r="S112" s="13">
        <v>0.44817890139696653</v>
      </c>
      <c r="T112" s="13">
        <v>-1.2956408755767386</v>
      </c>
      <c r="U112" s="13">
        <v>2.1512186000511174E-2</v>
      </c>
      <c r="V112" s="13">
        <v>-0.1118256195960436</v>
      </c>
      <c r="W112" s="13">
        <v>0.10550157237333109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</row>
    <row r="113" spans="1:29" x14ac:dyDescent="0.25">
      <c r="A113" s="3">
        <v>1.2376625032188301E+18</v>
      </c>
      <c r="B113" s="3">
        <v>236.18898999999999</v>
      </c>
      <c r="C113" s="3">
        <v>36.075564999999997</v>
      </c>
      <c r="D113" s="16">
        <v>6.9587010000000005E-2</v>
      </c>
      <c r="E113" s="3">
        <v>2.0155799999999999</v>
      </c>
      <c r="F113" s="3">
        <v>2.9882999999999988</v>
      </c>
      <c r="G113" s="3">
        <v>3.4763599999999979</v>
      </c>
      <c r="H113" s="3">
        <v>3.8529199999999992</v>
      </c>
      <c r="I113" s="3">
        <v>0.97271999999999892</v>
      </c>
      <c r="J113" s="3">
        <v>1.460779999999998</v>
      </c>
      <c r="K113" s="3">
        <v>1.8373399999999993</v>
      </c>
      <c r="L113" s="3">
        <v>0.48805999999999905</v>
      </c>
      <c r="M113" s="3">
        <v>0.86462000000000039</v>
      </c>
      <c r="N113" s="3">
        <v>0.37656000000000134</v>
      </c>
      <c r="Q113" s="13">
        <v>4.8004232446318698</v>
      </c>
      <c r="R113" s="13">
        <v>0.89649895871328844</v>
      </c>
      <c r="S113" s="13">
        <v>-0.73161519420441168</v>
      </c>
      <c r="T113" s="13">
        <v>0.20747414447270607</v>
      </c>
      <c r="U113" s="13">
        <v>0.25571807903948646</v>
      </c>
      <c r="V113" s="13">
        <v>0.58223635062564971</v>
      </c>
      <c r="W113" s="13">
        <v>0.10858597782139734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</row>
    <row r="114" spans="1:29" x14ac:dyDescent="0.25">
      <c r="A114" s="3">
        <v>1.2376625032189701E+18</v>
      </c>
      <c r="B114" s="3">
        <v>236.47274999999999</v>
      </c>
      <c r="C114" s="3">
        <v>35.867583000000003</v>
      </c>
      <c r="D114" s="16">
        <v>6.9827539999999994E-2</v>
      </c>
      <c r="E114" s="3">
        <v>1.9350500000000004</v>
      </c>
      <c r="F114" s="3">
        <v>2.8243800000000014</v>
      </c>
      <c r="G114" s="3">
        <v>3.2430900000000022</v>
      </c>
      <c r="H114" s="3">
        <v>3.5643600000000024</v>
      </c>
      <c r="I114" s="3">
        <v>0.88933000000000106</v>
      </c>
      <c r="J114" s="3">
        <v>1.3080400000000019</v>
      </c>
      <c r="K114" s="3">
        <v>1.629310000000002</v>
      </c>
      <c r="L114" s="3">
        <v>0.4187100000000008</v>
      </c>
      <c r="M114" s="3">
        <v>0.73998000000000097</v>
      </c>
      <c r="N114" s="3">
        <v>0.32127000000000017</v>
      </c>
      <c r="Q114" s="13">
        <v>2.7948532211070818</v>
      </c>
      <c r="R114" s="13">
        <v>-0.46759060705650829</v>
      </c>
      <c r="S114" s="13">
        <v>1.5535360491171384</v>
      </c>
      <c r="T114" s="13">
        <v>-1.0596486822295197</v>
      </c>
      <c r="U114" s="13">
        <v>-5.0810990505219034E-2</v>
      </c>
      <c r="V114" s="13">
        <v>-3.8828993379272855E-2</v>
      </c>
      <c r="W114" s="13">
        <v>8.5142617252049191E-3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</row>
    <row r="115" spans="1:29" x14ac:dyDescent="0.25">
      <c r="A115" s="3">
        <v>1.2376625032188301E+18</v>
      </c>
      <c r="B115" s="3">
        <v>236.28272999999999</v>
      </c>
      <c r="C115" s="3">
        <v>36.146397999999998</v>
      </c>
      <c r="D115" s="16">
        <v>6.9879839999999999E-2</v>
      </c>
      <c r="E115" s="3">
        <v>2.05105</v>
      </c>
      <c r="F115" s="3">
        <v>2.9937299999999993</v>
      </c>
      <c r="G115" s="3">
        <v>3.4453800000000001</v>
      </c>
      <c r="H115" s="3">
        <v>3.794789999999999</v>
      </c>
      <c r="I115" s="3">
        <v>0.9426799999999993</v>
      </c>
      <c r="J115" s="3">
        <v>1.3943300000000001</v>
      </c>
      <c r="K115" s="3">
        <v>1.743739999999999</v>
      </c>
      <c r="L115" s="3">
        <v>0.45165000000000077</v>
      </c>
      <c r="M115" s="3">
        <v>0.80105999999999966</v>
      </c>
      <c r="N115" s="3">
        <v>0.34940999999999889</v>
      </c>
      <c r="Q115" s="13">
        <v>3.8317643723093746</v>
      </c>
      <c r="R115" s="13">
        <v>0.6314194646861665</v>
      </c>
      <c r="S115" s="13">
        <v>0.84971941206446233</v>
      </c>
      <c r="T115" s="13">
        <v>1.6397168746889006</v>
      </c>
      <c r="U115" s="13">
        <v>3.937938973366148E-2</v>
      </c>
      <c r="V115" s="13">
        <v>0.19640648606521871</v>
      </c>
      <c r="W115" s="13">
        <v>0.10905596963128737</v>
      </c>
      <c r="X115" s="13">
        <v>0</v>
      </c>
      <c r="Y115" s="13">
        <v>0</v>
      </c>
      <c r="Z115" s="13">
        <v>0</v>
      </c>
      <c r="AA115" s="13">
        <v>0</v>
      </c>
      <c r="AB115" s="13">
        <v>0</v>
      </c>
      <c r="AC115" s="13">
        <v>0</v>
      </c>
    </row>
    <row r="116" spans="1:29" x14ac:dyDescent="0.25">
      <c r="A116" s="3">
        <v>1.2376625032188301E+18</v>
      </c>
      <c r="B116" s="3">
        <v>236.16618</v>
      </c>
      <c r="C116" s="3">
        <v>36.115782000000003</v>
      </c>
      <c r="D116" s="16">
        <v>6.9903430000000003E-2</v>
      </c>
      <c r="E116" s="3">
        <v>1.87941</v>
      </c>
      <c r="F116" s="3">
        <v>2.788219999999999</v>
      </c>
      <c r="G116" s="3">
        <v>3.2105400000000017</v>
      </c>
      <c r="H116" s="3">
        <v>3.5251200000000011</v>
      </c>
      <c r="I116" s="3">
        <v>0.90880999999999901</v>
      </c>
      <c r="J116" s="3">
        <v>1.3311300000000017</v>
      </c>
      <c r="K116" s="3">
        <v>1.6457100000000011</v>
      </c>
      <c r="L116" s="3">
        <v>0.42232000000000269</v>
      </c>
      <c r="M116" s="3">
        <v>0.73690000000000211</v>
      </c>
      <c r="N116" s="3">
        <v>0.31457999999999942</v>
      </c>
      <c r="Q116" s="13">
        <v>2.7643371058624875</v>
      </c>
      <c r="R116" s="13">
        <v>4.9207450756514379E-2</v>
      </c>
      <c r="S116" s="13">
        <v>0.88998036736254038</v>
      </c>
      <c r="T116" s="13">
        <v>1.5916016925275436</v>
      </c>
      <c r="U116" s="13">
        <v>0.12663091684111599</v>
      </c>
      <c r="V116" s="13">
        <v>-0.28372469923511706</v>
      </c>
      <c r="W116" s="13">
        <v>8.210141180257631E-2</v>
      </c>
      <c r="X116" s="13">
        <v>0</v>
      </c>
      <c r="Y116" s="13">
        <v>0</v>
      </c>
      <c r="Z116" s="13">
        <v>0</v>
      </c>
      <c r="AA116" s="13">
        <v>0</v>
      </c>
      <c r="AB116" s="13">
        <v>0</v>
      </c>
      <c r="AC116" s="13">
        <v>0</v>
      </c>
    </row>
    <row r="117" spans="1:29" x14ac:dyDescent="0.25">
      <c r="A117" s="3">
        <v>1.2376625032188301E+18</v>
      </c>
      <c r="B117" s="3">
        <v>236.21960000000001</v>
      </c>
      <c r="C117" s="3">
        <v>36.069102999999998</v>
      </c>
      <c r="D117" s="16">
        <v>7.0070649999999998E-2</v>
      </c>
      <c r="E117" s="3">
        <v>1.9077300000000008</v>
      </c>
      <c r="F117" s="3">
        <v>2.7561300000000024</v>
      </c>
      <c r="G117" s="3">
        <v>3.1597200000000001</v>
      </c>
      <c r="H117" s="3">
        <v>3.4456799999999994</v>
      </c>
      <c r="I117" s="3">
        <v>0.8484000000000016</v>
      </c>
      <c r="J117" s="3">
        <v>1.2519899999999993</v>
      </c>
      <c r="K117" s="3">
        <v>1.5379499999999986</v>
      </c>
      <c r="L117" s="3">
        <v>0.40358999999999767</v>
      </c>
      <c r="M117" s="3">
        <v>0.689549999999997</v>
      </c>
      <c r="N117" s="3">
        <v>0.28595999999999933</v>
      </c>
      <c r="Q117" s="13">
        <v>2.8567750034698114</v>
      </c>
      <c r="R117" s="13">
        <v>-0.21326224465977367</v>
      </c>
      <c r="S117" s="13">
        <v>-0.43003333323201809</v>
      </c>
      <c r="T117" s="13">
        <v>0.69929613668319368</v>
      </c>
      <c r="U117" s="13">
        <v>0.26223102181497909</v>
      </c>
      <c r="V117" s="13">
        <v>-0.20921896497010739</v>
      </c>
      <c r="W117" s="13">
        <v>8.0310092180297693E-2</v>
      </c>
      <c r="X117" s="13">
        <v>0</v>
      </c>
      <c r="Y117" s="13">
        <v>0</v>
      </c>
      <c r="Z117" s="13">
        <v>0</v>
      </c>
      <c r="AA117" s="13">
        <v>0</v>
      </c>
      <c r="AB117" s="13">
        <v>0</v>
      </c>
      <c r="AC117" s="13">
        <v>0</v>
      </c>
    </row>
    <row r="118" spans="1:29" x14ac:dyDescent="0.25">
      <c r="A118" s="3">
        <v>1.2376625037557701E+18</v>
      </c>
      <c r="B118" s="3">
        <v>236.68040999999999</v>
      </c>
      <c r="C118" s="3">
        <v>36.370685999999999</v>
      </c>
      <c r="D118" s="16">
        <v>7.0162059999999998E-2</v>
      </c>
      <c r="E118" s="3">
        <v>2.013539999999999</v>
      </c>
      <c r="F118" s="3">
        <v>2.9621999999999993</v>
      </c>
      <c r="G118" s="3">
        <v>3.5021599999999999</v>
      </c>
      <c r="H118" s="3">
        <v>3.9202100000000009</v>
      </c>
      <c r="I118" s="3">
        <v>0.94866000000000028</v>
      </c>
      <c r="J118" s="3">
        <v>1.4886200000000009</v>
      </c>
      <c r="K118" s="3">
        <v>1.9066700000000019</v>
      </c>
      <c r="L118" s="3">
        <v>0.53996000000000066</v>
      </c>
      <c r="M118" s="3">
        <v>0.95801000000000158</v>
      </c>
      <c r="N118" s="3">
        <v>0.41805000000000092</v>
      </c>
      <c r="Q118" s="13">
        <v>2.5010017841444916</v>
      </c>
      <c r="R118" s="13">
        <v>0.25279408129478936</v>
      </c>
      <c r="S118" s="13">
        <v>0.15113514828800437</v>
      </c>
      <c r="T118" s="13">
        <v>0.82068818606745009</v>
      </c>
      <c r="U118" s="13">
        <v>0.36647378683408516</v>
      </c>
      <c r="V118" s="13">
        <v>-0.48608363495462553</v>
      </c>
      <c r="W118" s="13">
        <v>0.15620528561176009</v>
      </c>
      <c r="X118" s="13">
        <v>0</v>
      </c>
      <c r="Y118" s="13">
        <v>0</v>
      </c>
      <c r="Z118" s="13">
        <v>0</v>
      </c>
      <c r="AA118" s="13">
        <v>0</v>
      </c>
      <c r="AB118" s="13">
        <v>0</v>
      </c>
      <c r="AC118" s="13">
        <v>0</v>
      </c>
    </row>
    <row r="119" spans="1:29" x14ac:dyDescent="0.25">
      <c r="A119" s="3">
        <v>1.2376625032189701E+18</v>
      </c>
      <c r="B119" s="3">
        <v>236.46317999999999</v>
      </c>
      <c r="C119" s="3">
        <v>35.880783000000001</v>
      </c>
      <c r="D119" s="16">
        <v>7.0235480000000003E-2</v>
      </c>
      <c r="E119" s="3">
        <v>1.2341000000000015</v>
      </c>
      <c r="F119" s="3">
        <v>1.7068900000000014</v>
      </c>
      <c r="G119" s="3">
        <v>1.9939</v>
      </c>
      <c r="H119" s="3">
        <v>2.1535399999999996</v>
      </c>
      <c r="I119" s="3">
        <v>0.47278999999999982</v>
      </c>
      <c r="J119" s="3">
        <v>0.75979999999999848</v>
      </c>
      <c r="K119" s="3">
        <v>0.91943999999999804</v>
      </c>
      <c r="L119" s="3">
        <v>0.28700999999999866</v>
      </c>
      <c r="M119" s="3">
        <v>0.44664999999999822</v>
      </c>
      <c r="N119" s="3">
        <v>0.15963999999999956</v>
      </c>
      <c r="Q119" s="13">
        <v>2.3224824060832714</v>
      </c>
      <c r="R119" s="13">
        <v>-0.22473323976204082</v>
      </c>
      <c r="S119" s="13">
        <v>0.27680094150374063</v>
      </c>
      <c r="T119" s="13">
        <v>0.24998525230852731</v>
      </c>
      <c r="U119" s="13">
        <v>0.17257784370421336</v>
      </c>
      <c r="V119" s="13">
        <v>-0.31085114576660405</v>
      </c>
      <c r="W119" s="13">
        <v>0.187691441864105</v>
      </c>
      <c r="X119" s="13">
        <v>0</v>
      </c>
      <c r="Y119" s="13">
        <v>0</v>
      </c>
      <c r="Z119" s="13">
        <v>0</v>
      </c>
      <c r="AA119" s="13">
        <v>0</v>
      </c>
      <c r="AB119" s="13">
        <v>0</v>
      </c>
      <c r="AC119" s="13">
        <v>0</v>
      </c>
    </row>
    <row r="120" spans="1:29" x14ac:dyDescent="0.25">
      <c r="A120" s="3">
        <v>1.2376625032189E+18</v>
      </c>
      <c r="B120" s="3">
        <v>236.30726000000001</v>
      </c>
      <c r="C120" s="3">
        <v>35.975124000000001</v>
      </c>
      <c r="D120" s="16">
        <v>7.2928850000000003E-2</v>
      </c>
      <c r="E120" s="3">
        <v>1.6879799999999996</v>
      </c>
      <c r="F120" s="3">
        <v>2.5587699999999991</v>
      </c>
      <c r="G120" s="3">
        <v>2.9646799999999978</v>
      </c>
      <c r="H120" s="3">
        <v>3.2880499999999984</v>
      </c>
      <c r="I120" s="3">
        <v>0.87078999999999951</v>
      </c>
      <c r="J120" s="3">
        <v>1.2766999999999982</v>
      </c>
      <c r="K120" s="3">
        <v>1.6000699999999988</v>
      </c>
      <c r="L120" s="3">
        <v>0.40590999999999866</v>
      </c>
      <c r="M120" s="3">
        <v>0.72927999999999926</v>
      </c>
      <c r="N120" s="3">
        <v>0.3233700000000006</v>
      </c>
      <c r="Q120" s="13">
        <v>2.7547145733009573</v>
      </c>
      <c r="R120" s="13">
        <v>-5.9527961586132307E-2</v>
      </c>
      <c r="S120" s="13">
        <v>0.94828291138221532</v>
      </c>
      <c r="T120" s="13">
        <v>1.7473763739328998</v>
      </c>
      <c r="U120" s="13">
        <v>9.2768626416286151E-2</v>
      </c>
      <c r="V120" s="13">
        <v>-0.24734535388259341</v>
      </c>
      <c r="W120" s="13">
        <v>7.9050720174524677E-2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</row>
    <row r="121" spans="1:29" x14ac:dyDescent="0.25">
      <c r="A121" s="3">
        <v>1.2376625032189E+18</v>
      </c>
      <c r="B121" s="3">
        <v>236.25632999999999</v>
      </c>
      <c r="C121" s="3">
        <v>35.971592999999999</v>
      </c>
      <c r="D121" s="16">
        <v>7.3039900000000005E-2</v>
      </c>
      <c r="E121" s="3">
        <v>1.8752199999999988</v>
      </c>
      <c r="F121" s="3">
        <v>2.7383799999999994</v>
      </c>
      <c r="G121" s="3">
        <v>3.1311399999999985</v>
      </c>
      <c r="H121" s="3">
        <v>3.4303999999999988</v>
      </c>
      <c r="I121" s="3">
        <v>0.86316000000000059</v>
      </c>
      <c r="J121" s="3">
        <v>1.2559199999999997</v>
      </c>
      <c r="K121" s="3">
        <v>1.55518</v>
      </c>
      <c r="L121" s="3">
        <v>0.39275999999999911</v>
      </c>
      <c r="M121" s="3">
        <v>0.69201999999999941</v>
      </c>
      <c r="N121" s="3">
        <v>0.2992600000000003</v>
      </c>
      <c r="Q121" s="13">
        <v>3.7248535378976135</v>
      </c>
      <c r="R121" s="13">
        <v>0.53795839410107327</v>
      </c>
      <c r="S121" s="13">
        <v>-2.9091333517190187E-2</v>
      </c>
      <c r="T121" s="13">
        <v>-1.6557059535996972</v>
      </c>
      <c r="U121" s="13">
        <v>0.19739386564350164</v>
      </c>
      <c r="V121" s="13">
        <v>0.12403462039292745</v>
      </c>
      <c r="W121" s="13">
        <v>6.7286004791812543E-2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</row>
    <row r="122" spans="1:29" x14ac:dyDescent="0.25">
      <c r="A122" s="3">
        <v>1.2376624736908001E+18</v>
      </c>
      <c r="B122" s="3">
        <v>236.01910000000001</v>
      </c>
      <c r="C122" s="3">
        <v>36.502639000000002</v>
      </c>
      <c r="D122" s="16">
        <v>7.6159580000000004E-2</v>
      </c>
      <c r="E122" s="3">
        <v>2.2064500000000002</v>
      </c>
      <c r="F122" s="3">
        <v>3.2058199999999992</v>
      </c>
      <c r="G122" s="3">
        <v>3.6615900000000003</v>
      </c>
      <c r="H122" s="3">
        <v>4.014050000000001</v>
      </c>
      <c r="I122" s="3">
        <v>0.99936999999999898</v>
      </c>
      <c r="J122" s="3">
        <v>1.4551400000000001</v>
      </c>
      <c r="K122" s="3">
        <v>1.8076000000000008</v>
      </c>
      <c r="L122" s="3">
        <v>0.45577000000000112</v>
      </c>
      <c r="M122" s="3">
        <v>0.80823000000000178</v>
      </c>
      <c r="N122" s="3">
        <v>0.35246000000000066</v>
      </c>
      <c r="Q122" s="13">
        <v>3.0445421714523073</v>
      </c>
      <c r="R122" s="13">
        <v>4.441549311027107E-2</v>
      </c>
      <c r="S122" s="13">
        <v>-0.61550366149741131</v>
      </c>
      <c r="T122" s="13">
        <v>-1.1757947012687631</v>
      </c>
      <c r="U122" s="13">
        <v>0.35137099410241124</v>
      </c>
      <c r="V122" s="13">
        <v>-0.22691906437749565</v>
      </c>
      <c r="W122" s="13">
        <v>3.4498819946048288E-2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</row>
    <row r="123" spans="1:29" x14ac:dyDescent="0.25">
      <c r="A123" s="3">
        <v>1.2376624736910001E+18</v>
      </c>
      <c r="B123" s="3">
        <v>236.33983000000001</v>
      </c>
      <c r="C123" s="3">
        <v>36.146178999999997</v>
      </c>
      <c r="D123" s="16">
        <v>7.6160549999999994E-2</v>
      </c>
      <c r="E123" s="3">
        <v>1.16066</v>
      </c>
      <c r="F123" s="3">
        <v>1.5989599999999982</v>
      </c>
      <c r="G123" s="3">
        <v>1.89011</v>
      </c>
      <c r="H123" s="3">
        <v>1.9593099999999986</v>
      </c>
      <c r="I123" s="3">
        <v>0.43829999999999814</v>
      </c>
      <c r="J123" s="3">
        <v>0.72944999999999993</v>
      </c>
      <c r="K123" s="3">
        <v>0.79864999999999853</v>
      </c>
      <c r="L123" s="3">
        <v>0.2911500000000018</v>
      </c>
      <c r="M123" s="3">
        <v>0.36035000000000039</v>
      </c>
      <c r="N123" s="3">
        <v>6.9199999999998596E-2</v>
      </c>
      <c r="Q123" s="13">
        <v>2.3647163778553844</v>
      </c>
      <c r="R123" s="13">
        <v>-0.449229862149638</v>
      </c>
      <c r="S123" s="13">
        <v>0.40311105703620864</v>
      </c>
      <c r="T123" s="13">
        <v>-0.17001413719137082</v>
      </c>
      <c r="U123" s="13">
        <v>7.1025506292827764E-2</v>
      </c>
      <c r="V123" s="13">
        <v>-0.22893034416780361</v>
      </c>
      <c r="W123" s="13">
        <v>0.13708510941098934</v>
      </c>
      <c r="X123" s="13">
        <v>0</v>
      </c>
      <c r="Y123" s="13">
        <v>0</v>
      </c>
      <c r="Z123" s="13">
        <v>0</v>
      </c>
      <c r="AA123" s="13">
        <v>0</v>
      </c>
      <c r="AB123" s="13">
        <v>0</v>
      </c>
      <c r="AC123" s="13">
        <v>0</v>
      </c>
    </row>
    <row r="124" spans="1:29" x14ac:dyDescent="0.25">
      <c r="A124" s="3">
        <v>1.23766247315439E+18</v>
      </c>
      <c r="B124" s="3">
        <v>236.78066000000001</v>
      </c>
      <c r="C124" s="3">
        <v>35.613542000000002</v>
      </c>
      <c r="D124" s="16">
        <v>7.661917E-2</v>
      </c>
      <c r="E124" s="3">
        <v>1.5633200000000009</v>
      </c>
      <c r="F124" s="3">
        <v>2.3697400000000002</v>
      </c>
      <c r="G124" s="3">
        <v>2.7716799999999999</v>
      </c>
      <c r="H124" s="3">
        <v>3.0207000000000015</v>
      </c>
      <c r="I124" s="3">
        <v>0.80641999999999925</v>
      </c>
      <c r="J124" s="3">
        <v>1.208359999999999</v>
      </c>
      <c r="K124" s="3">
        <v>1.4573800000000006</v>
      </c>
      <c r="L124" s="3">
        <v>0.40193999999999974</v>
      </c>
      <c r="M124" s="3">
        <v>0.65096000000000132</v>
      </c>
      <c r="N124" s="3">
        <v>0.24902000000000157</v>
      </c>
      <c r="Q124" s="13">
        <v>2.6951915732202631</v>
      </c>
      <c r="R124" s="13">
        <v>-0.21867204836572643</v>
      </c>
      <c r="S124" s="13">
        <v>0.57660830938027496</v>
      </c>
      <c r="T124" s="13">
        <v>-0.10904158339098145</v>
      </c>
      <c r="U124" s="13">
        <v>0.11717593210133503</v>
      </c>
      <c r="V124" s="13">
        <v>-0.19351056145481524</v>
      </c>
      <c r="W124" s="13">
        <v>8.1964090139463278E-2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</row>
    <row r="125" spans="1:29" x14ac:dyDescent="0.25">
      <c r="A125" s="3">
        <v>1.2376624736908001E+18</v>
      </c>
      <c r="B125" s="3">
        <v>235.99455</v>
      </c>
      <c r="C125" s="3">
        <v>36.352677</v>
      </c>
      <c r="D125" s="16">
        <v>7.6676350000000004E-2</v>
      </c>
      <c r="E125" s="3">
        <v>1.4058199999999985</v>
      </c>
      <c r="F125" s="3">
        <v>1.995350000000002</v>
      </c>
      <c r="G125" s="3">
        <v>2.3792299999999997</v>
      </c>
      <c r="H125" s="3">
        <v>2.6124100000000006</v>
      </c>
      <c r="I125" s="3">
        <v>0.58953000000000344</v>
      </c>
      <c r="J125" s="3">
        <v>0.97341000000000122</v>
      </c>
      <c r="K125" s="3">
        <v>1.206590000000002</v>
      </c>
      <c r="L125" s="3">
        <v>0.38387999999999778</v>
      </c>
      <c r="M125" s="3">
        <v>0.61705999999999861</v>
      </c>
      <c r="N125" s="3">
        <v>0.23318000000000083</v>
      </c>
      <c r="Q125" s="13">
        <v>2.3980197631992746</v>
      </c>
      <c r="R125" s="13">
        <v>-0.15548624522949289</v>
      </c>
      <c r="S125" s="13">
        <v>-0.49202323934418224</v>
      </c>
      <c r="T125" s="13">
        <v>0.27813129748755772</v>
      </c>
      <c r="U125" s="13">
        <v>0.27904982497134895</v>
      </c>
      <c r="V125" s="13">
        <v>-0.21106177164867279</v>
      </c>
      <c r="W125" s="13">
        <v>0.29444766590006966</v>
      </c>
      <c r="X125" s="13">
        <v>0</v>
      </c>
      <c r="Y125" s="13">
        <v>0</v>
      </c>
      <c r="Z125" s="13">
        <v>0</v>
      </c>
      <c r="AA125" s="13">
        <v>0</v>
      </c>
      <c r="AB125" s="13">
        <v>0</v>
      </c>
      <c r="AC125" s="13">
        <v>0</v>
      </c>
    </row>
    <row r="126" spans="1:29" x14ac:dyDescent="0.25">
      <c r="A126" s="3">
        <v>1.23766250375571E+18</v>
      </c>
      <c r="B126" s="3">
        <v>236.5035</v>
      </c>
      <c r="C126" s="3">
        <v>36.567419999999998</v>
      </c>
      <c r="D126" s="16">
        <v>7.6745499999999994E-2</v>
      </c>
      <c r="E126" s="3">
        <v>1.9929099999999984</v>
      </c>
      <c r="F126" s="3">
        <v>2.9065099999999973</v>
      </c>
      <c r="G126" s="3">
        <v>3.3240099999999977</v>
      </c>
      <c r="H126" s="3">
        <v>3.6084499999999977</v>
      </c>
      <c r="I126" s="3">
        <v>0.91359999999999886</v>
      </c>
      <c r="J126" s="3">
        <v>1.3310999999999993</v>
      </c>
      <c r="K126" s="3">
        <v>1.6155399999999993</v>
      </c>
      <c r="L126" s="3">
        <v>0.41750000000000043</v>
      </c>
      <c r="M126" s="3">
        <v>0.70194000000000045</v>
      </c>
      <c r="N126" s="3">
        <v>0.28444000000000003</v>
      </c>
      <c r="Q126" s="13">
        <v>3.5327036983122579</v>
      </c>
      <c r="R126" s="13">
        <v>0.42081893966857264</v>
      </c>
      <c r="S126" s="13">
        <v>-1.0954785497340216</v>
      </c>
      <c r="T126" s="13">
        <v>0.17210091557104867</v>
      </c>
      <c r="U126" s="13">
        <v>0.43704620356419088</v>
      </c>
      <c r="V126" s="13">
        <v>-1.0726489362111421E-2</v>
      </c>
      <c r="W126" s="13">
        <v>0.14081421173579983</v>
      </c>
      <c r="X126" s="13">
        <v>0</v>
      </c>
      <c r="Y126" s="13">
        <v>0</v>
      </c>
      <c r="Z126" s="13">
        <v>0</v>
      </c>
      <c r="AA126" s="13">
        <v>0</v>
      </c>
      <c r="AB126" s="13">
        <v>0</v>
      </c>
      <c r="AC126" s="13">
        <v>0</v>
      </c>
    </row>
    <row r="127" spans="1:29" x14ac:dyDescent="0.25">
      <c r="A127" s="3">
        <v>1.23766247369074E+18</v>
      </c>
      <c r="B127" s="3">
        <v>235.81650999999999</v>
      </c>
      <c r="C127" s="3">
        <v>36.460304999999998</v>
      </c>
      <c r="D127" s="16">
        <v>7.6923850000000002E-2</v>
      </c>
      <c r="E127" s="3">
        <v>1.7542000000000009</v>
      </c>
      <c r="F127" s="3">
        <v>2.6090600000000013</v>
      </c>
      <c r="G127" s="3">
        <v>3.0526800000000005</v>
      </c>
      <c r="H127" s="3">
        <v>3.3891700000000018</v>
      </c>
      <c r="I127" s="3">
        <v>0.8548600000000004</v>
      </c>
      <c r="J127" s="3">
        <v>1.2984799999999996</v>
      </c>
      <c r="K127" s="3">
        <v>1.6349700000000009</v>
      </c>
      <c r="L127" s="3">
        <v>0.44361999999999924</v>
      </c>
      <c r="M127" s="3">
        <v>0.78011000000000053</v>
      </c>
      <c r="N127" s="3">
        <v>0.33649000000000129</v>
      </c>
      <c r="Q127" s="13">
        <v>2.1632030962775097</v>
      </c>
      <c r="R127" s="13">
        <v>-0.322006689850106</v>
      </c>
      <c r="S127" s="13">
        <v>0.21611123493039933</v>
      </c>
      <c r="T127" s="13">
        <v>-7.0144378917071468E-2</v>
      </c>
      <c r="U127" s="13">
        <v>0.16157502411077374</v>
      </c>
      <c r="V127" s="13">
        <v>-0.35457267647927471</v>
      </c>
      <c r="W127" s="13">
        <v>0.18980800002910514</v>
      </c>
      <c r="X127" s="13">
        <v>0</v>
      </c>
      <c r="Y127" s="13">
        <v>0</v>
      </c>
      <c r="Z127" s="13">
        <v>0</v>
      </c>
      <c r="AA127" s="13">
        <v>0</v>
      </c>
      <c r="AB127" s="13">
        <v>0</v>
      </c>
      <c r="AC127" s="13">
        <v>0</v>
      </c>
    </row>
    <row r="128" spans="1:29" x14ac:dyDescent="0.25">
      <c r="A128" s="3">
        <v>1.2376625037556401E+18</v>
      </c>
      <c r="B128" s="3">
        <v>236.34941000000001</v>
      </c>
      <c r="C128" s="3">
        <v>36.446942999999997</v>
      </c>
      <c r="D128" s="16">
        <v>7.7082109999999995E-2</v>
      </c>
      <c r="E128" s="3">
        <v>1.9877000000000002</v>
      </c>
      <c r="F128" s="3">
        <v>2.8009000000000022</v>
      </c>
      <c r="G128" s="3">
        <v>3.1931700000000021</v>
      </c>
      <c r="H128" s="3">
        <v>3.4911800000000017</v>
      </c>
      <c r="I128" s="3">
        <v>0.81320000000000192</v>
      </c>
      <c r="J128" s="3">
        <v>1.2054700000000018</v>
      </c>
      <c r="K128" s="3">
        <v>1.5034800000000015</v>
      </c>
      <c r="L128" s="3">
        <v>0.3922699999999999</v>
      </c>
      <c r="M128" s="3">
        <v>0.69027999999999956</v>
      </c>
      <c r="N128" s="3">
        <v>0.29800999999999966</v>
      </c>
      <c r="Q128" s="13">
        <v>2.6683305968793021</v>
      </c>
      <c r="R128" s="13">
        <v>-0.48401801777704034</v>
      </c>
      <c r="S128" s="13">
        <v>-1.4299427649538423</v>
      </c>
      <c r="T128" s="13">
        <v>-2.2097829967846153E-2</v>
      </c>
      <c r="U128" s="13">
        <v>0.32359899736008768</v>
      </c>
      <c r="V128" s="13">
        <v>-0.20831946256996794</v>
      </c>
      <c r="W128" s="13">
        <v>0.11966623847747432</v>
      </c>
      <c r="X128" s="13">
        <v>0</v>
      </c>
      <c r="Y128" s="13">
        <v>0</v>
      </c>
      <c r="Z128" s="13">
        <v>0</v>
      </c>
      <c r="AA128" s="13">
        <v>0</v>
      </c>
      <c r="AB128" s="13">
        <v>0</v>
      </c>
      <c r="AC128" s="13">
        <v>0</v>
      </c>
    </row>
    <row r="129" spans="1:29" x14ac:dyDescent="0.25">
      <c r="A129" s="3">
        <v>1.2376625032186399E+18</v>
      </c>
      <c r="B129" s="3">
        <v>235.71032</v>
      </c>
      <c r="C129" s="3">
        <v>36.468029999999999</v>
      </c>
      <c r="D129" s="16">
        <v>7.7096479999999995E-2</v>
      </c>
      <c r="E129" s="3">
        <v>1.5555199999999978</v>
      </c>
      <c r="F129" s="3">
        <v>2.3722899999999996</v>
      </c>
      <c r="G129" s="3">
        <v>2.7745899999999999</v>
      </c>
      <c r="H129" s="3">
        <v>3.0311199999999978</v>
      </c>
      <c r="I129" s="3">
        <v>0.81677000000000177</v>
      </c>
      <c r="J129" s="3">
        <v>1.2190700000000021</v>
      </c>
      <c r="K129" s="3">
        <v>1.4756</v>
      </c>
      <c r="L129" s="3">
        <v>0.40230000000000032</v>
      </c>
      <c r="M129" s="3">
        <v>0.65882999999999825</v>
      </c>
      <c r="N129" s="3">
        <v>0.25652999999999793</v>
      </c>
      <c r="Q129" s="13">
        <v>2.3815623613012065</v>
      </c>
      <c r="R129" s="13">
        <v>-0.51540146898437411</v>
      </c>
      <c r="S129" s="13">
        <v>-0.70093449413551512</v>
      </c>
      <c r="T129" s="13">
        <v>-1.0995740064368598</v>
      </c>
      <c r="U129" s="13">
        <v>0.23151913305904284</v>
      </c>
      <c r="V129" s="13">
        <v>-0.2227353974187623</v>
      </c>
      <c r="W129" s="13">
        <v>0.16340683521512581</v>
      </c>
      <c r="X129" s="13">
        <v>0</v>
      </c>
      <c r="Y129" s="13">
        <v>0</v>
      </c>
      <c r="Z129" s="13">
        <v>0</v>
      </c>
      <c r="AA129" s="13">
        <v>0</v>
      </c>
      <c r="AB129" s="13">
        <v>0</v>
      </c>
      <c r="AC129" s="13">
        <v>0</v>
      </c>
    </row>
    <row r="130" spans="1:29" x14ac:dyDescent="0.25">
      <c r="A130" s="3">
        <v>1.2376625032191601E+18</v>
      </c>
      <c r="B130" s="3">
        <v>236.86004</v>
      </c>
      <c r="C130" s="3">
        <v>35.613812000000003</v>
      </c>
      <c r="D130" s="16">
        <v>7.7129989999999995E-2</v>
      </c>
      <c r="E130" s="3">
        <v>2.6345400000000012</v>
      </c>
      <c r="F130" s="3">
        <v>3.7821700000000007</v>
      </c>
      <c r="G130" s="3">
        <v>4.3340999999999994</v>
      </c>
      <c r="H130" s="3">
        <v>4.7490799999999993</v>
      </c>
      <c r="I130" s="3">
        <v>1.1476299999999995</v>
      </c>
      <c r="J130" s="3">
        <v>1.6995599999999982</v>
      </c>
      <c r="K130" s="3">
        <v>2.1145399999999981</v>
      </c>
      <c r="L130" s="3">
        <v>0.5519299999999987</v>
      </c>
      <c r="M130" s="3">
        <v>0.9669099999999986</v>
      </c>
      <c r="N130" s="3">
        <v>0.4149799999999999</v>
      </c>
      <c r="Q130" s="13">
        <v>2.7390747016768002</v>
      </c>
      <c r="R130" s="13">
        <v>-3.2355509753253055E-2</v>
      </c>
      <c r="S130" s="13">
        <v>0.49636100063411981</v>
      </c>
      <c r="T130" s="13">
        <v>0.50738361482088667</v>
      </c>
      <c r="U130" s="13">
        <v>9.6108653915830247E-2</v>
      </c>
      <c r="V130" s="13">
        <v>-0.21975439662811982</v>
      </c>
      <c r="W130" s="13">
        <v>9.8237257190940439E-2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</row>
    <row r="131" spans="1:29" x14ac:dyDescent="0.25">
      <c r="A131" s="3">
        <v>1.2376624731543301E+18</v>
      </c>
      <c r="B131" s="3">
        <v>236.69871000000001</v>
      </c>
      <c r="C131" s="3">
        <v>35.664239000000002</v>
      </c>
      <c r="D131" s="16">
        <v>7.7354980000000004E-2</v>
      </c>
      <c r="E131" s="3">
        <v>1.3555300000000017</v>
      </c>
      <c r="F131" s="3">
        <v>2.0026200000000003</v>
      </c>
      <c r="G131" s="3">
        <v>2.3590800000000023</v>
      </c>
      <c r="H131" s="3">
        <v>2.5781000000000027</v>
      </c>
      <c r="I131" s="3">
        <v>0.64708999999999861</v>
      </c>
      <c r="J131" s="3">
        <v>1.0035500000000006</v>
      </c>
      <c r="K131" s="3">
        <v>1.222570000000001</v>
      </c>
      <c r="L131" s="3">
        <v>0.356460000000002</v>
      </c>
      <c r="M131" s="3">
        <v>0.57548000000000243</v>
      </c>
      <c r="N131" s="3">
        <v>0.21902000000000044</v>
      </c>
      <c r="Q131" s="13">
        <v>2.2915942037883914</v>
      </c>
      <c r="R131" s="13">
        <v>-0.40536028854461503</v>
      </c>
      <c r="S131" s="13">
        <v>7.8583135327647186E-2</v>
      </c>
      <c r="T131" s="13">
        <v>0.13427861086146359</v>
      </c>
      <c r="U131" s="13">
        <v>0.16202186468425239</v>
      </c>
      <c r="V131" s="13">
        <v>-0.23709537630853716</v>
      </c>
      <c r="W131" s="13">
        <v>0.20758936195655237</v>
      </c>
      <c r="X131" s="13">
        <v>0</v>
      </c>
      <c r="Y131" s="13">
        <v>0</v>
      </c>
      <c r="Z131" s="13">
        <v>0</v>
      </c>
      <c r="AA131" s="13">
        <v>0</v>
      </c>
      <c r="AB131" s="13">
        <v>0</v>
      </c>
      <c r="AC131" s="13">
        <v>0</v>
      </c>
    </row>
    <row r="132" spans="1:29" x14ac:dyDescent="0.25">
      <c r="A132" s="3">
        <v>1.23766233786351E+18</v>
      </c>
      <c r="B132" s="3">
        <v>235.68944999999999</v>
      </c>
      <c r="C132" s="3">
        <v>35.818849999999998</v>
      </c>
      <c r="D132" s="16">
        <v>7.7530189999999999E-2</v>
      </c>
      <c r="E132" s="3">
        <v>1.2448399999999999</v>
      </c>
      <c r="F132" s="3">
        <v>1.8238699999999994</v>
      </c>
      <c r="G132" s="3">
        <v>2.2119700000000009</v>
      </c>
      <c r="H132" s="3">
        <v>2.404679999999999</v>
      </c>
      <c r="I132" s="3">
        <v>0.57902999999999949</v>
      </c>
      <c r="J132" s="3">
        <v>0.96713000000000093</v>
      </c>
      <c r="K132" s="3">
        <v>1.1598399999999991</v>
      </c>
      <c r="L132" s="3">
        <v>0.38810000000000144</v>
      </c>
      <c r="M132" s="3">
        <v>0.5808099999999996</v>
      </c>
      <c r="N132" s="3">
        <v>0.19270999999999816</v>
      </c>
      <c r="Q132" s="13">
        <v>3.9535489303522051</v>
      </c>
      <c r="R132" s="13">
        <v>0.17944758788200041</v>
      </c>
      <c r="S132" s="13">
        <v>-0.32415863306620502</v>
      </c>
      <c r="T132" s="13">
        <v>-4.3752909335337035E-2</v>
      </c>
      <c r="U132" s="13">
        <v>0.22334930108766968</v>
      </c>
      <c r="V132" s="13">
        <v>4.3370778507795027E-2</v>
      </c>
      <c r="W132" s="13">
        <v>-0.14749935181145196</v>
      </c>
      <c r="X132" s="13">
        <v>0</v>
      </c>
      <c r="Y132" s="13">
        <v>0</v>
      </c>
      <c r="Z132" s="13">
        <v>0</v>
      </c>
      <c r="AA132" s="13">
        <v>0</v>
      </c>
      <c r="AB132" s="13">
        <v>0</v>
      </c>
      <c r="AC132" s="13">
        <v>0</v>
      </c>
    </row>
    <row r="133" spans="1:29" x14ac:dyDescent="0.25">
      <c r="A133" s="3">
        <v>1.2376625032188301E+18</v>
      </c>
      <c r="B133" s="3">
        <v>236.07399000000001</v>
      </c>
      <c r="C133" s="3">
        <v>36.047853000000003</v>
      </c>
      <c r="D133" s="16">
        <v>7.7739509999999998E-2</v>
      </c>
      <c r="E133" s="3">
        <v>1.0270200000000003</v>
      </c>
      <c r="F133" s="3">
        <v>1.4312400000000025</v>
      </c>
      <c r="G133" s="3">
        <v>1.7621099999999998</v>
      </c>
      <c r="H133" s="3">
        <v>1.8667500000000032</v>
      </c>
      <c r="I133" s="3">
        <v>0.40422000000000224</v>
      </c>
      <c r="J133" s="3">
        <v>0.73508999999999958</v>
      </c>
      <c r="K133" s="3">
        <v>0.83973000000000297</v>
      </c>
      <c r="L133" s="3">
        <v>0.33086999999999733</v>
      </c>
      <c r="M133" s="3">
        <v>0.43551000000000073</v>
      </c>
      <c r="N133" s="3">
        <v>0.1046400000000034</v>
      </c>
      <c r="Q133" s="13">
        <v>2.8448995048026355</v>
      </c>
      <c r="R133" s="13">
        <v>-5.247725449275701E-2</v>
      </c>
      <c r="S133" s="13">
        <v>1.0098679193796691</v>
      </c>
      <c r="T133" s="13">
        <v>-6.7426389903354006E-2</v>
      </c>
      <c r="U133" s="13">
        <v>5.348605780698229E-2</v>
      </c>
      <c r="V133" s="13">
        <v>-0.19846651371799046</v>
      </c>
      <c r="W133" s="13">
        <v>2.4542332624756948E-2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</row>
    <row r="134" spans="1:29" x14ac:dyDescent="0.25">
      <c r="A134" s="3">
        <v>1.2376614659862001E+18</v>
      </c>
      <c r="B134" s="3">
        <v>236.04667000000001</v>
      </c>
      <c r="C134" s="3">
        <v>35.737752999999998</v>
      </c>
      <c r="D134" s="16">
        <v>7.8103790000000006E-2</v>
      </c>
      <c r="E134" s="3">
        <v>1.7243200000000023</v>
      </c>
      <c r="F134" s="3">
        <v>2.6331700000000033</v>
      </c>
      <c r="G134" s="3">
        <v>3.0092300000000023</v>
      </c>
      <c r="H134" s="3">
        <v>3.3559300000000007</v>
      </c>
      <c r="I134" s="3">
        <v>0.90885000000000105</v>
      </c>
      <c r="J134" s="3">
        <v>1.28491</v>
      </c>
      <c r="K134" s="3">
        <v>1.6316099999999985</v>
      </c>
      <c r="L134" s="3">
        <v>0.37605999999999895</v>
      </c>
      <c r="M134" s="3">
        <v>0.7227599999999974</v>
      </c>
      <c r="N134" s="3">
        <v>0.34669999999999845</v>
      </c>
      <c r="Q134" s="13">
        <v>1.7661051736013245</v>
      </c>
      <c r="R134" s="13">
        <v>-0.46956077573921856</v>
      </c>
      <c r="S134" s="13">
        <v>-1.624294691437253E-2</v>
      </c>
      <c r="T134" s="13">
        <v>0.11139995405132772</v>
      </c>
      <c r="U134" s="13">
        <v>0.3018390361739865</v>
      </c>
      <c r="V134" s="13">
        <v>-0.48413123173748296</v>
      </c>
      <c r="W134" s="13">
        <v>0.26902619177000531</v>
      </c>
      <c r="X134" s="13">
        <v>0</v>
      </c>
      <c r="Y134" s="13">
        <v>0</v>
      </c>
      <c r="Z134" s="13">
        <v>0</v>
      </c>
      <c r="AA134" s="13">
        <v>0</v>
      </c>
      <c r="AB134" s="13">
        <v>0</v>
      </c>
      <c r="AC134" s="13">
        <v>0</v>
      </c>
    </row>
    <row r="135" spans="1:29" x14ac:dyDescent="0.25">
      <c r="A135" s="3">
        <v>1.2376624736910001E+18</v>
      </c>
      <c r="B135" s="3">
        <v>236.43274</v>
      </c>
      <c r="C135" s="3">
        <v>36.196925999999998</v>
      </c>
      <c r="D135" s="16">
        <v>7.8127470000000004E-2</v>
      </c>
      <c r="E135" s="3">
        <v>1.9456500000000005</v>
      </c>
      <c r="F135" s="3">
        <v>2.8880900000000018</v>
      </c>
      <c r="G135" s="3">
        <v>3.3123300000000011</v>
      </c>
      <c r="H135" s="3">
        <v>3.6543400000000013</v>
      </c>
      <c r="I135" s="3">
        <v>0.94244000000000128</v>
      </c>
      <c r="J135" s="3">
        <v>1.3666800000000006</v>
      </c>
      <c r="K135" s="3">
        <v>1.7086900000000007</v>
      </c>
      <c r="L135" s="3">
        <v>0.42423999999999928</v>
      </c>
      <c r="M135" s="3">
        <v>0.76624999999999943</v>
      </c>
      <c r="N135" s="3">
        <v>0.34201000000000015</v>
      </c>
      <c r="Q135" s="13">
        <v>2.3332563017116192</v>
      </c>
      <c r="R135" s="13">
        <v>-0.47709108334815636</v>
      </c>
      <c r="S135" s="13">
        <v>8.1424525613385271E-2</v>
      </c>
      <c r="T135" s="13">
        <v>-1.0413574267032872</v>
      </c>
      <c r="U135" s="13">
        <v>0.19635028143136804</v>
      </c>
      <c r="V135" s="13">
        <v>-0.27405334721875291</v>
      </c>
      <c r="W135" s="13">
        <v>0.12239222810772638</v>
      </c>
      <c r="X135" s="13">
        <v>0</v>
      </c>
      <c r="Y135" s="13">
        <v>0</v>
      </c>
      <c r="Z135" s="13">
        <v>0</v>
      </c>
      <c r="AA135" s="13">
        <v>0</v>
      </c>
      <c r="AB135" s="13">
        <v>0</v>
      </c>
      <c r="AC135" s="13">
        <v>0</v>
      </c>
    </row>
    <row r="136" spans="1:29" x14ac:dyDescent="0.25">
      <c r="A136" s="3">
        <v>1.2376625032189701E+18</v>
      </c>
      <c r="B136" s="3">
        <v>236.59008</v>
      </c>
      <c r="C136" s="3">
        <v>35.966523000000002</v>
      </c>
      <c r="D136" s="16">
        <v>7.8327850000000004E-2</v>
      </c>
      <c r="E136" s="3">
        <v>1.3028999999999975</v>
      </c>
      <c r="F136" s="3">
        <v>1.9116999999999997</v>
      </c>
      <c r="G136" s="3">
        <v>2.306989999999999</v>
      </c>
      <c r="H136" s="3">
        <v>2.4812799999999982</v>
      </c>
      <c r="I136" s="3">
        <v>0.60880000000000223</v>
      </c>
      <c r="J136" s="3">
        <v>1.0040900000000015</v>
      </c>
      <c r="K136" s="3">
        <v>1.1783800000000006</v>
      </c>
      <c r="L136" s="3">
        <v>0.39528999999999925</v>
      </c>
      <c r="M136" s="3">
        <v>0.56957999999999842</v>
      </c>
      <c r="N136" s="3">
        <v>0.17428999999999917</v>
      </c>
      <c r="Q136" s="13">
        <v>1.9713738977659465</v>
      </c>
      <c r="R136" s="13">
        <v>-0.54558260893084343</v>
      </c>
      <c r="S136" s="13">
        <v>0.37078876965439583</v>
      </c>
      <c r="T136" s="13">
        <v>8.2397884980286357E-2</v>
      </c>
      <c r="U136" s="13">
        <v>0.20433071903316519</v>
      </c>
      <c r="V136" s="13">
        <v>-0.38983642524992645</v>
      </c>
      <c r="W136" s="13">
        <v>0.19419564701473957</v>
      </c>
      <c r="X136" s="13">
        <v>0</v>
      </c>
      <c r="Y136" s="13">
        <v>0</v>
      </c>
      <c r="Z136" s="13">
        <v>0</v>
      </c>
      <c r="AA136" s="13">
        <v>0</v>
      </c>
      <c r="AB136" s="13">
        <v>0</v>
      </c>
      <c r="AC136" s="13">
        <v>0</v>
      </c>
    </row>
    <row r="137" spans="1:29" x14ac:dyDescent="0.25">
      <c r="A137" s="3">
        <v>1.2376625032189701E+18</v>
      </c>
      <c r="B137" s="3">
        <v>236.40135000000001</v>
      </c>
      <c r="C137" s="3">
        <v>35.955989000000002</v>
      </c>
      <c r="D137" s="16">
        <v>7.8679209999999999E-2</v>
      </c>
      <c r="E137" s="3">
        <v>1.91648</v>
      </c>
      <c r="F137" s="3">
        <v>2.85595</v>
      </c>
      <c r="G137" s="3">
        <v>3.2884199999999986</v>
      </c>
      <c r="H137" s="3">
        <v>3.6365399999999983</v>
      </c>
      <c r="I137" s="3">
        <v>0.93947000000000003</v>
      </c>
      <c r="J137" s="3">
        <v>1.3719399999999986</v>
      </c>
      <c r="K137" s="3">
        <v>1.7200599999999984</v>
      </c>
      <c r="L137" s="3">
        <v>0.43246999999999858</v>
      </c>
      <c r="M137" s="3">
        <v>0.78058999999999834</v>
      </c>
      <c r="N137" s="3">
        <v>0.34811999999999976</v>
      </c>
      <c r="Q137" s="13">
        <v>2.3762369018579386</v>
      </c>
      <c r="R137" s="13">
        <v>-0.32130306735547559</v>
      </c>
      <c r="S137" s="13">
        <v>4.0876589605983053E-2</v>
      </c>
      <c r="T137" s="13">
        <v>0.24043324554475148</v>
      </c>
      <c r="U137" s="13">
        <v>0.13958391098009679</v>
      </c>
      <c r="V137" s="13">
        <v>-0.27932592893786401</v>
      </c>
      <c r="W137" s="13">
        <v>0.15497924974926189</v>
      </c>
      <c r="X137" s="13">
        <v>0</v>
      </c>
      <c r="Y137" s="13">
        <v>0</v>
      </c>
      <c r="Z137" s="13">
        <v>0</v>
      </c>
      <c r="AA137" s="13">
        <v>0</v>
      </c>
      <c r="AB137" s="13">
        <v>0</v>
      </c>
      <c r="AC137" s="13">
        <v>0</v>
      </c>
    </row>
    <row r="138" spans="1:29" x14ac:dyDescent="0.25">
      <c r="A138" s="3">
        <v>1.2376624731541299E+18</v>
      </c>
      <c r="B138" s="3">
        <v>236.17926</v>
      </c>
      <c r="C138" s="3">
        <v>35.961862000000004</v>
      </c>
      <c r="D138" s="16">
        <v>7.8951750000000001E-2</v>
      </c>
      <c r="E138" s="3">
        <v>1.323640000000001</v>
      </c>
      <c r="F138" s="3">
        <v>1.8381100000000004</v>
      </c>
      <c r="G138" s="3">
        <v>2.1798999999999999</v>
      </c>
      <c r="H138" s="3">
        <v>2.3146099999999983</v>
      </c>
      <c r="I138" s="3">
        <v>0.51446999999999932</v>
      </c>
      <c r="J138" s="3">
        <v>0.85625999999999891</v>
      </c>
      <c r="K138" s="3">
        <v>0.99096999999999724</v>
      </c>
      <c r="L138" s="3">
        <v>0.34178999999999959</v>
      </c>
      <c r="M138" s="3">
        <v>0.47649999999999793</v>
      </c>
      <c r="N138" s="3">
        <v>0.13470999999999833</v>
      </c>
      <c r="Q138" s="13">
        <v>2.6195785363533024</v>
      </c>
      <c r="R138" s="13">
        <v>-0.39011552040903563</v>
      </c>
      <c r="S138" s="13">
        <v>5.4687453359464573E-2</v>
      </c>
      <c r="T138" s="13">
        <v>7.0811744499506436E-3</v>
      </c>
      <c r="U138" s="13">
        <v>0.153287550435311</v>
      </c>
      <c r="V138" s="13">
        <v>-0.1468740707846547</v>
      </c>
      <c r="W138" s="13">
        <v>0.12689313148372158</v>
      </c>
      <c r="X138" s="13">
        <v>0</v>
      </c>
      <c r="Y138" s="13">
        <v>0</v>
      </c>
      <c r="Z138" s="13">
        <v>0</v>
      </c>
      <c r="AA138" s="13">
        <v>0</v>
      </c>
      <c r="AB138" s="13">
        <v>0</v>
      </c>
      <c r="AC138" s="13">
        <v>0</v>
      </c>
    </row>
    <row r="139" spans="1:29" x14ac:dyDescent="0.25">
      <c r="A139" s="3">
        <v>1.2376625037558999E+18</v>
      </c>
      <c r="B139" s="3">
        <v>236.86503999999999</v>
      </c>
      <c r="C139" s="3">
        <v>36.109698000000002</v>
      </c>
      <c r="D139" s="16">
        <v>7.9126660000000001E-2</v>
      </c>
      <c r="E139" s="3">
        <v>1.7972000000000001</v>
      </c>
      <c r="F139" s="3">
        <v>2.6917100000000005</v>
      </c>
      <c r="G139" s="3">
        <v>3.0828699999999998</v>
      </c>
      <c r="H139" s="3">
        <v>3.3936999999999991</v>
      </c>
      <c r="I139" s="3">
        <v>0.89451000000000036</v>
      </c>
      <c r="J139" s="3">
        <v>1.2856699999999996</v>
      </c>
      <c r="K139" s="3">
        <v>1.5964999999999989</v>
      </c>
      <c r="L139" s="3">
        <v>0.39115999999999929</v>
      </c>
      <c r="M139" s="3">
        <v>0.70198999999999856</v>
      </c>
      <c r="N139" s="3">
        <v>0.31082999999999927</v>
      </c>
      <c r="Q139" s="13">
        <v>1.4203352331028218</v>
      </c>
      <c r="R139" s="13">
        <v>-0.29620326212700127</v>
      </c>
      <c r="S139" s="13">
        <v>1.7779916211205042</v>
      </c>
      <c r="T139" s="13">
        <v>-0.24938738794632476</v>
      </c>
      <c r="U139" s="13">
        <v>0.2657749699324396</v>
      </c>
      <c r="V139" s="13">
        <v>-0.54223744016172692</v>
      </c>
      <c r="W139" s="13">
        <v>0.35244699457363415</v>
      </c>
      <c r="X139" s="13">
        <v>0</v>
      </c>
      <c r="Y139" s="13">
        <v>0</v>
      </c>
      <c r="Z139" s="13">
        <v>0</v>
      </c>
      <c r="AA139" s="13">
        <v>0</v>
      </c>
      <c r="AB139" s="13">
        <v>0</v>
      </c>
      <c r="AC139" s="13">
        <v>0</v>
      </c>
    </row>
    <row r="140" spans="1:29" x14ac:dyDescent="0.25">
      <c r="A140" s="3">
        <v>1.23766250321903E+18</v>
      </c>
      <c r="B140" s="3">
        <v>236.65884</v>
      </c>
      <c r="C140" s="3">
        <v>35.783759000000003</v>
      </c>
      <c r="D140" s="16">
        <v>7.9188430000000004E-2</v>
      </c>
      <c r="E140" s="3">
        <v>1.89283</v>
      </c>
      <c r="F140" s="3">
        <v>2.7773800000000008</v>
      </c>
      <c r="G140" s="3">
        <v>3.18919</v>
      </c>
      <c r="H140" s="3">
        <v>3.5195000000000007</v>
      </c>
      <c r="I140" s="3">
        <v>0.88455000000000084</v>
      </c>
      <c r="J140" s="3">
        <v>1.29636</v>
      </c>
      <c r="K140" s="3">
        <v>1.6266700000000007</v>
      </c>
      <c r="L140" s="3">
        <v>0.41180999999999912</v>
      </c>
      <c r="M140" s="3">
        <v>0.74211999999999989</v>
      </c>
      <c r="N140" s="3">
        <v>0.33031000000000077</v>
      </c>
      <c r="Q140" s="13">
        <v>4.5686190592973617</v>
      </c>
      <c r="R140" s="13">
        <v>0.6169898047876442</v>
      </c>
      <c r="S140" s="13">
        <v>0.1598981343046702</v>
      </c>
      <c r="T140" s="13">
        <v>-1.1112526061923291</v>
      </c>
      <c r="U140" s="13">
        <v>0.18449316283888093</v>
      </c>
      <c r="V140" s="13">
        <v>0.43278856111885461</v>
      </c>
      <c r="W140" s="13">
        <v>-5.774748841431853E-2</v>
      </c>
      <c r="X140" s="13">
        <v>0</v>
      </c>
      <c r="Y140" s="13">
        <v>0</v>
      </c>
      <c r="Z140" s="13">
        <v>0</v>
      </c>
      <c r="AA140" s="13">
        <v>0</v>
      </c>
      <c r="AB140" s="13">
        <v>0</v>
      </c>
      <c r="AC140" s="13">
        <v>0</v>
      </c>
    </row>
    <row r="141" spans="1:29" x14ac:dyDescent="0.25">
      <c r="A141" s="3">
        <v>1.23766146598626E+18</v>
      </c>
      <c r="B141" s="3">
        <v>236.32692</v>
      </c>
      <c r="C141" s="3">
        <v>35.785758000000001</v>
      </c>
      <c r="D141" s="16">
        <v>7.9190570000000002E-2</v>
      </c>
      <c r="E141" s="3">
        <v>1.5953900000000019</v>
      </c>
      <c r="F141" s="3">
        <v>2.3593900000000012</v>
      </c>
      <c r="G141" s="3">
        <v>2.7613599999999998</v>
      </c>
      <c r="H141" s="3">
        <v>3.0565200000000026</v>
      </c>
      <c r="I141" s="3">
        <v>0.76399999999999935</v>
      </c>
      <c r="J141" s="3">
        <v>1.165969999999998</v>
      </c>
      <c r="K141" s="3">
        <v>1.4611300000000007</v>
      </c>
      <c r="L141" s="3">
        <v>0.40196999999999861</v>
      </c>
      <c r="M141" s="3">
        <v>0.69713000000000136</v>
      </c>
      <c r="N141" s="3">
        <v>0.29516000000000275</v>
      </c>
      <c r="Q141" s="13">
        <v>2.5917483250041222</v>
      </c>
      <c r="R141" s="13">
        <v>-3.985230371277159E-2</v>
      </c>
      <c r="S141" s="13">
        <v>-9.6845206716864481E-3</v>
      </c>
      <c r="T141" s="13">
        <v>-0.44607921699205244</v>
      </c>
      <c r="U141" s="13">
        <v>0.18406695912250762</v>
      </c>
      <c r="V141" s="13">
        <v>-0.3000138628693087</v>
      </c>
      <c r="W141" s="13">
        <v>9.6270387620397774E-2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</row>
    <row r="142" spans="1:29" x14ac:dyDescent="0.25">
      <c r="A142" s="3">
        <v>1.23766250321903E+18</v>
      </c>
      <c r="B142" s="3">
        <v>236.62267</v>
      </c>
      <c r="C142" s="3">
        <v>35.791443000000001</v>
      </c>
      <c r="D142" s="16">
        <v>7.9249940000000005E-2</v>
      </c>
      <c r="E142" s="3">
        <v>1.9754900000000006</v>
      </c>
      <c r="F142" s="3">
        <v>2.9167500000000004</v>
      </c>
      <c r="G142" s="3">
        <v>3.3417000000000012</v>
      </c>
      <c r="H142" s="3">
        <v>3.6707400000000021</v>
      </c>
      <c r="I142" s="3">
        <v>0.94125999999999976</v>
      </c>
      <c r="J142" s="3">
        <v>1.3662100000000006</v>
      </c>
      <c r="K142" s="3">
        <v>1.6952500000000015</v>
      </c>
      <c r="L142" s="3">
        <v>0.42495000000000083</v>
      </c>
      <c r="M142" s="3">
        <v>0.75399000000000171</v>
      </c>
      <c r="N142" s="3">
        <v>0.32904000000000089</v>
      </c>
      <c r="Q142" s="13">
        <v>2.601115235345167</v>
      </c>
      <c r="R142" s="13">
        <v>-0.36695572164421242</v>
      </c>
      <c r="S142" s="13">
        <v>-0.11484218217936813</v>
      </c>
      <c r="T142" s="13">
        <v>-0.31762630775185735</v>
      </c>
      <c r="U142" s="13">
        <v>0.175995575723429</v>
      </c>
      <c r="V142" s="13">
        <v>-0.21104628952892404</v>
      </c>
      <c r="W142" s="13">
        <v>7.873272599698683E-2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</row>
    <row r="143" spans="1:29" x14ac:dyDescent="0.25">
      <c r="A143" s="3">
        <v>1.2376625032191601E+18</v>
      </c>
      <c r="B143" s="3">
        <v>236.7884</v>
      </c>
      <c r="C143" s="3">
        <v>35.646155</v>
      </c>
      <c r="D143" s="16">
        <v>7.9413300000000006E-2</v>
      </c>
      <c r="E143" s="3">
        <v>2.1463899999999985</v>
      </c>
      <c r="F143" s="3">
        <v>3.1296899999999983</v>
      </c>
      <c r="G143" s="3">
        <v>3.5780999999999992</v>
      </c>
      <c r="H143" s="3">
        <v>3.9019199999999987</v>
      </c>
      <c r="I143" s="3">
        <v>0.98329999999999984</v>
      </c>
      <c r="J143" s="3">
        <v>1.4317100000000007</v>
      </c>
      <c r="K143" s="3">
        <v>1.7555300000000003</v>
      </c>
      <c r="L143" s="3">
        <v>0.44841000000000086</v>
      </c>
      <c r="M143" s="3">
        <v>0.77223000000000042</v>
      </c>
      <c r="N143" s="3">
        <v>0.32381999999999955</v>
      </c>
      <c r="Q143" s="13">
        <v>1.7361694072864642</v>
      </c>
      <c r="R143" s="13">
        <v>-0.6978047570057484</v>
      </c>
      <c r="S143" s="13">
        <v>0.69685141900650949</v>
      </c>
      <c r="T143" s="13">
        <v>1.5663003454929898</v>
      </c>
      <c r="U143" s="13">
        <v>0.11850890935890719</v>
      </c>
      <c r="V143" s="13">
        <v>-0.42936872972596962</v>
      </c>
      <c r="W143" s="13">
        <v>0.19779314346197563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</row>
    <row r="144" spans="1:29" x14ac:dyDescent="0.25">
      <c r="A144" s="3">
        <v>1.23766146598626E+18</v>
      </c>
      <c r="B144" s="3">
        <v>236.30838</v>
      </c>
      <c r="C144" s="3">
        <v>35.770892000000003</v>
      </c>
      <c r="D144" s="16">
        <v>7.9482280000000002E-2</v>
      </c>
      <c r="E144" s="3">
        <v>1.9666899999999998</v>
      </c>
      <c r="F144" s="3">
        <v>2.9360900000000001</v>
      </c>
      <c r="G144" s="3">
        <v>3.4224100000000011</v>
      </c>
      <c r="H144" s="3">
        <v>3.7992000000000008</v>
      </c>
      <c r="I144" s="3">
        <v>0.96940000000000026</v>
      </c>
      <c r="J144" s="3">
        <v>1.4557200000000012</v>
      </c>
      <c r="K144" s="3">
        <v>1.832510000000001</v>
      </c>
      <c r="L144" s="3">
        <v>0.48632000000000097</v>
      </c>
      <c r="M144" s="3">
        <v>0.86311000000000071</v>
      </c>
      <c r="N144" s="3">
        <v>0.37678999999999974</v>
      </c>
      <c r="Q144" s="13">
        <v>4.9406600623709744</v>
      </c>
      <c r="R144" s="13">
        <v>0.72791258613709187</v>
      </c>
      <c r="S144" s="13">
        <v>0.54694877245538542</v>
      </c>
      <c r="T144" s="13">
        <v>-0.19107401344749819</v>
      </c>
      <c r="U144" s="13">
        <v>-9.9853351080807964E-2</v>
      </c>
      <c r="V144" s="13">
        <v>0.81415795668147062</v>
      </c>
      <c r="W144" s="13">
        <v>1.1148580344139625E-2</v>
      </c>
      <c r="X144" s="13">
        <v>0</v>
      </c>
      <c r="Y144" s="13">
        <v>0</v>
      </c>
      <c r="Z144" s="13">
        <v>0</v>
      </c>
      <c r="AA144" s="13">
        <v>0</v>
      </c>
      <c r="AB144" s="13">
        <v>0</v>
      </c>
      <c r="AC144" s="13">
        <v>0</v>
      </c>
    </row>
    <row r="145" spans="1:29" x14ac:dyDescent="0.25">
      <c r="A145" s="3">
        <v>1.2376625032190999E+18</v>
      </c>
      <c r="B145" s="3">
        <v>236.73812000000001</v>
      </c>
      <c r="C145" s="3">
        <v>35.655124999999998</v>
      </c>
      <c r="D145" s="16">
        <v>7.9570520000000006E-2</v>
      </c>
      <c r="E145" s="3">
        <v>1.9329000000000001</v>
      </c>
      <c r="F145" s="3">
        <v>2.8248299999999986</v>
      </c>
      <c r="G145" s="3">
        <v>3.2573800000000013</v>
      </c>
      <c r="H145" s="3">
        <v>3.6179400000000008</v>
      </c>
      <c r="I145" s="3">
        <v>0.89192999999999856</v>
      </c>
      <c r="J145" s="3">
        <v>1.3244800000000012</v>
      </c>
      <c r="K145" s="3">
        <v>1.6850400000000008</v>
      </c>
      <c r="L145" s="3">
        <v>0.43255000000000265</v>
      </c>
      <c r="M145" s="3">
        <v>0.7931100000000022</v>
      </c>
      <c r="N145" s="3">
        <v>0.36055999999999955</v>
      </c>
      <c r="Q145" s="13">
        <v>2.9807402096702518</v>
      </c>
      <c r="R145" s="13">
        <v>-2.8919685913354302E-2</v>
      </c>
      <c r="S145" s="13">
        <v>8.2440504071245382E-2</v>
      </c>
      <c r="T145" s="13">
        <v>-2.3951372098559256</v>
      </c>
      <c r="U145" s="13">
        <v>1.0933799147313192E-2</v>
      </c>
      <c r="V145" s="13">
        <v>6.3369701501618705E-2</v>
      </c>
      <c r="W145" s="13">
        <v>0.10259276495022154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</row>
    <row r="146" spans="1:29" x14ac:dyDescent="0.25">
      <c r="A146" s="3">
        <v>1.2376625032191601E+18</v>
      </c>
      <c r="B146" s="3">
        <v>236.79683</v>
      </c>
      <c r="C146" s="3">
        <v>35.660555000000002</v>
      </c>
      <c r="D146" s="16">
        <v>8.0674369999999995E-2</v>
      </c>
      <c r="E146" s="3">
        <v>1.90137</v>
      </c>
      <c r="F146" s="3">
        <v>2.8122700000000016</v>
      </c>
      <c r="G146" s="3">
        <v>3.22926</v>
      </c>
      <c r="H146" s="3">
        <v>3.5687700000000007</v>
      </c>
      <c r="I146" s="3">
        <v>0.9109000000000016</v>
      </c>
      <c r="J146" s="3">
        <v>1.32789</v>
      </c>
      <c r="K146" s="3">
        <v>1.6674000000000007</v>
      </c>
      <c r="L146" s="3">
        <v>0.41698999999999842</v>
      </c>
      <c r="M146" s="3">
        <v>0.75649999999999906</v>
      </c>
      <c r="N146" s="3">
        <v>0.33951000000000064</v>
      </c>
      <c r="Q146" s="13">
        <v>3.7363045165213538</v>
      </c>
      <c r="R146" s="13">
        <v>0.59237904238343497</v>
      </c>
      <c r="S146" s="13">
        <v>0.32774214838683075</v>
      </c>
      <c r="T146" s="13">
        <v>1.1130260007875055</v>
      </c>
      <c r="U146" s="13">
        <v>0.30103078120171689</v>
      </c>
      <c r="V146" s="13">
        <v>0.1654328340680199</v>
      </c>
      <c r="W146" s="13">
        <v>0.13627083265460802</v>
      </c>
      <c r="X146" s="13">
        <v>0</v>
      </c>
      <c r="Y146" s="13">
        <v>0</v>
      </c>
      <c r="Z146" s="13">
        <v>0</v>
      </c>
      <c r="AA146" s="13">
        <v>0</v>
      </c>
      <c r="AB146" s="13">
        <v>0</v>
      </c>
      <c r="AC146" s="13">
        <v>0</v>
      </c>
    </row>
    <row r="147" spans="1:29" x14ac:dyDescent="0.25">
      <c r="A147" s="3">
        <v>1.2376625032190999E+18</v>
      </c>
      <c r="B147" s="3">
        <v>236.76319000000001</v>
      </c>
      <c r="C147" s="3">
        <v>35.650075999999999</v>
      </c>
      <c r="D147" s="16">
        <v>8.0797430000000003E-2</v>
      </c>
      <c r="E147" s="3">
        <v>2.0993500000000012</v>
      </c>
      <c r="F147" s="3">
        <v>3.0246400000000015</v>
      </c>
      <c r="G147" s="3">
        <v>3.4539299999999997</v>
      </c>
      <c r="H147" s="3">
        <v>3.7759700000000009</v>
      </c>
      <c r="I147" s="3">
        <v>0.92529000000000039</v>
      </c>
      <c r="J147" s="3">
        <v>1.3545799999999986</v>
      </c>
      <c r="K147" s="3">
        <v>1.6766199999999998</v>
      </c>
      <c r="L147" s="3">
        <v>0.42928999999999817</v>
      </c>
      <c r="M147" s="3">
        <v>0.75132999999999939</v>
      </c>
      <c r="N147" s="3">
        <v>0.32204000000000121</v>
      </c>
      <c r="Q147" s="13">
        <v>2.2815816802412714</v>
      </c>
      <c r="R147" s="13">
        <v>-0.41990378433439701</v>
      </c>
      <c r="S147" s="13">
        <v>1.888505677327343</v>
      </c>
      <c r="T147" s="13">
        <v>0.62780307654945533</v>
      </c>
      <c r="U147" s="13">
        <v>-0.18505419195658587</v>
      </c>
      <c r="V147" s="13">
        <v>-0.12459734961373409</v>
      </c>
      <c r="W147" s="13">
        <v>0.13450826713235917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</row>
    <row r="148" spans="1:29" x14ac:dyDescent="0.25">
      <c r="A148" s="3">
        <v>1.23766247369074E+18</v>
      </c>
      <c r="B148" s="3">
        <v>235.93932000000001</v>
      </c>
      <c r="C148" s="3">
        <v>36.537877999999999</v>
      </c>
      <c r="D148" s="16">
        <v>9.3138219999999994E-2</v>
      </c>
      <c r="E148" s="3">
        <v>1.963009999999997</v>
      </c>
      <c r="F148" s="3">
        <v>2.9200599999999994</v>
      </c>
      <c r="G148" s="3">
        <v>3.4103999999999992</v>
      </c>
      <c r="H148" s="3">
        <v>3.7576699999999974</v>
      </c>
      <c r="I148" s="3">
        <v>0.9570500000000024</v>
      </c>
      <c r="J148" s="3">
        <v>1.4473900000000022</v>
      </c>
      <c r="K148" s="3">
        <v>1.7946600000000004</v>
      </c>
      <c r="L148" s="3">
        <v>0.49033999999999978</v>
      </c>
      <c r="M148" s="3">
        <v>0.83760999999999797</v>
      </c>
      <c r="N148" s="3">
        <v>0.34726999999999819</v>
      </c>
      <c r="Q148" s="13">
        <v>2.4755735384918407</v>
      </c>
      <c r="R148" s="13">
        <v>7.8679671095538126E-2</v>
      </c>
      <c r="S148" s="13">
        <v>0.17412653091269756</v>
      </c>
      <c r="T148" s="13">
        <v>1.8356847315589415</v>
      </c>
      <c r="U148" s="13">
        <v>0.28749739846222577</v>
      </c>
      <c r="V148" s="13">
        <v>-0.32781350436372658</v>
      </c>
      <c r="W148" s="13">
        <v>0.20231854014340236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</row>
    <row r="149" spans="1:29" x14ac:dyDescent="0.25">
      <c r="A149" s="3">
        <v>1.2376625032187E+18</v>
      </c>
      <c r="B149" s="3">
        <v>235.90908999999999</v>
      </c>
      <c r="C149" s="3">
        <v>36.285921000000002</v>
      </c>
      <c r="D149" s="16">
        <v>9.3240450000000002E-2</v>
      </c>
      <c r="E149" s="3">
        <v>1.2844700000000024</v>
      </c>
      <c r="F149" s="3">
        <v>1.9025800000000004</v>
      </c>
      <c r="G149" s="3">
        <v>2.2638500000000015</v>
      </c>
      <c r="H149" s="3">
        <v>2.4659600000000026</v>
      </c>
      <c r="I149" s="3">
        <v>0.61810999999999794</v>
      </c>
      <c r="J149" s="3">
        <v>0.97937999999999903</v>
      </c>
      <c r="K149" s="3">
        <v>1.1814900000000002</v>
      </c>
      <c r="L149" s="3">
        <v>0.36127000000000109</v>
      </c>
      <c r="M149" s="3">
        <v>0.56338000000000221</v>
      </c>
      <c r="N149" s="3">
        <v>0.20211000000000112</v>
      </c>
      <c r="Q149" s="13">
        <v>2.5726607146769114</v>
      </c>
      <c r="R149" s="13">
        <v>-0.36935149095757219</v>
      </c>
      <c r="S149" s="13">
        <v>1.298982826719008</v>
      </c>
      <c r="T149" s="13">
        <v>0.65723453073246429</v>
      </c>
      <c r="U149" s="13">
        <v>0.10937414629505963</v>
      </c>
      <c r="V149" s="13">
        <v>-0.15878561741533684</v>
      </c>
      <c r="W149" s="13">
        <v>7.2857842297417569E-2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</row>
    <row r="150" spans="1:29" x14ac:dyDescent="0.25">
      <c r="A150" s="3">
        <v>1.2376625032187E+18</v>
      </c>
      <c r="B150" s="3">
        <v>235.87171000000001</v>
      </c>
      <c r="C150" s="3">
        <v>36.279058999999997</v>
      </c>
      <c r="D150" s="16">
        <v>9.3569559999999996E-2</v>
      </c>
      <c r="E150" s="3">
        <v>1.9155499999999996</v>
      </c>
      <c r="F150" s="3">
        <v>2.8702100000000002</v>
      </c>
      <c r="G150" s="3">
        <v>3.3750800000000005</v>
      </c>
      <c r="H150" s="3">
        <v>3.7692600000000009</v>
      </c>
      <c r="I150" s="3">
        <v>0.95466000000000051</v>
      </c>
      <c r="J150" s="3">
        <v>1.4595300000000009</v>
      </c>
      <c r="K150" s="3">
        <v>1.8537100000000013</v>
      </c>
      <c r="L150" s="3">
        <v>0.50487000000000037</v>
      </c>
      <c r="M150" s="3">
        <v>0.89905000000000079</v>
      </c>
      <c r="N150" s="3">
        <v>0.39418000000000042</v>
      </c>
      <c r="Q150" s="13">
        <v>3.072114134321049</v>
      </c>
      <c r="R150" s="13">
        <v>0.29216199883669386</v>
      </c>
      <c r="S150" s="13">
        <v>-4.7694869914178213E-2</v>
      </c>
      <c r="T150" s="13">
        <v>2.0650844959671342</v>
      </c>
      <c r="U150" s="13">
        <v>5.7629795785992671E-2</v>
      </c>
      <c r="V150" s="13">
        <v>-4.9655551472399487E-2</v>
      </c>
      <c r="W150" s="13">
        <v>0.16429794432368866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</row>
    <row r="151" spans="1:29" x14ac:dyDescent="0.25">
      <c r="A151" s="3">
        <v>1.2376625032187E+18</v>
      </c>
      <c r="B151" s="3">
        <v>235.89401000000001</v>
      </c>
      <c r="C151" s="3">
        <v>36.218031000000003</v>
      </c>
      <c r="D151" s="16">
        <v>0.1075565</v>
      </c>
      <c r="E151" s="3">
        <v>1.2833900000000007</v>
      </c>
      <c r="F151" s="3">
        <v>1.836549999999999</v>
      </c>
      <c r="G151" s="3">
        <v>2.1531500000000001</v>
      </c>
      <c r="H151" s="3">
        <v>2.2952200000000005</v>
      </c>
      <c r="I151" s="3">
        <v>0.55315999999999832</v>
      </c>
      <c r="J151" s="3">
        <v>0.86975999999999942</v>
      </c>
      <c r="K151" s="3">
        <v>1.0118299999999998</v>
      </c>
      <c r="L151" s="3">
        <v>0.3166000000000011</v>
      </c>
      <c r="M151" s="3">
        <v>0.45867000000000147</v>
      </c>
      <c r="N151" s="3">
        <v>0.14207000000000036</v>
      </c>
      <c r="Q151" s="13">
        <v>0.56918040287169747</v>
      </c>
      <c r="R151" s="13">
        <v>-1.6335807983206794</v>
      </c>
      <c r="S151" s="13">
        <v>0.23626635577036775</v>
      </c>
      <c r="T151" s="13">
        <v>-2.4065057830067693</v>
      </c>
      <c r="U151" s="13">
        <v>0.25250462507993449</v>
      </c>
      <c r="V151" s="13">
        <v>-0.57774788552040568</v>
      </c>
      <c r="W151" s="13">
        <v>0.31701655903658937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</row>
    <row r="152" spans="1:29" x14ac:dyDescent="0.25">
      <c r="A152" s="3">
        <v>1.23766233786351E+18</v>
      </c>
      <c r="B152" s="3">
        <v>235.75324000000001</v>
      </c>
      <c r="C152" s="3">
        <v>35.804855000000003</v>
      </c>
      <c r="D152" s="16">
        <v>0.1153564</v>
      </c>
      <c r="E152" s="3">
        <v>1.509129999999999</v>
      </c>
      <c r="F152" s="3">
        <v>2.3636799999999987</v>
      </c>
      <c r="G152" s="3">
        <v>2.8628999999999998</v>
      </c>
      <c r="H152" s="3">
        <v>3.0991299999999988</v>
      </c>
      <c r="I152" s="3">
        <v>0.8545499999999997</v>
      </c>
      <c r="J152" s="3">
        <v>1.3537700000000008</v>
      </c>
      <c r="K152" s="3">
        <v>1.5899999999999999</v>
      </c>
      <c r="L152" s="3">
        <v>0.49922000000000111</v>
      </c>
      <c r="M152" s="3">
        <v>0.73545000000000016</v>
      </c>
      <c r="N152" s="3">
        <v>0.23622999999999905</v>
      </c>
      <c r="Q152" s="13">
        <v>3.6960448755172899</v>
      </c>
      <c r="R152" s="13">
        <v>0.35793452439924001</v>
      </c>
      <c r="S152" s="13">
        <v>7.2268843327813276E-2</v>
      </c>
      <c r="T152" s="13">
        <v>-2.131990796057099</v>
      </c>
      <c r="U152" s="13">
        <v>0.13417670450736555</v>
      </c>
      <c r="V152" s="13">
        <v>0.21125691316568135</v>
      </c>
      <c r="W152" s="13">
        <v>2.6272376289401045E-2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</row>
    <row r="153" spans="1:29" x14ac:dyDescent="0.25">
      <c r="A153" s="3">
        <v>1.23766250375584E+18</v>
      </c>
      <c r="B153" s="3">
        <v>236.7253</v>
      </c>
      <c r="C153" s="3">
        <v>36.269435000000001</v>
      </c>
      <c r="D153" s="16">
        <v>0.1156571</v>
      </c>
      <c r="E153" s="3">
        <v>1.6920300000000026</v>
      </c>
      <c r="F153" s="3">
        <v>2.6279900000000005</v>
      </c>
      <c r="G153" s="3">
        <v>3.1277399999999993</v>
      </c>
      <c r="H153" s="3">
        <v>3.4899400000000007</v>
      </c>
      <c r="I153" s="3">
        <v>0.9359599999999979</v>
      </c>
      <c r="J153" s="3">
        <v>1.4357099999999967</v>
      </c>
      <c r="K153" s="3">
        <v>1.7979099999999981</v>
      </c>
      <c r="L153" s="3">
        <v>0.49974999999999881</v>
      </c>
      <c r="M153" s="3">
        <v>0.86195000000000022</v>
      </c>
      <c r="N153" s="3">
        <v>0.36220000000000141</v>
      </c>
      <c r="Q153" s="13">
        <v>4.0772491232535506</v>
      </c>
      <c r="R153" s="13">
        <v>0.6546927974426513</v>
      </c>
      <c r="S153" s="13">
        <v>-1.6769612355030332</v>
      </c>
      <c r="T153" s="13">
        <v>0.45218458634276881</v>
      </c>
      <c r="U153" s="13">
        <v>0.4228321702852294</v>
      </c>
      <c r="V153" s="13">
        <v>0.30906092860016615</v>
      </c>
      <c r="W153" s="13">
        <v>0.17901557644563662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</row>
    <row r="154" spans="1:29" x14ac:dyDescent="0.25">
      <c r="A154" s="3">
        <v>1.23766247315426E+18</v>
      </c>
      <c r="B154" s="3">
        <v>236.60979</v>
      </c>
      <c r="C154" s="3">
        <v>35.714427000000001</v>
      </c>
      <c r="D154" s="16">
        <v>0.1158771</v>
      </c>
      <c r="E154" s="3">
        <v>2.012909999999998</v>
      </c>
      <c r="F154" s="3">
        <v>3.0355999999999987</v>
      </c>
      <c r="G154" s="3">
        <v>3.4643699999999988</v>
      </c>
      <c r="H154" s="3">
        <v>3.8486999999999991</v>
      </c>
      <c r="I154" s="3">
        <v>1.0226900000000008</v>
      </c>
      <c r="J154" s="3">
        <v>1.4514600000000009</v>
      </c>
      <c r="K154" s="3">
        <v>1.8357900000000011</v>
      </c>
      <c r="L154" s="3">
        <v>0.4287700000000001</v>
      </c>
      <c r="M154" s="3">
        <v>0.81310000000000038</v>
      </c>
      <c r="N154" s="3">
        <v>0.38433000000000028</v>
      </c>
      <c r="Q154" s="13">
        <v>4.9363408872668115</v>
      </c>
      <c r="R154" s="13">
        <v>1.0157029437196679</v>
      </c>
      <c r="S154" s="13">
        <v>-0.25839501031312356</v>
      </c>
      <c r="T154" s="13">
        <v>0.12907372415193816</v>
      </c>
      <c r="U154" s="13">
        <v>0.18093242068060694</v>
      </c>
      <c r="V154" s="13">
        <v>0.71469030956393365</v>
      </c>
      <c r="W154" s="13">
        <v>9.6662035682506378E-2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</row>
    <row r="155" spans="1:29" x14ac:dyDescent="0.25">
      <c r="A155" s="3">
        <v>1.2376625032190999E+18</v>
      </c>
      <c r="B155" s="3">
        <v>236.75801000000001</v>
      </c>
      <c r="C155" s="3">
        <v>35.711208999999997</v>
      </c>
      <c r="D155" s="16">
        <v>0.1160872</v>
      </c>
      <c r="E155" s="3">
        <v>1.9976699999999994</v>
      </c>
      <c r="F155" s="3">
        <v>2.9849099999999993</v>
      </c>
      <c r="G155" s="3">
        <v>3.3895599999999995</v>
      </c>
      <c r="H155" s="3">
        <v>3.7318699999999971</v>
      </c>
      <c r="I155" s="3">
        <v>0.9872399999999999</v>
      </c>
      <c r="J155" s="3">
        <v>1.3918900000000001</v>
      </c>
      <c r="K155" s="3">
        <v>1.7341999999999977</v>
      </c>
      <c r="L155" s="3">
        <v>0.40465000000000018</v>
      </c>
      <c r="M155" s="3">
        <v>0.74695999999999785</v>
      </c>
      <c r="N155" s="3">
        <v>0.34230999999999767</v>
      </c>
      <c r="Q155" s="13">
        <v>2.5701045217612251</v>
      </c>
      <c r="R155" s="13">
        <v>-0.16584787870597945</v>
      </c>
      <c r="S155" s="13">
        <v>-1.1589827333963172</v>
      </c>
      <c r="T155" s="13">
        <v>-0.4502680870234419</v>
      </c>
      <c r="U155" s="13">
        <v>0.33748558757717378</v>
      </c>
      <c r="V155" s="13">
        <v>-0.45125045718458834</v>
      </c>
      <c r="W155" s="13">
        <v>-3.5184926376281059E-3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</row>
    <row r="156" spans="1:29" x14ac:dyDescent="0.25">
      <c r="A156" s="3">
        <v>1.2376624736911301E+18</v>
      </c>
      <c r="B156" s="3">
        <v>236.73739</v>
      </c>
      <c r="C156" s="3">
        <v>36.068503999999997</v>
      </c>
      <c r="D156" s="16">
        <v>0.1228896</v>
      </c>
      <c r="E156" s="3">
        <v>1.4095999999999975</v>
      </c>
      <c r="F156" s="3">
        <v>2.2206699999999984</v>
      </c>
      <c r="G156" s="3">
        <v>2.6718099999999971</v>
      </c>
      <c r="H156" s="3">
        <v>3.0265099999999983</v>
      </c>
      <c r="I156" s="3">
        <v>0.81107000000000085</v>
      </c>
      <c r="J156" s="3">
        <v>1.2622099999999996</v>
      </c>
      <c r="K156" s="3">
        <v>1.6169100000000007</v>
      </c>
      <c r="L156" s="3">
        <v>0.45113999999999876</v>
      </c>
      <c r="M156" s="3">
        <v>0.80583999999999989</v>
      </c>
      <c r="N156" s="3">
        <v>0.35470000000000113</v>
      </c>
      <c r="Q156" s="13">
        <v>2.1048290851614464</v>
      </c>
      <c r="R156" s="13">
        <v>-0.39214842495342705</v>
      </c>
      <c r="S156" s="13">
        <v>0.80923988448121864</v>
      </c>
      <c r="T156" s="13">
        <v>-0.13637449090903653</v>
      </c>
      <c r="U156" s="13">
        <v>8.0705433296870396E-2</v>
      </c>
      <c r="V156" s="13">
        <v>-0.36441754962043293</v>
      </c>
      <c r="W156" s="13">
        <v>0.10376438169614478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</row>
    <row r="157" spans="1:29" x14ac:dyDescent="0.25">
      <c r="A157" s="3">
        <v>1.23766233786371E+18</v>
      </c>
      <c r="B157" s="3">
        <v>236.09461999999999</v>
      </c>
      <c r="C157" s="3">
        <v>35.624761999999997</v>
      </c>
      <c r="D157" s="16">
        <v>0.1238088</v>
      </c>
      <c r="E157" s="3">
        <v>1.3359500000000004</v>
      </c>
      <c r="F157" s="3">
        <v>2.0618100000000013</v>
      </c>
      <c r="G157" s="3">
        <v>2.4509800000000013</v>
      </c>
      <c r="H157" s="3">
        <v>2.7422000000000004</v>
      </c>
      <c r="I157" s="3">
        <v>0.72586000000000084</v>
      </c>
      <c r="J157" s="3">
        <v>1.1150300000000009</v>
      </c>
      <c r="K157" s="3">
        <v>1.40625</v>
      </c>
      <c r="L157" s="3">
        <v>0.38917000000000002</v>
      </c>
      <c r="M157" s="3">
        <v>0.68038999999999916</v>
      </c>
      <c r="N157" s="3">
        <v>0.29121999999999915</v>
      </c>
      <c r="Q157" s="13">
        <v>3.8226133826170923</v>
      </c>
      <c r="R157" s="13">
        <v>0.52744408009133603</v>
      </c>
      <c r="S157" s="13">
        <v>0.59303758451290078</v>
      </c>
      <c r="T157" s="13">
        <v>-1.1547485554967325</v>
      </c>
      <c r="U157" s="13">
        <v>9.5248242307266091E-3</v>
      </c>
      <c r="V157" s="13">
        <v>0.44224944243424913</v>
      </c>
      <c r="W157" s="13">
        <v>0.16441917507246995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</row>
    <row r="158" spans="1:29" x14ac:dyDescent="0.25">
      <c r="A158" s="3">
        <v>1.2376614659861299E+18</v>
      </c>
      <c r="B158" s="3">
        <v>235.84402</v>
      </c>
      <c r="C158" s="3">
        <v>35.851506000000001</v>
      </c>
      <c r="D158" s="16">
        <v>0.1239637</v>
      </c>
      <c r="E158" s="3">
        <v>1.9004800000000017</v>
      </c>
      <c r="F158" s="3">
        <v>2.966540000000002</v>
      </c>
      <c r="G158" s="3">
        <v>3.4148899999999998</v>
      </c>
      <c r="H158" s="3">
        <v>3.7806100000000011</v>
      </c>
      <c r="I158" s="3">
        <v>1.0660600000000002</v>
      </c>
      <c r="J158" s="3">
        <v>1.514409999999998</v>
      </c>
      <c r="K158" s="3">
        <v>1.8801299999999994</v>
      </c>
      <c r="L158" s="3">
        <v>0.44834999999999781</v>
      </c>
      <c r="M158" s="3">
        <v>0.81406999999999918</v>
      </c>
      <c r="N158" s="3">
        <v>0.36572000000000138</v>
      </c>
      <c r="Q158" s="13">
        <v>2.1136739664493005</v>
      </c>
      <c r="R158" s="13">
        <v>-0.4018743256020782</v>
      </c>
      <c r="S158" s="13">
        <v>0.13767390325994661</v>
      </c>
      <c r="T158" s="13">
        <v>-0.6649348751156362</v>
      </c>
      <c r="U158" s="13">
        <v>0.19241138114007611</v>
      </c>
      <c r="V158" s="13">
        <v>-0.38020902773485726</v>
      </c>
      <c r="W158" s="13">
        <v>0.11593549914911695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</row>
    <row r="159" spans="1:29" x14ac:dyDescent="0.25">
      <c r="A159" s="3">
        <v>1.2376614659861299E+18</v>
      </c>
      <c r="B159" s="3">
        <v>235.84612000000001</v>
      </c>
      <c r="C159" s="3">
        <v>35.879350000000002</v>
      </c>
      <c r="D159" s="16">
        <v>0.1242968</v>
      </c>
      <c r="E159" s="3">
        <v>1.612919999999999</v>
      </c>
      <c r="F159" s="3">
        <v>2.4735499999999995</v>
      </c>
      <c r="G159" s="3">
        <v>2.9005100000000006</v>
      </c>
      <c r="H159" s="3">
        <v>3.2315900000000006</v>
      </c>
      <c r="I159" s="3">
        <v>0.86063000000000045</v>
      </c>
      <c r="J159" s="3">
        <v>1.2875900000000016</v>
      </c>
      <c r="K159" s="3">
        <v>1.6186700000000016</v>
      </c>
      <c r="L159" s="3">
        <v>0.42696000000000112</v>
      </c>
      <c r="M159" s="3">
        <v>0.75804000000000116</v>
      </c>
      <c r="N159" s="3">
        <v>0.33108000000000004</v>
      </c>
      <c r="Q159" s="13">
        <v>4.3643532640053468</v>
      </c>
      <c r="R159" s="13">
        <v>0.49197227997729909</v>
      </c>
      <c r="S159" s="13">
        <v>-0.26031716115989595</v>
      </c>
      <c r="T159" s="13">
        <v>-0.26679637451260962</v>
      </c>
      <c r="U159" s="13">
        <v>0.15245261129294491</v>
      </c>
      <c r="V159" s="13">
        <v>0.56701904896782584</v>
      </c>
      <c r="W159" s="13">
        <v>8.1107186589351649E-2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</row>
    <row r="160" spans="1:29" x14ac:dyDescent="0.25">
      <c r="A160" s="3">
        <v>1.23766250321903E+18</v>
      </c>
      <c r="B160" s="3">
        <v>236.57581999999999</v>
      </c>
      <c r="C160" s="3">
        <v>35.837733</v>
      </c>
      <c r="D160" s="16">
        <v>0.124418</v>
      </c>
      <c r="E160" s="3">
        <v>1.6665700000000001</v>
      </c>
      <c r="F160" s="3">
        <v>2.6494199999999992</v>
      </c>
      <c r="G160" s="3">
        <v>3.0609900000000003</v>
      </c>
      <c r="H160" s="3">
        <v>3.4161900000000003</v>
      </c>
      <c r="I160" s="3">
        <v>0.98284999999999911</v>
      </c>
      <c r="J160" s="3">
        <v>1.3944200000000002</v>
      </c>
      <c r="K160" s="3">
        <v>1.7496200000000002</v>
      </c>
      <c r="L160" s="3">
        <v>0.4115700000000011</v>
      </c>
      <c r="M160" s="3">
        <v>0.76677000000000106</v>
      </c>
      <c r="N160" s="3">
        <v>0.35519999999999996</v>
      </c>
      <c r="Q160" s="13">
        <v>2.4231959917341483</v>
      </c>
      <c r="R160" s="13">
        <v>-0.23316838820850794</v>
      </c>
      <c r="S160" s="13">
        <v>1.5094683936508315</v>
      </c>
      <c r="T160" s="13">
        <v>-1.325071756763526</v>
      </c>
      <c r="U160" s="13">
        <v>-9.0147219983877452E-2</v>
      </c>
      <c r="V160" s="13">
        <v>-0.22111743502982853</v>
      </c>
      <c r="W160" s="13">
        <v>2.3340799437842025E-2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</row>
    <row r="161" spans="1:29" x14ac:dyDescent="0.25">
      <c r="A161" s="3">
        <v>1.23766247315393E+18</v>
      </c>
      <c r="B161" s="3">
        <v>235.74289999999999</v>
      </c>
      <c r="C161" s="3">
        <v>36.229205999999998</v>
      </c>
      <c r="D161" s="16">
        <v>0.1254054</v>
      </c>
      <c r="E161" s="3">
        <v>1.5147200000000005</v>
      </c>
      <c r="F161" s="3">
        <v>1.7515800000000006</v>
      </c>
      <c r="G161" s="3">
        <v>1.5411999999999999</v>
      </c>
      <c r="H161" s="3">
        <v>1.0354099999999988</v>
      </c>
      <c r="I161" s="3">
        <v>0.23686000000000007</v>
      </c>
      <c r="J161" s="3">
        <v>2.6479999999999393E-2</v>
      </c>
      <c r="K161" s="3">
        <v>-0.47931000000000168</v>
      </c>
      <c r="L161" s="3">
        <v>-0.21038000000000068</v>
      </c>
      <c r="M161" s="3">
        <v>-0.71617000000000175</v>
      </c>
      <c r="N161" s="3">
        <v>-0.50579000000000107</v>
      </c>
      <c r="Q161" s="13">
        <v>2.3258819494204017</v>
      </c>
      <c r="R161" s="13">
        <v>-0.42649969984756964</v>
      </c>
      <c r="S161" s="13">
        <v>0.2668620203359876</v>
      </c>
      <c r="T161" s="13">
        <v>-1.6637678719792126</v>
      </c>
      <c r="U161" s="13">
        <v>0.19589628205602211</v>
      </c>
      <c r="V161" s="13">
        <v>-0.28170375093553512</v>
      </c>
      <c r="W161" s="13">
        <v>6.3336246440837948E-2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</row>
    <row r="162" spans="1:29" x14ac:dyDescent="0.25">
      <c r="A162" s="3">
        <v>1.2376624736908001E+18</v>
      </c>
      <c r="B162" s="3">
        <v>235.98036999999999</v>
      </c>
      <c r="C162" s="3">
        <v>36.385114999999999</v>
      </c>
      <c r="D162" s="16">
        <v>0.12737989999999999</v>
      </c>
      <c r="E162" s="3">
        <v>1.4035399999999996</v>
      </c>
      <c r="F162" s="3">
        <v>2.2587100000000007</v>
      </c>
      <c r="G162" s="3">
        <v>2.704740000000001</v>
      </c>
      <c r="H162" s="3">
        <v>2.99878</v>
      </c>
      <c r="I162" s="3">
        <v>0.8551700000000011</v>
      </c>
      <c r="J162" s="3">
        <v>1.3012000000000015</v>
      </c>
      <c r="K162" s="3">
        <v>1.5952400000000004</v>
      </c>
      <c r="L162" s="3">
        <v>0.44603000000000037</v>
      </c>
      <c r="M162" s="3">
        <v>0.74006999999999934</v>
      </c>
      <c r="N162" s="3">
        <v>0.29403999999999897</v>
      </c>
      <c r="Q162" s="13">
        <v>2.9807046376966944</v>
      </c>
      <c r="R162" s="13">
        <v>8.5367659932997664E-2</v>
      </c>
      <c r="S162" s="13">
        <v>-0.42085009249454969</v>
      </c>
      <c r="T162" s="13">
        <v>-0.97637160575686366</v>
      </c>
      <c r="U162" s="13">
        <v>0.32434566478169014</v>
      </c>
      <c r="V162" s="13">
        <v>-0.12098644857873624</v>
      </c>
      <c r="W162" s="13">
        <v>9.1229546733416073E-2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</row>
    <row r="163" spans="1:29" x14ac:dyDescent="0.25">
      <c r="A163" s="3">
        <v>1.2376625032187E+18</v>
      </c>
      <c r="B163" s="3">
        <v>235.88801000000001</v>
      </c>
      <c r="C163" s="3">
        <v>36.383172999999999</v>
      </c>
      <c r="D163" s="16">
        <v>0.127388</v>
      </c>
      <c r="E163" s="3">
        <v>0.6467400000000012</v>
      </c>
      <c r="F163" s="3">
        <v>0.93725999999999843</v>
      </c>
      <c r="G163" s="3">
        <v>1.2791299999999985</v>
      </c>
      <c r="H163" s="3">
        <v>0.94147999999999854</v>
      </c>
      <c r="I163" s="3">
        <v>0.29051999999999722</v>
      </c>
      <c r="J163" s="3">
        <v>0.63238999999999734</v>
      </c>
      <c r="K163" s="3">
        <v>0.29473999999999734</v>
      </c>
      <c r="L163" s="3">
        <v>0.34187000000000012</v>
      </c>
      <c r="M163" s="3">
        <v>4.2200000000001125E-3</v>
      </c>
      <c r="N163" s="3">
        <v>-0.33765000000000001</v>
      </c>
      <c r="Q163" s="13">
        <v>2.1197622412705712</v>
      </c>
      <c r="R163" s="13">
        <v>-0.58463438620165742</v>
      </c>
      <c r="S163" s="13">
        <v>0.1944481467277788</v>
      </c>
      <c r="T163" s="13">
        <v>-1.548104508408529</v>
      </c>
      <c r="U163" s="13">
        <v>0.12591311728198001</v>
      </c>
      <c r="V163" s="13">
        <v>-0.29422888765284161</v>
      </c>
      <c r="W163" s="13">
        <v>9.3488366423392602E-2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</row>
    <row r="164" spans="1:29" x14ac:dyDescent="0.25">
      <c r="A164" s="3">
        <v>1.23766146598626E+18</v>
      </c>
      <c r="B164" s="3">
        <v>236.24325999999999</v>
      </c>
      <c r="C164" s="3">
        <v>35.63682</v>
      </c>
      <c r="D164" s="16">
        <v>0.1431992</v>
      </c>
      <c r="E164" s="3">
        <v>1.2023699999999984</v>
      </c>
      <c r="F164" s="3">
        <v>1.8755400000000009</v>
      </c>
      <c r="G164" s="3">
        <v>2.351189999999999</v>
      </c>
      <c r="H164" s="3">
        <v>2.53566</v>
      </c>
      <c r="I164" s="3">
        <v>0.67317000000000249</v>
      </c>
      <c r="J164" s="3">
        <v>1.1488200000000006</v>
      </c>
      <c r="K164" s="3">
        <v>1.3332900000000016</v>
      </c>
      <c r="L164" s="3">
        <v>0.47564999999999813</v>
      </c>
      <c r="M164" s="3">
        <v>0.66011999999999915</v>
      </c>
      <c r="N164" s="3">
        <v>0.18447000000000102</v>
      </c>
      <c r="Q164" s="13">
        <v>1.8395171285734639</v>
      </c>
      <c r="R164" s="13">
        <v>-0.92511713676999674</v>
      </c>
      <c r="S164" s="13">
        <v>0.17571106399510256</v>
      </c>
      <c r="T164" s="13">
        <v>-2.243403845386025</v>
      </c>
      <c r="U164" s="13">
        <v>8.8010414399868439E-2</v>
      </c>
      <c r="V164" s="13">
        <v>-0.25363699782778293</v>
      </c>
      <c r="W164" s="13">
        <v>0.13820486336785803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</row>
    <row r="165" spans="1:29" x14ac:dyDescent="0.25">
      <c r="A165" s="3">
        <v>1.2376614659863301E+18</v>
      </c>
      <c r="B165" s="3">
        <v>236.35124999999999</v>
      </c>
      <c r="C165" s="3">
        <v>35.738518999999997</v>
      </c>
      <c r="D165" s="16">
        <v>0.14978</v>
      </c>
      <c r="E165" s="3">
        <v>1.697140000000001</v>
      </c>
      <c r="F165" s="3">
        <v>2.6720500000000023</v>
      </c>
      <c r="G165" s="3">
        <v>3.1470400000000005</v>
      </c>
      <c r="H165" s="3">
        <v>3.4943200000000019</v>
      </c>
      <c r="I165" s="3">
        <v>0.97491000000000128</v>
      </c>
      <c r="J165" s="3">
        <v>1.4498999999999995</v>
      </c>
      <c r="K165" s="3">
        <v>1.7971800000000009</v>
      </c>
      <c r="L165" s="3">
        <v>0.47498999999999825</v>
      </c>
      <c r="M165" s="3">
        <v>0.82226999999999961</v>
      </c>
      <c r="N165" s="3">
        <v>0.34728000000000137</v>
      </c>
      <c r="Q165" s="13">
        <v>1.8013205022960723</v>
      </c>
      <c r="R165" s="13">
        <v>-0.48107663506534354</v>
      </c>
      <c r="S165" s="13">
        <v>-0.53002119494631472</v>
      </c>
      <c r="T165" s="13">
        <v>-0.9077661765310715</v>
      </c>
      <c r="U165" s="13">
        <v>0.36545410917106497</v>
      </c>
      <c r="V165" s="13">
        <v>-0.4562979308868883</v>
      </c>
      <c r="W165" s="13">
        <v>0.22597018431856747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</row>
    <row r="166" spans="1:29" x14ac:dyDescent="0.25">
      <c r="A166" s="3">
        <v>1.23766146598626E+18</v>
      </c>
      <c r="B166" s="3">
        <v>236.34017</v>
      </c>
      <c r="C166" s="3">
        <v>35.770614999999999</v>
      </c>
      <c r="D166" s="16">
        <v>0.15014939999999999</v>
      </c>
      <c r="E166" s="3">
        <v>1.8135399999999997</v>
      </c>
      <c r="F166" s="3">
        <v>2.8863099999999982</v>
      </c>
      <c r="G166" s="3">
        <v>3.3535800000000009</v>
      </c>
      <c r="H166" s="3">
        <v>3.7226900000000001</v>
      </c>
      <c r="I166" s="3">
        <v>1.0727699999999984</v>
      </c>
      <c r="J166" s="3">
        <v>1.5400400000000012</v>
      </c>
      <c r="K166" s="3">
        <v>1.9091500000000003</v>
      </c>
      <c r="L166" s="3">
        <v>0.46727000000000274</v>
      </c>
      <c r="M166" s="3">
        <v>0.8363800000000019</v>
      </c>
      <c r="N166" s="3">
        <v>0.36910999999999916</v>
      </c>
      <c r="Q166" s="13">
        <v>2.1261955266859109</v>
      </c>
      <c r="R166" s="13">
        <v>-0.48355280840293274</v>
      </c>
      <c r="S166" s="13">
        <v>0.11761203335975501</v>
      </c>
      <c r="T166" s="13">
        <v>-2.1513428870033611</v>
      </c>
      <c r="U166" s="13">
        <v>0.32003540332754471</v>
      </c>
      <c r="V166" s="13">
        <v>-0.37499108641651319</v>
      </c>
      <c r="W166" s="13">
        <v>8.5867485632089596E-2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</row>
    <row r="167" spans="1:29" x14ac:dyDescent="0.25">
      <c r="A167" s="3">
        <v>1.2376624731543301E+18</v>
      </c>
      <c r="B167" s="3">
        <v>236.59671</v>
      </c>
      <c r="C167" s="3">
        <v>35.684753999999998</v>
      </c>
      <c r="D167" s="16">
        <v>0.15167710000000001</v>
      </c>
      <c r="E167" s="3">
        <v>2.0356400000000008</v>
      </c>
      <c r="F167" s="3">
        <v>3.1498699999999999</v>
      </c>
      <c r="G167" s="3">
        <v>3.618310000000001</v>
      </c>
      <c r="H167" s="3">
        <v>3.9903300000000002</v>
      </c>
      <c r="I167" s="3">
        <v>1.1142299999999992</v>
      </c>
      <c r="J167" s="3">
        <v>1.5826700000000002</v>
      </c>
      <c r="K167" s="3">
        <v>1.9546899999999994</v>
      </c>
      <c r="L167" s="3">
        <v>0.46844000000000108</v>
      </c>
      <c r="M167" s="3">
        <v>0.84046000000000021</v>
      </c>
      <c r="N167" s="3">
        <v>0.37201999999999913</v>
      </c>
      <c r="Q167" s="13">
        <v>2.2036050555273095</v>
      </c>
      <c r="R167" s="13">
        <v>-0.48474583977425673</v>
      </c>
      <c r="S167" s="13">
        <v>0.24393017579574378</v>
      </c>
      <c r="T167" s="13">
        <v>-2.2676191307617071</v>
      </c>
      <c r="U167" s="13">
        <v>0.18206038074883238</v>
      </c>
      <c r="V167" s="13">
        <v>-0.31362929124866662</v>
      </c>
      <c r="W167" s="13">
        <v>5.5069250671242909E-2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</row>
    <row r="168" spans="1:29" x14ac:dyDescent="0.25">
      <c r="A168" s="3">
        <v>1.23766233786351E+18</v>
      </c>
      <c r="B168" s="3">
        <v>235.65716</v>
      </c>
      <c r="C168" s="3">
        <v>35.904936999999997</v>
      </c>
      <c r="D168" s="16">
        <v>0.1517288</v>
      </c>
      <c r="E168" s="3">
        <v>1.5125500000000009</v>
      </c>
      <c r="F168" s="3">
        <v>2.5190400000000004</v>
      </c>
      <c r="G168" s="3">
        <v>2.9849700000000006</v>
      </c>
      <c r="H168" s="3">
        <v>3.3338399999999986</v>
      </c>
      <c r="I168" s="3">
        <v>1.0064899999999994</v>
      </c>
      <c r="J168" s="3">
        <v>1.4724199999999996</v>
      </c>
      <c r="K168" s="3">
        <v>1.8212899999999976</v>
      </c>
      <c r="L168" s="3">
        <v>0.46593000000000018</v>
      </c>
      <c r="M168" s="3">
        <v>0.81479999999999819</v>
      </c>
      <c r="N168" s="3">
        <v>0.34886999999999802</v>
      </c>
      <c r="Q168" s="13">
        <v>2.0600147689283781</v>
      </c>
      <c r="R168" s="13">
        <v>-0.82230569151153621</v>
      </c>
      <c r="S168" s="13">
        <v>0.14987846265104196</v>
      </c>
      <c r="T168" s="13">
        <v>-2.190682636431279</v>
      </c>
      <c r="U168" s="13">
        <v>0.17124351488478137</v>
      </c>
      <c r="V168" s="13">
        <v>-0.23467355285808944</v>
      </c>
      <c r="W168" s="13">
        <v>9.3703303790033929E-2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</row>
    <row r="169" spans="1:29" x14ac:dyDescent="0.25">
      <c r="A169" s="3">
        <v>1.23766250321903E+18</v>
      </c>
      <c r="B169" s="3">
        <v>236.48841999999999</v>
      </c>
      <c r="C169" s="3">
        <v>35.799984000000002</v>
      </c>
      <c r="D169" s="16">
        <v>0.15268960000000001</v>
      </c>
      <c r="E169" s="3">
        <v>1.4280400000000029</v>
      </c>
      <c r="F169" s="3">
        <v>2.2787600000000019</v>
      </c>
      <c r="G169" s="3">
        <v>2.703990000000001</v>
      </c>
      <c r="H169" s="3">
        <v>2.9721400000000031</v>
      </c>
      <c r="I169" s="3">
        <v>0.85071999999999903</v>
      </c>
      <c r="J169" s="3">
        <v>1.2759499999999981</v>
      </c>
      <c r="K169" s="3">
        <v>1.5441000000000003</v>
      </c>
      <c r="L169" s="3">
        <v>0.42522999999999911</v>
      </c>
      <c r="M169" s="3">
        <v>0.69338000000000122</v>
      </c>
      <c r="N169" s="3">
        <v>0.26815000000000211</v>
      </c>
      <c r="Q169" s="13">
        <v>1.8936894727418445</v>
      </c>
      <c r="R169" s="13">
        <v>-0.2461546388016892</v>
      </c>
      <c r="S169" s="13">
        <v>0.60554787184555359</v>
      </c>
      <c r="T169" s="13">
        <v>1.7950423422686106</v>
      </c>
      <c r="U169" s="13">
        <v>0.16520350339660045</v>
      </c>
      <c r="V169" s="13">
        <v>-0.32632078089438993</v>
      </c>
      <c r="W169" s="13">
        <v>0.25072804488191608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</row>
    <row r="170" spans="1:29" x14ac:dyDescent="0.25">
      <c r="A170" s="3">
        <v>1.2376625032187E+18</v>
      </c>
      <c r="B170" s="3">
        <v>235.76855</v>
      </c>
      <c r="C170" s="3">
        <v>36.286537000000003</v>
      </c>
      <c r="D170" s="16">
        <v>0.15682779999999999</v>
      </c>
      <c r="E170" s="3">
        <v>1.6121100000000013</v>
      </c>
      <c r="F170" s="3">
        <v>2.5818600000000025</v>
      </c>
      <c r="G170" s="3">
        <v>3.0311500000000002</v>
      </c>
      <c r="H170" s="3">
        <v>3.3962299999999992</v>
      </c>
      <c r="I170" s="3">
        <v>0.96975000000000122</v>
      </c>
      <c r="J170" s="3">
        <v>1.419039999999999</v>
      </c>
      <c r="K170" s="3">
        <v>1.7841199999999979</v>
      </c>
      <c r="L170" s="3">
        <v>0.44928999999999775</v>
      </c>
      <c r="M170" s="3">
        <v>0.81436999999999671</v>
      </c>
      <c r="N170" s="3">
        <v>0.36507999999999896</v>
      </c>
      <c r="Q170" s="13">
        <v>3.9193033425919812</v>
      </c>
      <c r="R170" s="13">
        <v>0.70410750332139505</v>
      </c>
      <c r="S170" s="13">
        <v>-4.538769907654646E-2</v>
      </c>
      <c r="T170" s="13">
        <v>1.1276331498670729</v>
      </c>
      <c r="U170" s="13">
        <v>0.1640172804887052</v>
      </c>
      <c r="V170" s="13">
        <v>0.27338286938861078</v>
      </c>
      <c r="W170" s="13">
        <v>5.7496535731204959E-2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</row>
    <row r="171" spans="1:29" x14ac:dyDescent="0.25">
      <c r="A171" s="3">
        <v>1.2376614659859999E+18</v>
      </c>
      <c r="B171" s="3">
        <v>235.72713999999999</v>
      </c>
      <c r="C171" s="3">
        <v>36.146338999999998</v>
      </c>
      <c r="D171" s="16">
        <v>0.15704850000000001</v>
      </c>
      <c r="E171" s="3">
        <v>1.6416000000000004</v>
      </c>
      <c r="F171" s="3">
        <v>2.4710199999999993</v>
      </c>
      <c r="G171" s="3">
        <v>2.8034800000000004</v>
      </c>
      <c r="H171" s="3">
        <v>3.0456800000000008</v>
      </c>
      <c r="I171" s="3">
        <v>0.82941999999999894</v>
      </c>
      <c r="J171" s="3">
        <v>1.16188</v>
      </c>
      <c r="K171" s="3">
        <v>1.4040800000000004</v>
      </c>
      <c r="L171" s="3">
        <v>0.33246000000000109</v>
      </c>
      <c r="M171" s="3">
        <v>0.5746600000000015</v>
      </c>
      <c r="N171" s="3">
        <v>0.24220000000000041</v>
      </c>
      <c r="Q171" s="13">
        <v>1.7825736123174192</v>
      </c>
      <c r="R171" s="13">
        <v>-0.17338423972545108</v>
      </c>
      <c r="S171" s="13">
        <v>-0.18005003438541148</v>
      </c>
      <c r="T171" s="13">
        <v>1.2965014280052305</v>
      </c>
      <c r="U171" s="13">
        <v>0.42116892181677029</v>
      </c>
      <c r="V171" s="13">
        <v>-0.50018677144258017</v>
      </c>
      <c r="W171" s="13">
        <v>0.25313131050252863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</row>
    <row r="172" spans="1:29" x14ac:dyDescent="0.25">
      <c r="A172" s="3">
        <v>1.2376624736909299E+18</v>
      </c>
      <c r="B172" s="3">
        <v>236.46118000000001</v>
      </c>
      <c r="C172" s="3">
        <v>36.303669999999997</v>
      </c>
      <c r="D172" s="16">
        <v>0.15854940000000001</v>
      </c>
      <c r="E172" s="3">
        <v>2.4263799999999982</v>
      </c>
      <c r="F172" s="3">
        <v>3.5973900000000008</v>
      </c>
      <c r="G172" s="3">
        <v>4.0825399999999981</v>
      </c>
      <c r="H172" s="3">
        <v>4.4208299999999987</v>
      </c>
      <c r="I172" s="3">
        <v>1.1710100000000025</v>
      </c>
      <c r="J172" s="3">
        <v>1.6561599999999999</v>
      </c>
      <c r="K172" s="3">
        <v>1.9944500000000005</v>
      </c>
      <c r="L172" s="3">
        <v>0.48514999999999731</v>
      </c>
      <c r="M172" s="3">
        <v>0.82343999999999795</v>
      </c>
      <c r="N172" s="3">
        <v>0.33829000000000065</v>
      </c>
      <c r="Q172" s="13">
        <v>4.3602252572585778</v>
      </c>
      <c r="R172" s="13">
        <v>0.63415969346545509</v>
      </c>
      <c r="S172" s="13">
        <v>-0.23630727319779821</v>
      </c>
      <c r="T172" s="13">
        <v>0.99170204163860731</v>
      </c>
      <c r="U172" s="13">
        <v>9.8981058858331722E-2</v>
      </c>
      <c r="V172" s="13">
        <v>0.52970554691984251</v>
      </c>
      <c r="W172" s="13">
        <v>-5.0221287068535313E-2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</row>
    <row r="173" spans="1:29" x14ac:dyDescent="0.25">
      <c r="A173" s="3">
        <v>1.23766247422781E+18</v>
      </c>
      <c r="B173" s="3">
        <v>236.65338</v>
      </c>
      <c r="C173" s="3">
        <v>36.537120000000002</v>
      </c>
      <c r="D173" s="16">
        <v>0.15969130000000001</v>
      </c>
      <c r="E173" s="3">
        <v>2.2642699999999998</v>
      </c>
      <c r="F173" s="3">
        <v>3.4723100000000002</v>
      </c>
      <c r="G173" s="3">
        <v>3.9599200000000003</v>
      </c>
      <c r="H173" s="3">
        <v>4.2919300000000007</v>
      </c>
      <c r="I173" s="3">
        <v>1.2080400000000004</v>
      </c>
      <c r="J173" s="3">
        <v>1.6956500000000005</v>
      </c>
      <c r="K173" s="3">
        <v>2.0276600000000009</v>
      </c>
      <c r="L173" s="3">
        <v>0.4876100000000001</v>
      </c>
      <c r="M173" s="3">
        <v>0.81962000000000046</v>
      </c>
      <c r="N173" s="3">
        <v>0.33201000000000036</v>
      </c>
      <c r="Q173" s="13">
        <v>2.7909926185003147</v>
      </c>
      <c r="R173" s="13">
        <v>0.19805396694402141</v>
      </c>
      <c r="S173" s="13">
        <v>-1.6561739978772998</v>
      </c>
      <c r="T173" s="13">
        <v>0.34159810864026208</v>
      </c>
      <c r="U173" s="13">
        <v>0.20535347834841833</v>
      </c>
      <c r="V173" s="13">
        <v>0.19687864242553338</v>
      </c>
      <c r="W173" s="13">
        <v>0.29356490091757587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</row>
    <row r="174" spans="1:29" x14ac:dyDescent="0.25">
      <c r="A174" s="3">
        <v>1.23766247422787E+18</v>
      </c>
      <c r="B174" s="3">
        <v>236.85077999999999</v>
      </c>
      <c r="C174" s="3">
        <v>36.515898</v>
      </c>
      <c r="D174" s="16">
        <v>0.1602382</v>
      </c>
      <c r="E174" s="3">
        <v>1.8821100000000008</v>
      </c>
      <c r="F174" s="3">
        <v>3.0618200000000009</v>
      </c>
      <c r="G174" s="3">
        <v>3.5198099999999997</v>
      </c>
      <c r="H174" s="3">
        <v>3.8623800000000017</v>
      </c>
      <c r="I174" s="3">
        <v>1.17971</v>
      </c>
      <c r="J174" s="3">
        <v>1.6376999999999988</v>
      </c>
      <c r="K174" s="3">
        <v>1.9802700000000009</v>
      </c>
      <c r="L174" s="3">
        <v>0.45798999999999879</v>
      </c>
      <c r="M174" s="3">
        <v>0.80056000000000083</v>
      </c>
      <c r="N174" s="3">
        <v>0.34257000000000204</v>
      </c>
      <c r="Q174" s="13">
        <v>1.8948381864668127</v>
      </c>
      <c r="R174" s="13">
        <v>0.11916992598066616</v>
      </c>
      <c r="S174" s="13">
        <v>1.5880249565765219</v>
      </c>
      <c r="T174" s="13">
        <v>-0.63329917749016584</v>
      </c>
      <c r="U174" s="13">
        <v>5.5023395183740172E-2</v>
      </c>
      <c r="V174" s="13">
        <v>-0.26652091028880404</v>
      </c>
      <c r="W174" s="13">
        <v>0.16427279962973548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</row>
    <row r="175" spans="1:29" x14ac:dyDescent="0.25">
      <c r="A175" s="3">
        <v>1.2376624736911301E+18</v>
      </c>
      <c r="B175" s="3">
        <v>236.8605</v>
      </c>
      <c r="C175" s="3">
        <v>36.080049000000002</v>
      </c>
      <c r="D175" s="16">
        <v>0.1651205</v>
      </c>
      <c r="E175" s="3">
        <v>1.6840900000000012</v>
      </c>
      <c r="F175" s="3">
        <v>2.7096899999999984</v>
      </c>
      <c r="G175" s="3">
        <v>3.1569099999999999</v>
      </c>
      <c r="H175" s="3">
        <v>3.5064300000000017</v>
      </c>
      <c r="I175" s="3">
        <v>1.0255999999999972</v>
      </c>
      <c r="J175" s="3">
        <v>1.4728199999999987</v>
      </c>
      <c r="K175" s="3">
        <v>1.8223400000000005</v>
      </c>
      <c r="L175" s="3">
        <v>0.44722000000000151</v>
      </c>
      <c r="M175" s="3">
        <v>0.79674000000000333</v>
      </c>
      <c r="N175" s="3">
        <v>0.34952000000000183</v>
      </c>
      <c r="Q175" s="13">
        <v>1.7088945194193204</v>
      </c>
      <c r="R175" s="13">
        <v>-0.61873396600124719</v>
      </c>
      <c r="S175" s="13">
        <v>-4.059482571859644E-2</v>
      </c>
      <c r="T175" s="13">
        <v>-1.6982612795858902</v>
      </c>
      <c r="U175" s="13">
        <v>0.21624277146615997</v>
      </c>
      <c r="V175" s="13">
        <v>-0.47336611649153998</v>
      </c>
      <c r="W175" s="13">
        <v>-4.4345197929626122E-2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</row>
    <row r="176" spans="1:29" x14ac:dyDescent="0.25">
      <c r="A176" s="3">
        <v>1.23766146598626E+18</v>
      </c>
      <c r="B176" s="3">
        <v>236.22492</v>
      </c>
      <c r="C176" s="3">
        <v>35.850149000000002</v>
      </c>
      <c r="D176" s="16">
        <v>0.17266390000000001</v>
      </c>
      <c r="E176" s="3">
        <v>2.0448199999999979</v>
      </c>
      <c r="F176" s="3">
        <v>3.198839999999997</v>
      </c>
      <c r="G176" s="3">
        <v>3.6704599999999985</v>
      </c>
      <c r="H176" s="3">
        <v>3.9716899999999988</v>
      </c>
      <c r="I176" s="3">
        <v>1.1540199999999992</v>
      </c>
      <c r="J176" s="3">
        <v>1.6256400000000006</v>
      </c>
      <c r="K176" s="3">
        <v>1.926870000000001</v>
      </c>
      <c r="L176" s="3">
        <v>0.47162000000000148</v>
      </c>
      <c r="M176" s="3">
        <v>0.77285000000000181</v>
      </c>
      <c r="N176" s="3">
        <v>0.30123000000000033</v>
      </c>
      <c r="Q176" s="13">
        <v>1.9631758750438353</v>
      </c>
      <c r="R176" s="13">
        <v>-0.64859894681878605</v>
      </c>
      <c r="S176" s="13">
        <v>0.26930365750910085</v>
      </c>
      <c r="T176" s="13">
        <v>-2.03513566318024</v>
      </c>
      <c r="U176" s="13">
        <v>8.4904810832995004E-2</v>
      </c>
      <c r="V176" s="13">
        <v>-0.30248821309449869</v>
      </c>
      <c r="W176" s="13">
        <v>-8.1209137068287238E-2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</row>
    <row r="177" spans="1:29" x14ac:dyDescent="0.25">
      <c r="A177" s="3">
        <v>1.2376625032189701E+18</v>
      </c>
      <c r="B177" s="3">
        <v>236.42006000000001</v>
      </c>
      <c r="C177" s="3">
        <v>35.874451999999998</v>
      </c>
      <c r="D177" s="16">
        <v>0.173148</v>
      </c>
      <c r="E177" s="3">
        <v>1.1855100000000007</v>
      </c>
      <c r="F177" s="3">
        <v>1.9101700000000008</v>
      </c>
      <c r="G177" s="3">
        <v>2.3095299999999988</v>
      </c>
      <c r="H177" s="3">
        <v>2.463989999999999</v>
      </c>
      <c r="I177" s="3">
        <v>0.72466000000000008</v>
      </c>
      <c r="J177" s="3">
        <v>1.124019999999998</v>
      </c>
      <c r="K177" s="3">
        <v>1.2784799999999983</v>
      </c>
      <c r="L177" s="3">
        <v>0.39935999999999794</v>
      </c>
      <c r="M177" s="3">
        <v>0.5538199999999982</v>
      </c>
      <c r="N177" s="3">
        <v>0.15446000000000026</v>
      </c>
      <c r="Q177" s="13">
        <v>2.5258442620149282</v>
      </c>
      <c r="R177" s="13">
        <v>0.55235819817138454</v>
      </c>
      <c r="S177" s="13">
        <v>1.1347774940048976</v>
      </c>
      <c r="T177" s="13">
        <v>-1.2042400057262848</v>
      </c>
      <c r="U177" s="13">
        <v>0.22423143812790017</v>
      </c>
      <c r="V177" s="13">
        <v>-0.21162723353785942</v>
      </c>
      <c r="W177" s="13">
        <v>3.6575449875540809E-2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</row>
    <row r="178" spans="1:29" x14ac:dyDescent="0.25">
      <c r="A178" s="3">
        <v>1.2376614659861299E+18</v>
      </c>
      <c r="B178" s="3">
        <v>235.86985999999999</v>
      </c>
      <c r="C178" s="3">
        <v>35.835045999999998</v>
      </c>
      <c r="D178" s="16">
        <v>0.17543890000000001</v>
      </c>
      <c r="E178" s="3">
        <v>2.3863400000000006</v>
      </c>
      <c r="F178" s="3">
        <v>3.6130700000000004</v>
      </c>
      <c r="G178" s="3">
        <v>4.0880299999999998</v>
      </c>
      <c r="H178" s="3">
        <v>4.413450000000001</v>
      </c>
      <c r="I178" s="3">
        <v>1.2267299999999999</v>
      </c>
      <c r="J178" s="3">
        <v>1.7016899999999993</v>
      </c>
      <c r="K178" s="3">
        <v>2.0271100000000004</v>
      </c>
      <c r="L178" s="3">
        <v>0.47495999999999938</v>
      </c>
      <c r="M178" s="3">
        <v>0.80038000000000054</v>
      </c>
      <c r="N178" s="3">
        <v>0.32542000000000115</v>
      </c>
      <c r="Q178" s="13">
        <v>3.2895358544168452</v>
      </c>
      <c r="R178" s="13">
        <v>0.50040498657527999</v>
      </c>
      <c r="S178" s="13">
        <v>-1.3265328118471709</v>
      </c>
      <c r="T178" s="13">
        <v>-0.89592794483707128</v>
      </c>
      <c r="U178" s="13">
        <v>0.46017212067703217</v>
      </c>
      <c r="V178" s="13">
        <v>-2.6426633069718163E-2</v>
      </c>
      <c r="W178" s="13">
        <v>-4.9063193365749068E-2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</row>
    <row r="179" spans="1:29" x14ac:dyDescent="0.25">
      <c r="A179" s="3">
        <v>1.2376614659861299E+18</v>
      </c>
      <c r="B179" s="3">
        <v>235.88858999999999</v>
      </c>
      <c r="C179" s="3">
        <v>35.844133999999997</v>
      </c>
      <c r="D179" s="16">
        <v>0.1773024</v>
      </c>
      <c r="E179" s="3">
        <v>1.4045099999999984</v>
      </c>
      <c r="F179" s="3">
        <v>2.3114299999999979</v>
      </c>
      <c r="G179" s="3">
        <v>2.8230199999999996</v>
      </c>
      <c r="H179" s="3">
        <v>3.1574399999999976</v>
      </c>
      <c r="I179" s="3">
        <v>0.9069199999999995</v>
      </c>
      <c r="J179" s="3">
        <v>1.4185100000000013</v>
      </c>
      <c r="K179" s="3">
        <v>1.7529299999999992</v>
      </c>
      <c r="L179" s="3">
        <v>0.51159000000000177</v>
      </c>
      <c r="M179" s="3">
        <v>0.84600999999999971</v>
      </c>
      <c r="N179" s="3">
        <v>0.33441999999999794</v>
      </c>
      <c r="Q179" s="13">
        <v>1.8137529064898401</v>
      </c>
      <c r="R179" s="13">
        <v>-0.40307558715884184</v>
      </c>
      <c r="S179" s="13">
        <v>-1.3517507232484374</v>
      </c>
      <c r="T179" s="13">
        <v>0.31809652277595285</v>
      </c>
      <c r="U179" s="13">
        <v>0.25482052446692549</v>
      </c>
      <c r="V179" s="13">
        <v>-0.44641809329539622</v>
      </c>
      <c r="W179" s="13">
        <v>3.2372997016685487E-2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</row>
    <row r="180" spans="1:29" x14ac:dyDescent="0.25">
      <c r="A180" s="3">
        <v>1.2376624736911301E+18</v>
      </c>
      <c r="B180" s="3">
        <v>236.72726</v>
      </c>
      <c r="C180" s="3">
        <v>35.990147999999998</v>
      </c>
      <c r="D180" s="16">
        <v>0.18636659999999999</v>
      </c>
      <c r="E180" s="3">
        <v>2.042620000000003</v>
      </c>
      <c r="F180" s="3">
        <v>3.3182100000000005</v>
      </c>
      <c r="G180" s="3">
        <v>3.8191400000000009</v>
      </c>
      <c r="H180" s="3">
        <v>4.1846700000000006</v>
      </c>
      <c r="I180" s="3">
        <v>1.2755899999999976</v>
      </c>
      <c r="J180" s="3">
        <v>1.7765199999999979</v>
      </c>
      <c r="K180" s="3">
        <v>2.1420499999999976</v>
      </c>
      <c r="L180" s="3">
        <v>0.50093000000000032</v>
      </c>
      <c r="M180" s="3">
        <v>0.86646000000000001</v>
      </c>
      <c r="N180" s="3">
        <v>0.36552999999999969</v>
      </c>
      <c r="Q180" s="13">
        <v>2.6087592887346691</v>
      </c>
      <c r="R180" s="13">
        <v>0.13796219571052129</v>
      </c>
      <c r="S180" s="13">
        <v>-1.2353883672291379</v>
      </c>
      <c r="T180" s="13">
        <v>0.32550169374905874</v>
      </c>
      <c r="U180" s="13">
        <v>0.42547935032669648</v>
      </c>
      <c r="V180" s="13">
        <v>-0.22649755414373043</v>
      </c>
      <c r="W180" s="13">
        <v>1.9963085310685264E-2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</row>
    <row r="181" spans="1:29" x14ac:dyDescent="0.25">
      <c r="A181" s="3">
        <v>1.2376625032187699E+18</v>
      </c>
      <c r="B181" s="3">
        <v>236.03922</v>
      </c>
      <c r="C181" s="3">
        <v>36.191927999999997</v>
      </c>
      <c r="D181" s="16">
        <v>0.1880058</v>
      </c>
      <c r="E181" s="3">
        <v>2.5178999999999974</v>
      </c>
      <c r="F181" s="3">
        <v>3.8581099999999999</v>
      </c>
      <c r="G181" s="3">
        <v>4.3627499999999984</v>
      </c>
      <c r="H181" s="3">
        <v>4.7605999999999966</v>
      </c>
      <c r="I181" s="3">
        <v>1.3402100000000026</v>
      </c>
      <c r="J181" s="3">
        <v>1.844850000000001</v>
      </c>
      <c r="K181" s="3">
        <v>2.2426999999999992</v>
      </c>
      <c r="L181" s="3">
        <v>0.50463999999999842</v>
      </c>
      <c r="M181" s="3">
        <v>0.90248999999999668</v>
      </c>
      <c r="N181" s="3">
        <v>0.39784999999999826</v>
      </c>
      <c r="Q181" s="13">
        <v>2.1525888801458062</v>
      </c>
      <c r="R181" s="13">
        <v>-5.259741931242172E-2</v>
      </c>
      <c r="S181" s="13">
        <v>0.17932885794189449</v>
      </c>
      <c r="T181" s="13">
        <v>-1.3658320051619655</v>
      </c>
      <c r="U181" s="13">
        <v>7.5252583493263567E-2</v>
      </c>
      <c r="V181" s="13">
        <v>-0.35105521229158881</v>
      </c>
      <c r="W181" s="13">
        <v>-7.8511027270043651E-2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</row>
    <row r="182" spans="1:29" x14ac:dyDescent="0.25">
      <c r="A182" s="3">
        <v>1.2376625032187699E+18</v>
      </c>
      <c r="B182" s="3">
        <v>236.02067</v>
      </c>
      <c r="C182" s="3">
        <v>36.177900000000001</v>
      </c>
      <c r="D182" s="16">
        <v>0.18837670000000001</v>
      </c>
      <c r="E182" s="3">
        <v>2.0420099999999977</v>
      </c>
      <c r="F182" s="3">
        <v>3.2615899999999982</v>
      </c>
      <c r="G182" s="3">
        <v>3.7483800000000009</v>
      </c>
      <c r="H182" s="3">
        <v>4.025859999999998</v>
      </c>
      <c r="I182" s="3">
        <v>1.2195800000000006</v>
      </c>
      <c r="J182" s="3">
        <v>1.7063700000000033</v>
      </c>
      <c r="K182" s="3">
        <v>1.9838500000000003</v>
      </c>
      <c r="L182" s="3">
        <v>0.48679000000000272</v>
      </c>
      <c r="M182" s="3">
        <v>0.76426999999999978</v>
      </c>
      <c r="N182" s="3">
        <v>0.27747999999999706</v>
      </c>
      <c r="Q182" s="13">
        <v>8.3819845344979331</v>
      </c>
      <c r="R182" s="13">
        <v>-0.67031589020224314</v>
      </c>
      <c r="S182" s="13">
        <v>-0.50009660675832335</v>
      </c>
      <c r="T182" s="13">
        <v>1.394610958894581</v>
      </c>
      <c r="U182" s="13">
        <v>-1.6077783292539713</v>
      </c>
      <c r="V182" s="13">
        <v>2.7416300820777222</v>
      </c>
      <c r="W182" s="13">
        <v>-0.95115127246818432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</row>
    <row r="183" spans="1:29" x14ac:dyDescent="0.25">
      <c r="A183" s="3">
        <v>1.2376625032187699E+18</v>
      </c>
      <c r="B183" s="3">
        <v>235.99893</v>
      </c>
      <c r="C183" s="3">
        <v>36.155797999999997</v>
      </c>
      <c r="D183" s="16">
        <v>0.189142</v>
      </c>
      <c r="E183" s="3">
        <v>1.8783199999999987</v>
      </c>
      <c r="F183" s="3">
        <v>3.0793700000000008</v>
      </c>
      <c r="G183" s="3">
        <v>3.5650200000000005</v>
      </c>
      <c r="H183" s="3">
        <v>3.8774000000000015</v>
      </c>
      <c r="I183" s="3">
        <v>1.2010500000000022</v>
      </c>
      <c r="J183" s="3">
        <v>1.6867000000000019</v>
      </c>
      <c r="K183" s="3">
        <v>1.9990800000000029</v>
      </c>
      <c r="L183" s="3">
        <v>0.48564999999999969</v>
      </c>
      <c r="M183" s="3">
        <v>0.79803000000000068</v>
      </c>
      <c r="N183" s="3">
        <v>0.31238000000000099</v>
      </c>
      <c r="Q183" s="13">
        <v>2.7432769151601084</v>
      </c>
      <c r="R183" s="13">
        <v>0.58074824944482639</v>
      </c>
      <c r="S183" s="13">
        <v>0.29299928962733157</v>
      </c>
      <c r="T183" s="13">
        <v>1.2515957122896906</v>
      </c>
      <c r="U183" s="13">
        <v>7.4857457380216527E-2</v>
      </c>
      <c r="V183" s="13">
        <v>-4.8762671358987694E-2</v>
      </c>
      <c r="W183" s="13">
        <v>9.1538189735047404E-2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</row>
    <row r="184" spans="1:29" x14ac:dyDescent="0.25">
      <c r="A184" s="3">
        <v>1.2376625032187699E+18</v>
      </c>
      <c r="B184" s="3">
        <v>235.9725</v>
      </c>
      <c r="C184" s="3">
        <v>36.126925999999997</v>
      </c>
      <c r="D184" s="16">
        <v>0.18948889999999999</v>
      </c>
      <c r="E184" s="3">
        <v>2.5979400000000012</v>
      </c>
      <c r="F184" s="3">
        <v>3.8480300000000014</v>
      </c>
      <c r="G184" s="3">
        <v>4.3330799999999989</v>
      </c>
      <c r="H184" s="3">
        <v>4.6688499999999991</v>
      </c>
      <c r="I184" s="3">
        <v>1.2500900000000001</v>
      </c>
      <c r="J184" s="3">
        <v>1.7351399999999977</v>
      </c>
      <c r="K184" s="3">
        <v>2.0709099999999978</v>
      </c>
      <c r="L184" s="3">
        <v>0.48504999999999754</v>
      </c>
      <c r="M184" s="3">
        <v>0.82081999999999766</v>
      </c>
      <c r="N184" s="3">
        <v>0.33577000000000012</v>
      </c>
      <c r="Q184" s="13">
        <v>6.6567510387327502</v>
      </c>
      <c r="R184" s="13">
        <v>1.2549794666860741</v>
      </c>
      <c r="S184" s="13">
        <v>8.5140387638382081E-2</v>
      </c>
      <c r="T184" s="13">
        <v>1.3445598442131566</v>
      </c>
      <c r="U184" s="13">
        <v>-1.1187232827321454</v>
      </c>
      <c r="V184" s="13">
        <v>2.6144011758078358</v>
      </c>
      <c r="W184" s="13">
        <v>0.31031532111907295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</row>
    <row r="185" spans="1:29" x14ac:dyDescent="0.25">
      <c r="A185" s="3">
        <v>1.2376624736909299E+18</v>
      </c>
      <c r="B185" s="3">
        <v>236.35387</v>
      </c>
      <c r="C185" s="3">
        <v>36.378003999999997</v>
      </c>
      <c r="D185" s="16">
        <v>0.19088869999999999</v>
      </c>
      <c r="E185" s="3">
        <v>2.230240000000002</v>
      </c>
      <c r="F185" s="3">
        <v>3.4737000000000009</v>
      </c>
      <c r="G185" s="3">
        <v>3.9736200000000004</v>
      </c>
      <c r="H185" s="3">
        <v>4.3399000000000001</v>
      </c>
      <c r="I185" s="3">
        <v>1.2434599999999989</v>
      </c>
      <c r="J185" s="3">
        <v>1.7433799999999984</v>
      </c>
      <c r="K185" s="3">
        <v>2.1096599999999981</v>
      </c>
      <c r="L185" s="3">
        <v>0.49991999999999948</v>
      </c>
      <c r="M185" s="3">
        <v>0.86619999999999919</v>
      </c>
      <c r="N185" s="3">
        <v>0.36627999999999972</v>
      </c>
      <c r="Q185" s="13">
        <v>3.4939731453341509</v>
      </c>
      <c r="R185" s="13">
        <v>0.66805805450016253</v>
      </c>
      <c r="S185" s="13">
        <v>-1.0114889162525946</v>
      </c>
      <c r="T185" s="13">
        <v>-1.2043773743348292</v>
      </c>
      <c r="U185" s="13">
        <v>0.20613837945120261</v>
      </c>
      <c r="V185" s="13">
        <v>0.56371936586681548</v>
      </c>
      <c r="W185" s="13">
        <v>0.18135768276786438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</row>
    <row r="186" spans="1:29" x14ac:dyDescent="0.25">
      <c r="A186" s="3">
        <v>1.2376624736908001E+18</v>
      </c>
      <c r="B186" s="3">
        <v>236.07925</v>
      </c>
      <c r="C186" s="3">
        <v>36.458390000000001</v>
      </c>
      <c r="D186" s="16">
        <v>0.1909254</v>
      </c>
      <c r="E186" s="3">
        <v>1.8899000000000008</v>
      </c>
      <c r="F186" s="3">
        <v>3.0862599999999993</v>
      </c>
      <c r="G186" s="3">
        <v>3.5586200000000012</v>
      </c>
      <c r="H186" s="3">
        <v>3.8990900000000011</v>
      </c>
      <c r="I186" s="3">
        <v>1.1963599999999985</v>
      </c>
      <c r="J186" s="3">
        <v>1.6687200000000004</v>
      </c>
      <c r="K186" s="3">
        <v>2.0091900000000003</v>
      </c>
      <c r="L186" s="3">
        <v>0.47236000000000189</v>
      </c>
      <c r="M186" s="3">
        <v>0.81283000000000172</v>
      </c>
      <c r="N186" s="3">
        <v>0.34046999999999983</v>
      </c>
      <c r="Q186" s="13">
        <v>1.9999758704462454</v>
      </c>
      <c r="R186" s="13">
        <v>-6.789140262053496E-2</v>
      </c>
      <c r="S186" s="13">
        <v>-0.55316783907278688</v>
      </c>
      <c r="T186" s="13">
        <v>-1.1092548579166461</v>
      </c>
      <c r="U186" s="13">
        <v>0.2303363826190446</v>
      </c>
      <c r="V186" s="13">
        <v>-0.20809377094578532</v>
      </c>
      <c r="W186" s="13">
        <v>2.0978227489995376E-2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</row>
    <row r="187" spans="1:29" x14ac:dyDescent="0.25">
      <c r="A187" s="3">
        <v>1.23766146598607E+18</v>
      </c>
      <c r="B187" s="3">
        <v>235.89439999999999</v>
      </c>
      <c r="C187" s="3">
        <v>36.051354000000003</v>
      </c>
      <c r="D187" s="16">
        <v>0.19132769999999999</v>
      </c>
      <c r="E187" s="3">
        <v>2.2260200000000019</v>
      </c>
      <c r="F187" s="3">
        <v>3.5234300000000012</v>
      </c>
      <c r="G187" s="3">
        <v>3.9997000000000007</v>
      </c>
      <c r="H187" s="3">
        <v>4.3204300000000018</v>
      </c>
      <c r="I187" s="3">
        <v>1.2974099999999993</v>
      </c>
      <c r="J187" s="3">
        <v>1.7736799999999988</v>
      </c>
      <c r="K187" s="3">
        <v>2.0944099999999999</v>
      </c>
      <c r="L187" s="3">
        <v>0.47626999999999953</v>
      </c>
      <c r="M187" s="3">
        <v>0.7970000000000006</v>
      </c>
      <c r="N187" s="3">
        <v>0.32073000000000107</v>
      </c>
      <c r="Q187" s="13">
        <v>1.6708537292545627</v>
      </c>
      <c r="R187" s="13">
        <v>-0.28268669541123692</v>
      </c>
      <c r="S187" s="13">
        <v>-0.51419460275016748</v>
      </c>
      <c r="T187" s="13">
        <v>-0.98229162426565075</v>
      </c>
      <c r="U187" s="13">
        <v>0.13754813407893585</v>
      </c>
      <c r="V187" s="13">
        <v>-0.35314901069736082</v>
      </c>
      <c r="W187" s="13">
        <v>-2.0851059219714699E-2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</row>
    <row r="188" spans="1:29" x14ac:dyDescent="0.25">
      <c r="A188" s="3">
        <v>1.23766250375571E+18</v>
      </c>
      <c r="B188" s="3">
        <v>236.47656000000001</v>
      </c>
      <c r="C188" s="3">
        <v>36.460400999999997</v>
      </c>
      <c r="D188" s="16">
        <v>0.1916882</v>
      </c>
      <c r="E188" s="3">
        <v>2.0948499999999974</v>
      </c>
      <c r="F188" s="3">
        <v>3.3787099999999981</v>
      </c>
      <c r="G188" s="3">
        <v>3.8508199999999988</v>
      </c>
      <c r="H188" s="3">
        <v>4.2276500000000006</v>
      </c>
      <c r="I188" s="3">
        <v>1.2838600000000007</v>
      </c>
      <c r="J188" s="3">
        <v>1.7559700000000014</v>
      </c>
      <c r="K188" s="3">
        <v>2.1328000000000031</v>
      </c>
      <c r="L188" s="3">
        <v>0.4721100000000007</v>
      </c>
      <c r="M188" s="3">
        <v>0.84894000000000247</v>
      </c>
      <c r="N188" s="3">
        <v>0.37683000000000177</v>
      </c>
      <c r="Q188" s="13">
        <v>1.3759474313504634</v>
      </c>
      <c r="R188" s="13">
        <v>-0.69105908436801955</v>
      </c>
      <c r="S188" s="13">
        <v>-0.182677878312517</v>
      </c>
      <c r="T188" s="13">
        <v>-1.7257380357722554</v>
      </c>
      <c r="U188" s="13">
        <v>7.8380596697942576E-2</v>
      </c>
      <c r="V188" s="13">
        <v>-0.35629309183896968</v>
      </c>
      <c r="W188" s="13">
        <v>-4.4826455545686275E-2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</row>
    <row r="189" spans="1:29" x14ac:dyDescent="0.25">
      <c r="A189" s="3">
        <v>1.2376625032187699E+18</v>
      </c>
      <c r="B189" s="3">
        <v>236.07687999999999</v>
      </c>
      <c r="C189" s="3">
        <v>36.223196999999999</v>
      </c>
      <c r="D189" s="16">
        <v>0.19289719999999999</v>
      </c>
      <c r="E189" s="3">
        <v>1.9727700000000006</v>
      </c>
      <c r="F189" s="3">
        <v>3.252200000000002</v>
      </c>
      <c r="G189" s="3">
        <v>3.7470100000000031</v>
      </c>
      <c r="H189" s="3">
        <v>4.1137300000000003</v>
      </c>
      <c r="I189" s="3">
        <v>1.2794300000000014</v>
      </c>
      <c r="J189" s="3">
        <v>1.7742400000000025</v>
      </c>
      <c r="K189" s="3">
        <v>2.1409599999999998</v>
      </c>
      <c r="L189" s="3">
        <v>0.49481000000000108</v>
      </c>
      <c r="M189" s="3">
        <v>0.86152999999999835</v>
      </c>
      <c r="N189" s="3">
        <v>0.36671999999999727</v>
      </c>
      <c r="Q189" s="13">
        <v>2.197088965073918</v>
      </c>
      <c r="R189" s="13">
        <v>0.27942088004337018</v>
      </c>
      <c r="S189" s="13">
        <v>-1.6308644861979207</v>
      </c>
      <c r="T189" s="13">
        <v>0.80835746340341907</v>
      </c>
      <c r="U189" s="13">
        <v>0.28248329669566613</v>
      </c>
      <c r="V189" s="13">
        <v>-0.29526984330555894</v>
      </c>
      <c r="W189" s="13">
        <v>2.9703406416793268E-2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</row>
    <row r="190" spans="1:29" x14ac:dyDescent="0.25">
      <c r="A190" s="3">
        <v>1.23766247369087E+18</v>
      </c>
      <c r="B190" s="3">
        <v>236.16148000000001</v>
      </c>
      <c r="C190" s="3">
        <v>36.254156999999999</v>
      </c>
      <c r="D190" s="16">
        <v>0.19303190000000001</v>
      </c>
      <c r="E190" s="3">
        <v>1.6634399999999978</v>
      </c>
      <c r="F190" s="3">
        <v>2.8782599999999974</v>
      </c>
      <c r="G190" s="3">
        <v>3.3939199999999978</v>
      </c>
      <c r="H190" s="3">
        <v>3.7863000000000007</v>
      </c>
      <c r="I190" s="3">
        <v>1.2148199999999996</v>
      </c>
      <c r="J190" s="3">
        <v>1.73048</v>
      </c>
      <c r="K190" s="3">
        <v>2.1228600000000029</v>
      </c>
      <c r="L190" s="3">
        <v>0.51566000000000045</v>
      </c>
      <c r="M190" s="3">
        <v>0.90804000000000329</v>
      </c>
      <c r="N190" s="3">
        <v>0.39238000000000284</v>
      </c>
      <c r="Q190" s="13">
        <v>2.7955561065223899</v>
      </c>
      <c r="R190" s="13">
        <v>0.31810519966672801</v>
      </c>
      <c r="S190" s="13">
        <v>-9.9183215198049818E-2</v>
      </c>
      <c r="T190" s="13">
        <v>-1.3017920584520692</v>
      </c>
      <c r="U190" s="13">
        <v>4.7882821833759144E-2</v>
      </c>
      <c r="V190" s="13">
        <v>0.12759221218817204</v>
      </c>
      <c r="W190" s="13">
        <v>-5.0191642597899822E-2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</row>
    <row r="191" spans="1:29" x14ac:dyDescent="0.25">
      <c r="A191" s="3">
        <v>1.23766247369087E+18</v>
      </c>
      <c r="B191" s="3">
        <v>236.11424</v>
      </c>
      <c r="C191" s="3">
        <v>36.372385999999999</v>
      </c>
      <c r="D191" s="16">
        <v>0.1931196</v>
      </c>
      <c r="E191" s="3">
        <v>1.546129999999998</v>
      </c>
      <c r="F191" s="3">
        <v>2.8401899999999998</v>
      </c>
      <c r="G191" s="3">
        <v>3.3976100000000002</v>
      </c>
      <c r="H191" s="3">
        <v>3.7225599999999979</v>
      </c>
      <c r="I191" s="3">
        <v>1.2940600000000018</v>
      </c>
      <c r="J191" s="3">
        <v>1.8514800000000022</v>
      </c>
      <c r="K191" s="3">
        <v>2.1764299999999999</v>
      </c>
      <c r="L191" s="3">
        <v>0.55742000000000047</v>
      </c>
      <c r="M191" s="3">
        <v>0.8823699999999981</v>
      </c>
      <c r="N191" s="3">
        <v>0.32494999999999763</v>
      </c>
      <c r="Q191" s="13">
        <v>2.1494029572295035</v>
      </c>
      <c r="R191" s="13">
        <v>0.27335425076879222</v>
      </c>
      <c r="S191" s="13">
        <v>-0.41245495671782778</v>
      </c>
      <c r="T191" s="13">
        <v>1.5100973941517251</v>
      </c>
      <c r="U191" s="13">
        <v>0.25899112305260413</v>
      </c>
      <c r="V191" s="13">
        <v>-0.33313231342166461</v>
      </c>
      <c r="W191" s="13">
        <v>-3.4255193307123601E-2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</row>
    <row r="192" spans="1:29" x14ac:dyDescent="0.25">
      <c r="A192" s="3">
        <v>1.2376625032187699E+18</v>
      </c>
      <c r="B192" s="3">
        <v>236.05531999999999</v>
      </c>
      <c r="C192" s="3">
        <v>36.223889999999997</v>
      </c>
      <c r="D192" s="16">
        <v>0.19471160000000001</v>
      </c>
      <c r="E192" s="3">
        <v>1.5738899999999987</v>
      </c>
      <c r="F192" s="3">
        <v>2.7937599999999989</v>
      </c>
      <c r="G192" s="3">
        <v>3.2410800000000002</v>
      </c>
      <c r="H192" s="3">
        <v>3.5755099999999977</v>
      </c>
      <c r="I192" s="3">
        <v>1.2198700000000002</v>
      </c>
      <c r="J192" s="3">
        <v>1.6671900000000015</v>
      </c>
      <c r="K192" s="3">
        <v>2.0016199999999991</v>
      </c>
      <c r="L192" s="3">
        <v>0.44732000000000127</v>
      </c>
      <c r="M192" s="3">
        <v>0.78174999999999883</v>
      </c>
      <c r="N192" s="3">
        <v>0.33442999999999756</v>
      </c>
      <c r="Q192" s="13">
        <v>3.1614516365082106</v>
      </c>
      <c r="R192" s="13">
        <v>4.8645702214071725E-2</v>
      </c>
      <c r="S192" s="13">
        <v>-0.81831999349029416</v>
      </c>
      <c r="T192" s="13">
        <v>1.2530853371660571</v>
      </c>
      <c r="U192" s="13">
        <v>0.11567204460902054</v>
      </c>
      <c r="V192" s="13">
        <v>0.10555427192975961</v>
      </c>
      <c r="W192" s="13">
        <v>-0.23518888284227038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</row>
    <row r="193" spans="1:29" x14ac:dyDescent="0.25">
      <c r="A193" s="3">
        <v>1.23766233786351E+18</v>
      </c>
      <c r="B193" s="3">
        <v>235.75116</v>
      </c>
      <c r="C193" s="3">
        <v>35.822882</v>
      </c>
      <c r="D193" s="16">
        <v>0.19542370000000001</v>
      </c>
      <c r="E193" s="3">
        <v>1.9974199999999982</v>
      </c>
      <c r="F193" s="3">
        <v>3.3244599999999984</v>
      </c>
      <c r="G193" s="3">
        <v>3.8224699999999991</v>
      </c>
      <c r="H193" s="3">
        <v>4.1863899999999994</v>
      </c>
      <c r="I193" s="3">
        <v>1.3270400000000002</v>
      </c>
      <c r="J193" s="3">
        <v>1.8250500000000009</v>
      </c>
      <c r="K193" s="3">
        <v>2.1889700000000012</v>
      </c>
      <c r="L193" s="3">
        <v>0.49801000000000073</v>
      </c>
      <c r="M193" s="3">
        <v>0.86193000000000097</v>
      </c>
      <c r="N193" s="3">
        <v>0.36392000000000024</v>
      </c>
      <c r="Q193" s="13">
        <v>1.003929205431549</v>
      </c>
      <c r="R193" s="13">
        <v>-1.1799322792574898</v>
      </c>
      <c r="S193" s="13">
        <v>1.0802333611836663</v>
      </c>
      <c r="T193" s="13">
        <v>0.15651904744888728</v>
      </c>
      <c r="U193" s="13">
        <v>-0.18182906390026859</v>
      </c>
      <c r="V193" s="13">
        <v>-0.21823927992557179</v>
      </c>
      <c r="W193" s="13">
        <v>7.7172373722487267E-3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</row>
    <row r="194" spans="1:29" x14ac:dyDescent="0.25">
      <c r="A194" s="3">
        <v>1.23766247369087E+18</v>
      </c>
      <c r="B194" s="3">
        <v>236.15581</v>
      </c>
      <c r="C194" s="3">
        <v>36.275300999999999</v>
      </c>
      <c r="D194" s="16">
        <v>0.19546820000000001</v>
      </c>
      <c r="E194" s="3">
        <v>2.1272599999999997</v>
      </c>
      <c r="F194" s="3">
        <v>3.46218</v>
      </c>
      <c r="G194" s="3">
        <v>3.9524399999999993</v>
      </c>
      <c r="H194" s="3">
        <v>4.2970600000000019</v>
      </c>
      <c r="I194" s="3">
        <v>1.3349200000000003</v>
      </c>
      <c r="J194" s="3">
        <v>1.8251799999999996</v>
      </c>
      <c r="K194" s="3">
        <v>2.1698000000000022</v>
      </c>
      <c r="L194" s="3">
        <v>0.49025999999999925</v>
      </c>
      <c r="M194" s="3">
        <v>0.83488000000000184</v>
      </c>
      <c r="N194" s="3">
        <v>0.34462000000000259</v>
      </c>
      <c r="Q194" s="13">
        <v>0.98946898441091824</v>
      </c>
      <c r="R194" s="13">
        <v>-0.89556418333154963</v>
      </c>
      <c r="S194" s="13">
        <v>2.0475834363794645</v>
      </c>
      <c r="T194" s="13">
        <v>0.29207747316521593</v>
      </c>
      <c r="U194" s="13">
        <v>-0.44147801367971901</v>
      </c>
      <c r="V194" s="13">
        <v>-0.2013766211001892</v>
      </c>
      <c r="W194" s="13">
        <v>1.1256763059463017E-2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</row>
    <row r="195" spans="1:29" x14ac:dyDescent="0.25">
      <c r="A195" s="3">
        <v>1.2376625032187699E+18</v>
      </c>
      <c r="B195" s="3">
        <v>236.05296999999999</v>
      </c>
      <c r="C195" s="3">
        <v>36.203226000000001</v>
      </c>
      <c r="D195" s="16">
        <v>0.19561770000000001</v>
      </c>
      <c r="E195" s="3">
        <v>2.2616199999999971</v>
      </c>
      <c r="F195" s="3">
        <v>3.5593499999999985</v>
      </c>
      <c r="G195" s="3">
        <v>4.0681099999999972</v>
      </c>
      <c r="H195" s="3">
        <v>4.44407</v>
      </c>
      <c r="I195" s="3">
        <v>1.2977300000000014</v>
      </c>
      <c r="J195" s="3">
        <v>1.8064900000000002</v>
      </c>
      <c r="K195" s="3">
        <v>2.1824500000000029</v>
      </c>
      <c r="L195" s="3">
        <v>0.50875999999999877</v>
      </c>
      <c r="M195" s="3">
        <v>0.88472000000000151</v>
      </c>
      <c r="N195" s="3">
        <v>0.37596000000000274</v>
      </c>
      <c r="Q195" s="13">
        <v>1.3313440473239675</v>
      </c>
      <c r="R195" s="13">
        <v>-0.2958226159968943</v>
      </c>
      <c r="S195" s="13">
        <v>2.4014313485035417</v>
      </c>
      <c r="T195" s="13">
        <v>-0.24827515209452009</v>
      </c>
      <c r="U195" s="13">
        <v>-0.5225921632142706</v>
      </c>
      <c r="V195" s="13">
        <v>-0.25695651787413698</v>
      </c>
      <c r="W195" s="13">
        <v>-7.161899618067144E-2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</row>
    <row r="196" spans="1:29" x14ac:dyDescent="0.25">
      <c r="A196" s="3">
        <v>1.23766146544926E+18</v>
      </c>
      <c r="B196" s="3">
        <v>235.70094</v>
      </c>
      <c r="C196" s="3">
        <v>35.605603000000002</v>
      </c>
      <c r="D196" s="16">
        <v>0.19562689999999999</v>
      </c>
      <c r="E196" s="3">
        <v>2.2562599999999975</v>
      </c>
      <c r="F196" s="3">
        <v>3.5205899999999986</v>
      </c>
      <c r="G196" s="3">
        <v>4.0120699999999978</v>
      </c>
      <c r="H196" s="3">
        <v>4.3755600000000001</v>
      </c>
      <c r="I196" s="3">
        <v>1.2643300000000011</v>
      </c>
      <c r="J196" s="3">
        <v>1.7558100000000003</v>
      </c>
      <c r="K196" s="3">
        <v>2.1193000000000026</v>
      </c>
      <c r="L196" s="3">
        <v>0.49147999999999925</v>
      </c>
      <c r="M196" s="3">
        <v>0.85497000000000156</v>
      </c>
      <c r="N196" s="3">
        <v>0.36349000000000231</v>
      </c>
      <c r="Q196" s="13">
        <v>1.8332530416442629</v>
      </c>
      <c r="R196" s="13">
        <v>-5.0298479750698136E-3</v>
      </c>
      <c r="S196" s="13">
        <v>1.3687573490727805</v>
      </c>
      <c r="T196" s="13">
        <v>-1.3855017621729213</v>
      </c>
      <c r="U196" s="13">
        <v>-0.13247926965695148</v>
      </c>
      <c r="V196" s="13">
        <v>-0.20462057484637275</v>
      </c>
      <c r="W196" s="13">
        <v>-0.11291017123859058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</row>
    <row r="197" spans="1:29" x14ac:dyDescent="0.25">
      <c r="A197" s="3">
        <v>1.23766146544926E+18</v>
      </c>
      <c r="B197" s="3">
        <v>235.74010000000001</v>
      </c>
      <c r="C197" s="3">
        <v>35.589899000000003</v>
      </c>
      <c r="D197" s="16">
        <v>0.19573380000000001</v>
      </c>
      <c r="E197" s="3">
        <v>2.2480900000000013</v>
      </c>
      <c r="F197" s="3">
        <v>3.5281599999999997</v>
      </c>
      <c r="G197" s="3">
        <v>4.0230700000000006</v>
      </c>
      <c r="H197" s="3">
        <v>4.387830000000001</v>
      </c>
      <c r="I197" s="3">
        <v>1.2800699999999985</v>
      </c>
      <c r="J197" s="3">
        <v>1.7749799999999993</v>
      </c>
      <c r="K197" s="3">
        <v>2.1397399999999998</v>
      </c>
      <c r="L197" s="3">
        <v>0.49491000000000085</v>
      </c>
      <c r="M197" s="3">
        <v>0.85967000000000127</v>
      </c>
      <c r="N197" s="3">
        <v>0.36476000000000042</v>
      </c>
      <c r="Q197" s="13">
        <v>1.515563491280209</v>
      </c>
      <c r="R197" s="13">
        <v>-0.74270814637123361</v>
      </c>
      <c r="S197" s="13">
        <v>-0.5887420275232832</v>
      </c>
      <c r="T197" s="13">
        <v>-0.48694448151620617</v>
      </c>
      <c r="U197" s="13">
        <v>-0.14225201663019552</v>
      </c>
      <c r="V197" s="13">
        <v>-7.7361081311812074E-2</v>
      </c>
      <c r="W197" s="13">
        <v>-3.0424478734196285E-2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</row>
    <row r="198" spans="1:29" x14ac:dyDescent="0.25">
      <c r="A198" s="3">
        <v>1.2376625032187699E+18</v>
      </c>
      <c r="B198" s="3">
        <v>236.05785</v>
      </c>
      <c r="C198" s="3">
        <v>36.237388000000003</v>
      </c>
      <c r="D198" s="16">
        <v>0.1958859</v>
      </c>
      <c r="E198" s="3">
        <v>1.694580000000002</v>
      </c>
      <c r="F198" s="3">
        <v>2.9005399999999995</v>
      </c>
      <c r="G198" s="3">
        <v>3.4207800000000006</v>
      </c>
      <c r="H198" s="3">
        <v>3.7614200000000011</v>
      </c>
      <c r="I198" s="3">
        <v>1.2059599999999975</v>
      </c>
      <c r="J198" s="3">
        <v>1.7261999999999986</v>
      </c>
      <c r="K198" s="3">
        <v>2.0668399999999991</v>
      </c>
      <c r="L198" s="3">
        <v>0.52024000000000115</v>
      </c>
      <c r="M198" s="3">
        <v>0.86088000000000164</v>
      </c>
      <c r="N198" s="3">
        <v>0.3406400000000005</v>
      </c>
      <c r="Q198" s="13">
        <v>3.623112506820132</v>
      </c>
      <c r="R198" s="13">
        <v>0.65855603212733482</v>
      </c>
      <c r="S198" s="13">
        <v>-5.904046631998737E-2</v>
      </c>
      <c r="T198" s="13">
        <v>-1.0021008027994995</v>
      </c>
      <c r="U198" s="13">
        <v>-0.14921321669929621</v>
      </c>
      <c r="V198" s="13">
        <v>0.65014868395774783</v>
      </c>
      <c r="W198" s="13">
        <v>-7.8915071054420416E-2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</row>
    <row r="199" spans="1:29" x14ac:dyDescent="0.25">
      <c r="A199" s="3">
        <v>1.2376625032187699E+18</v>
      </c>
      <c r="B199" s="3">
        <v>236.0179</v>
      </c>
      <c r="C199" s="3">
        <v>36.210472000000003</v>
      </c>
      <c r="D199" s="16">
        <v>0.19602649999999999</v>
      </c>
      <c r="E199" s="3">
        <v>1.6827299999999994</v>
      </c>
      <c r="F199" s="3">
        <v>3.4815000000000005</v>
      </c>
      <c r="G199" s="3">
        <v>3.9813100000000006</v>
      </c>
      <c r="H199" s="3">
        <v>4.3106200000000001</v>
      </c>
      <c r="I199" s="3">
        <v>1.7987700000000011</v>
      </c>
      <c r="J199" s="3">
        <v>2.2985800000000012</v>
      </c>
      <c r="K199" s="3">
        <v>2.6278900000000007</v>
      </c>
      <c r="L199" s="3">
        <v>0.49981000000000009</v>
      </c>
      <c r="M199" s="3">
        <v>0.82911999999999964</v>
      </c>
      <c r="N199" s="3">
        <v>0.32930999999999955</v>
      </c>
      <c r="Q199" s="13">
        <v>1.1124213611151259</v>
      </c>
      <c r="R199" s="13">
        <v>-1.2802789849217411</v>
      </c>
      <c r="S199" s="13">
        <v>-1.3744219044304409</v>
      </c>
      <c r="T199" s="13">
        <v>0.30742508687690612</v>
      </c>
      <c r="U199" s="13">
        <v>2.0497591491285333E-3</v>
      </c>
      <c r="V199" s="13">
        <v>-0.21731364573360171</v>
      </c>
      <c r="W199" s="13">
        <v>-4.0670952141798153E-2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</row>
    <row r="200" spans="1:29" x14ac:dyDescent="0.25">
      <c r="A200" s="3">
        <v>1.23766146544926E+18</v>
      </c>
      <c r="B200" s="3">
        <v>235.71753000000001</v>
      </c>
      <c r="C200" s="3">
        <v>35.651114</v>
      </c>
      <c r="D200" s="16">
        <v>0.1966155</v>
      </c>
      <c r="E200" s="3">
        <v>1.437850000000001</v>
      </c>
      <c r="F200" s="3">
        <v>2.6611500000000028</v>
      </c>
      <c r="G200" s="3">
        <v>3.15062</v>
      </c>
      <c r="H200" s="3">
        <v>3.4954500000000017</v>
      </c>
      <c r="I200" s="3">
        <v>1.2233000000000018</v>
      </c>
      <c r="J200" s="3">
        <v>1.712769999999999</v>
      </c>
      <c r="K200" s="3">
        <v>2.0576000000000008</v>
      </c>
      <c r="L200" s="3">
        <v>0.48946999999999719</v>
      </c>
      <c r="M200" s="3">
        <v>0.83429999999999893</v>
      </c>
      <c r="N200" s="3">
        <v>0.34483000000000175</v>
      </c>
      <c r="Q200" s="13">
        <v>2.3155671266377968</v>
      </c>
      <c r="R200" s="13">
        <v>0.51580342182016936</v>
      </c>
      <c r="S200" s="13">
        <v>-1.2783085968898116</v>
      </c>
      <c r="T200" s="13">
        <v>0.12804011853786956</v>
      </c>
      <c r="U200" s="13">
        <v>0.38804521010819543</v>
      </c>
      <c r="V200" s="13">
        <v>-6.5006441572782708E-2</v>
      </c>
      <c r="W200" s="13">
        <v>7.6280694687603928E-2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</row>
    <row r="201" spans="1:29" x14ac:dyDescent="0.25">
      <c r="A201" s="3">
        <v>1.2376625032187699E+18</v>
      </c>
      <c r="B201" s="3">
        <v>236.02927</v>
      </c>
      <c r="C201" s="3">
        <v>36.219217999999998</v>
      </c>
      <c r="D201" s="16">
        <v>0.1966647</v>
      </c>
      <c r="E201" s="3">
        <v>2.0469799999999978</v>
      </c>
      <c r="F201" s="3">
        <v>3.2791399999999982</v>
      </c>
      <c r="G201" s="3">
        <v>3.7517999999999994</v>
      </c>
      <c r="H201" s="3">
        <v>4.1074400000000004</v>
      </c>
      <c r="I201" s="3">
        <v>1.2321600000000004</v>
      </c>
      <c r="J201" s="3">
        <v>1.7048200000000016</v>
      </c>
      <c r="K201" s="3">
        <v>2.0604600000000026</v>
      </c>
      <c r="L201" s="3">
        <v>0.47266000000000119</v>
      </c>
      <c r="M201" s="3">
        <v>0.82830000000000226</v>
      </c>
      <c r="N201" s="3">
        <v>0.35564000000000107</v>
      </c>
      <c r="Q201" s="13">
        <v>0.85607904355340148</v>
      </c>
      <c r="R201" s="13">
        <v>-0.68967834825627594</v>
      </c>
      <c r="S201" s="13">
        <v>0.79832382435989613</v>
      </c>
      <c r="T201" s="13">
        <v>-1.2395428777531572</v>
      </c>
      <c r="U201" s="13">
        <v>-0.33093801925985333</v>
      </c>
      <c r="V201" s="13">
        <v>-0.3017787677269122</v>
      </c>
      <c r="W201" s="13">
        <v>-6.7903028915956995E-2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</row>
    <row r="202" spans="1:29" x14ac:dyDescent="0.25">
      <c r="A202" s="3">
        <v>1.23766247422781E+18</v>
      </c>
      <c r="B202" s="3">
        <v>236.57089999999999</v>
      </c>
      <c r="C202" s="3">
        <v>36.581391000000004</v>
      </c>
      <c r="D202" s="16">
        <v>0.1967082</v>
      </c>
      <c r="E202" s="3">
        <v>1.72729</v>
      </c>
      <c r="F202" s="3">
        <v>2.8499300000000005</v>
      </c>
      <c r="G202" s="3">
        <v>3.3372500000000009</v>
      </c>
      <c r="H202" s="3">
        <v>3.6628399999999992</v>
      </c>
      <c r="I202" s="3">
        <v>1.1226400000000005</v>
      </c>
      <c r="J202" s="3">
        <v>1.6099600000000009</v>
      </c>
      <c r="K202" s="3">
        <v>1.9355499999999992</v>
      </c>
      <c r="L202" s="3">
        <v>0.48732000000000042</v>
      </c>
      <c r="M202" s="3">
        <v>0.81290999999999869</v>
      </c>
      <c r="N202" s="3">
        <v>0.32558999999999827</v>
      </c>
      <c r="Q202" s="13">
        <v>0.40033327502981564</v>
      </c>
      <c r="R202" s="13">
        <v>-1.3409889121818828</v>
      </c>
      <c r="S202" s="13">
        <v>-0.1355540433770715</v>
      </c>
      <c r="T202" s="13">
        <v>0.8375156760506699</v>
      </c>
      <c r="U202" s="13">
        <v>-8.412179047600335E-2</v>
      </c>
      <c r="V202" s="13">
        <v>-0.49076829662146543</v>
      </c>
      <c r="W202" s="13">
        <v>-6.1478981493806824E-2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</row>
    <row r="203" spans="1:29" x14ac:dyDescent="0.25">
      <c r="A203" s="3">
        <v>1.2376614659859999E+18</v>
      </c>
      <c r="B203" s="3">
        <v>235.64840000000001</v>
      </c>
      <c r="C203" s="3">
        <v>36.151434000000002</v>
      </c>
      <c r="D203" s="16">
        <v>0.19737299999999999</v>
      </c>
      <c r="E203" s="3">
        <v>1.2262500000000003</v>
      </c>
      <c r="F203" s="3">
        <v>2.1529999999999987</v>
      </c>
      <c r="G203" s="3">
        <v>2.5998999999999981</v>
      </c>
      <c r="H203" s="3">
        <v>2.8862099999999984</v>
      </c>
      <c r="I203" s="3">
        <v>0.92674999999999841</v>
      </c>
      <c r="J203" s="3">
        <v>1.3736499999999978</v>
      </c>
      <c r="K203" s="3">
        <v>1.6599599999999981</v>
      </c>
      <c r="L203" s="3">
        <v>0.44689999999999941</v>
      </c>
      <c r="M203" s="3">
        <v>0.7332099999999997</v>
      </c>
      <c r="N203" s="3">
        <v>0.28631000000000029</v>
      </c>
      <c r="Q203" s="13">
        <v>1.3945637219228757</v>
      </c>
      <c r="R203" s="13">
        <v>-0.68605706672609579</v>
      </c>
      <c r="S203" s="13">
        <v>-0.23119166603688429</v>
      </c>
      <c r="T203" s="13">
        <v>0.77983957349890964</v>
      </c>
      <c r="U203" s="13">
        <v>-0.36341435755926504</v>
      </c>
      <c r="V203" s="13">
        <v>1.4494054042043769E-2</v>
      </c>
      <c r="W203" s="13">
        <v>-8.9624812578949602E-3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</row>
    <row r="204" spans="1:29" x14ac:dyDescent="0.25">
      <c r="A204" s="3">
        <v>1.23766146544926E+18</v>
      </c>
      <c r="B204" s="3">
        <v>235.70382000000001</v>
      </c>
      <c r="C204" s="3">
        <v>35.608454000000002</v>
      </c>
      <c r="D204" s="16">
        <v>0.1979485</v>
      </c>
      <c r="E204" s="3">
        <v>2.2013800000000003</v>
      </c>
      <c r="F204" s="3">
        <v>3.4901699999999991</v>
      </c>
      <c r="G204" s="3">
        <v>3.9713100000000026</v>
      </c>
      <c r="H204" s="3">
        <v>4.3166800000000016</v>
      </c>
      <c r="I204" s="3">
        <v>1.2887899999999988</v>
      </c>
      <c r="J204" s="3">
        <v>1.7699300000000022</v>
      </c>
      <c r="K204" s="3">
        <v>2.1153000000000013</v>
      </c>
      <c r="L204" s="3">
        <v>0.48114000000000345</v>
      </c>
      <c r="M204" s="3">
        <v>0.82651000000000252</v>
      </c>
      <c r="N204" s="3">
        <v>0.34536999999999907</v>
      </c>
      <c r="Q204" s="13">
        <v>1.4505177102839415</v>
      </c>
      <c r="R204" s="13">
        <v>-0.37611484710567733</v>
      </c>
      <c r="S204" s="13">
        <v>-0.32973426000829892</v>
      </c>
      <c r="T204" s="13">
        <v>0.7473078756315964</v>
      </c>
      <c r="U204" s="13">
        <v>-0.2461783673865475</v>
      </c>
      <c r="V204" s="13">
        <v>-0.11984813422879388</v>
      </c>
      <c r="W204" s="13">
        <v>-3.256576079263282E-2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</row>
    <row r="205" spans="1:29" x14ac:dyDescent="0.25">
      <c r="A205" s="3">
        <v>1.23766146544926E+18</v>
      </c>
      <c r="B205" s="3">
        <v>235.649</v>
      </c>
      <c r="C205" s="3">
        <v>35.640408999999998</v>
      </c>
      <c r="D205" s="16">
        <v>0.19845309999999999</v>
      </c>
      <c r="E205" s="3">
        <v>2.2846299999999999</v>
      </c>
      <c r="F205" s="3">
        <v>3.5952300000000008</v>
      </c>
      <c r="G205" s="3">
        <v>4.1055100000000024</v>
      </c>
      <c r="H205" s="3">
        <v>4.4497500000000016</v>
      </c>
      <c r="I205" s="3">
        <v>1.3106000000000009</v>
      </c>
      <c r="J205" s="3">
        <v>1.8208800000000025</v>
      </c>
      <c r="K205" s="3">
        <v>2.1651200000000017</v>
      </c>
      <c r="L205" s="3">
        <v>0.51028000000000162</v>
      </c>
      <c r="M205" s="3">
        <v>0.85452000000000083</v>
      </c>
      <c r="N205" s="3">
        <v>0.34423999999999921</v>
      </c>
      <c r="Q205" s="13">
        <v>0.79575886008708907</v>
      </c>
      <c r="R205" s="13">
        <v>-1.5146425827350185</v>
      </c>
      <c r="S205" s="13">
        <v>-0.41713790087545022</v>
      </c>
      <c r="T205" s="13">
        <v>0.829923433236195</v>
      </c>
      <c r="U205" s="13">
        <v>-6.6657788070481727E-2</v>
      </c>
      <c r="V205" s="13">
        <v>-0.21455543267813237</v>
      </c>
      <c r="W205" s="13">
        <v>-6.6824806676024973E-2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</row>
    <row r="206" spans="1:29" x14ac:dyDescent="0.25">
      <c r="A206" s="3">
        <v>1.23766146544926E+18</v>
      </c>
      <c r="B206" s="3">
        <v>235.67659</v>
      </c>
      <c r="C206" s="3">
        <v>35.636592999999998</v>
      </c>
      <c r="D206" s="16">
        <v>0.2013752</v>
      </c>
      <c r="E206" s="3">
        <v>2.257439999999999</v>
      </c>
      <c r="F206" s="3">
        <v>3.566869999999998</v>
      </c>
      <c r="G206" s="3">
        <v>4.0487800000000007</v>
      </c>
      <c r="H206" s="3">
        <v>4.3886199999999995</v>
      </c>
      <c r="I206" s="3">
        <v>1.309429999999999</v>
      </c>
      <c r="J206" s="3">
        <v>1.7913400000000017</v>
      </c>
      <c r="K206" s="3">
        <v>2.1311800000000005</v>
      </c>
      <c r="L206" s="3">
        <v>0.48191000000000273</v>
      </c>
      <c r="M206" s="3">
        <v>0.82175000000000153</v>
      </c>
      <c r="N206" s="3">
        <v>0.33983999999999881</v>
      </c>
      <c r="Q206" s="13">
        <v>0.82982829903528332</v>
      </c>
      <c r="R206" s="13">
        <v>-0.82462714257436598</v>
      </c>
      <c r="S206" s="13">
        <v>1.0029716420603572</v>
      </c>
      <c r="T206" s="13">
        <v>0.55835661378993073</v>
      </c>
      <c r="U206" s="13">
        <v>-0.23571970974665085</v>
      </c>
      <c r="V206" s="13">
        <v>-0.29825328420334085</v>
      </c>
      <c r="W206" s="13">
        <v>-5.9965209831691263E-2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</row>
    <row r="207" spans="1:29" x14ac:dyDescent="0.25">
      <c r="A207" s="3">
        <v>1.2376625032187699E+18</v>
      </c>
      <c r="B207" s="3">
        <v>236.02516</v>
      </c>
      <c r="C207" s="3">
        <v>36.245784999999998</v>
      </c>
      <c r="D207" s="16">
        <v>0.20959079999999999</v>
      </c>
      <c r="E207" s="3">
        <v>3.0420400000000001</v>
      </c>
      <c r="F207" s="3">
        <v>4.3038300000000014</v>
      </c>
      <c r="G207" s="3">
        <v>4.801639999999999</v>
      </c>
      <c r="H207" s="3">
        <v>5.087769999999999</v>
      </c>
      <c r="I207" s="3">
        <v>1.2617900000000013</v>
      </c>
      <c r="J207" s="3">
        <v>1.7595999999999989</v>
      </c>
      <c r="K207" s="3">
        <v>2.0457299999999989</v>
      </c>
      <c r="L207" s="3">
        <v>0.49780999999999764</v>
      </c>
      <c r="M207" s="3">
        <v>0.78393999999999764</v>
      </c>
      <c r="N207" s="3">
        <v>0.28613</v>
      </c>
      <c r="Q207" s="13">
        <v>1.3664053200518327</v>
      </c>
      <c r="R207" s="13">
        <v>-0.2731495688566053</v>
      </c>
      <c r="S207" s="13">
        <v>0.61034962624507527</v>
      </c>
      <c r="T207" s="13">
        <v>1.3139569541444316</v>
      </c>
      <c r="U207" s="13">
        <v>-0.2769604915612921</v>
      </c>
      <c r="V207" s="13">
        <v>-0.2318681990436455</v>
      </c>
      <c r="W207" s="13">
        <v>-8.7164554929690594E-2</v>
      </c>
      <c r="X207" s="13">
        <v>0</v>
      </c>
      <c r="Y207" s="13">
        <v>0</v>
      </c>
      <c r="Z207" s="13">
        <v>0</v>
      </c>
      <c r="AA207" s="13">
        <v>0</v>
      </c>
      <c r="AB207" s="13">
        <v>0</v>
      </c>
      <c r="AC207" s="13">
        <v>0</v>
      </c>
    </row>
    <row r="208" spans="1:29" x14ac:dyDescent="0.25">
      <c r="A208" s="3">
        <v>1.2376614659863301E+18</v>
      </c>
      <c r="B208" s="3">
        <v>236.37148999999999</v>
      </c>
      <c r="C208" s="3">
        <v>35.601492999999998</v>
      </c>
      <c r="D208" s="16">
        <v>0.2339638</v>
      </c>
      <c r="E208" s="3">
        <v>2.0141499999999972</v>
      </c>
      <c r="F208" s="3">
        <v>3.2360499999999988</v>
      </c>
      <c r="G208" s="3">
        <v>3.6849499999999971</v>
      </c>
      <c r="H208" s="3">
        <v>3.986699999999999</v>
      </c>
      <c r="I208" s="3">
        <v>1.2219000000000015</v>
      </c>
      <c r="J208" s="3">
        <v>1.6707999999999998</v>
      </c>
      <c r="K208" s="3">
        <v>1.9725500000000018</v>
      </c>
      <c r="L208" s="3">
        <v>0.4488999999999983</v>
      </c>
      <c r="M208" s="3">
        <v>0.75065000000000026</v>
      </c>
      <c r="N208" s="3">
        <v>0.30175000000000196</v>
      </c>
      <c r="Q208" s="13">
        <v>1.0388026608444119</v>
      </c>
      <c r="R208" s="13">
        <v>-1.0069947582518286</v>
      </c>
      <c r="S208" s="13">
        <v>-0.81759488138009029</v>
      </c>
      <c r="T208" s="13">
        <v>0.77453487184203951</v>
      </c>
      <c r="U208" s="13">
        <v>-0.24868202363397984</v>
      </c>
      <c r="V208" s="13">
        <v>-0.2068261868768487</v>
      </c>
      <c r="W208" s="13">
        <v>-7.7243128715048945E-2</v>
      </c>
      <c r="X208" s="13">
        <v>0</v>
      </c>
      <c r="Y208" s="13">
        <v>0</v>
      </c>
      <c r="Z208" s="13">
        <v>0</v>
      </c>
      <c r="AA208" s="13">
        <v>0</v>
      </c>
      <c r="AB208" s="13">
        <v>0</v>
      </c>
      <c r="AC208" s="13">
        <v>0</v>
      </c>
    </row>
    <row r="209" spans="1:29" x14ac:dyDescent="0.25">
      <c r="A209" s="3">
        <v>1.23766250321903E+18</v>
      </c>
      <c r="B209" s="3">
        <v>236.69649999999999</v>
      </c>
      <c r="C209" s="3">
        <v>35.871439000000002</v>
      </c>
      <c r="D209" s="16">
        <v>0.23580789999999999</v>
      </c>
      <c r="E209" s="3">
        <v>3.4041400000000017</v>
      </c>
      <c r="F209" s="3">
        <v>4.8036400000000015</v>
      </c>
      <c r="G209" s="3">
        <v>5.316040000000001</v>
      </c>
      <c r="H209" s="3">
        <v>5.662110000000002</v>
      </c>
      <c r="I209" s="3">
        <v>1.3994999999999997</v>
      </c>
      <c r="J209" s="3">
        <v>1.9118999999999993</v>
      </c>
      <c r="K209" s="3">
        <v>2.2579700000000003</v>
      </c>
      <c r="L209" s="3">
        <v>0.51239999999999952</v>
      </c>
      <c r="M209" s="3">
        <v>0.85847000000000051</v>
      </c>
      <c r="N209" s="3">
        <v>0.34607000000000099</v>
      </c>
      <c r="Q209" s="13">
        <v>0.85767177786734294</v>
      </c>
      <c r="R209" s="13">
        <v>-0.62308048521598813</v>
      </c>
      <c r="S209" s="13">
        <v>1.4527346910195866</v>
      </c>
      <c r="T209" s="13">
        <v>0.47677639644887987</v>
      </c>
      <c r="U209" s="13">
        <v>-0.39133896262684953</v>
      </c>
      <c r="V209" s="13">
        <v>-0.38637292653963212</v>
      </c>
      <c r="W209" s="13">
        <v>-0.1423238015314767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</row>
    <row r="210" spans="1:29" x14ac:dyDescent="0.25">
      <c r="A210" s="3">
        <v>1.23766250321903E+18</v>
      </c>
      <c r="B210" s="3">
        <v>236.69649999999999</v>
      </c>
      <c r="C210" s="3">
        <v>35.871439000000002</v>
      </c>
      <c r="D210" s="16">
        <v>0.23584040000000001</v>
      </c>
      <c r="E210" s="3">
        <v>3.4041400000000017</v>
      </c>
      <c r="F210" s="3">
        <v>4.8036400000000015</v>
      </c>
      <c r="G210" s="3">
        <v>5.316040000000001</v>
      </c>
      <c r="H210" s="3">
        <v>5.662110000000002</v>
      </c>
      <c r="I210" s="3">
        <v>1.3994999999999997</v>
      </c>
      <c r="J210" s="3">
        <v>1.9118999999999993</v>
      </c>
      <c r="K210" s="3">
        <v>2.2579700000000003</v>
      </c>
      <c r="L210" s="3">
        <v>0.51239999999999952</v>
      </c>
      <c r="M210" s="3">
        <v>0.85847000000000051</v>
      </c>
      <c r="N210" s="3">
        <v>0.34607000000000099</v>
      </c>
      <c r="Q210" s="13">
        <v>1.0063551616656419</v>
      </c>
      <c r="R210" s="13">
        <v>-0.48058433751205359</v>
      </c>
      <c r="S210" s="13">
        <v>-2.8830375796982896E-3</v>
      </c>
      <c r="T210" s="13">
        <v>0.75794900845093049</v>
      </c>
      <c r="U210" s="13">
        <v>-0.23128790014742209</v>
      </c>
      <c r="V210" s="13">
        <v>-0.35112707800943233</v>
      </c>
      <c r="W210" s="13">
        <v>-6.5841632787047438E-2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</row>
    <row r="211" spans="1:29" x14ac:dyDescent="0.25">
      <c r="A211" s="3">
        <v>1.2376624731543301E+18</v>
      </c>
      <c r="B211" s="3">
        <v>236.62612999999999</v>
      </c>
      <c r="C211" s="3">
        <v>35.709646999999997</v>
      </c>
      <c r="D211" s="16">
        <v>0.23622180000000001</v>
      </c>
      <c r="E211" s="3">
        <v>2.3283699999999996</v>
      </c>
      <c r="F211" s="3">
        <v>3.6655599999999993</v>
      </c>
      <c r="G211" s="3">
        <v>4.2255800000000008</v>
      </c>
      <c r="H211" s="3">
        <v>4.5485500000000023</v>
      </c>
      <c r="I211" s="3">
        <v>1.3371899999999997</v>
      </c>
      <c r="J211" s="3">
        <v>1.8972100000000012</v>
      </c>
      <c r="K211" s="3">
        <v>2.2201800000000027</v>
      </c>
      <c r="L211" s="3">
        <v>0.56002000000000152</v>
      </c>
      <c r="M211" s="3">
        <v>0.88299000000000305</v>
      </c>
      <c r="N211" s="3">
        <v>0.32297000000000153</v>
      </c>
      <c r="Q211" s="13">
        <v>1.1964623411920094</v>
      </c>
      <c r="R211" s="13">
        <v>0.10108150201802127</v>
      </c>
      <c r="S211" s="13">
        <v>0.25721911058662406</v>
      </c>
      <c r="T211" s="13">
        <v>0.59943525229945838</v>
      </c>
      <c r="U211" s="13">
        <v>-0.13061617728872146</v>
      </c>
      <c r="V211" s="13">
        <v>-0.3989009752328399</v>
      </c>
      <c r="W211" s="13">
        <v>-2.5288038434603886E-2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</row>
    <row r="212" spans="1:29" x14ac:dyDescent="0.25">
      <c r="A212" s="3">
        <v>1.2376625037557701E+18</v>
      </c>
      <c r="B212" s="3">
        <v>236.66681</v>
      </c>
      <c r="C212" s="3">
        <v>36.425516000000002</v>
      </c>
      <c r="D212" s="16">
        <v>0.2362708</v>
      </c>
      <c r="E212" s="3">
        <v>2.2108799999999995</v>
      </c>
      <c r="F212" s="3">
        <v>3.607800000000001</v>
      </c>
      <c r="G212" s="3">
        <v>4.1373899999999999</v>
      </c>
      <c r="H212" s="3">
        <v>4.4686000000000021</v>
      </c>
      <c r="I212" s="3">
        <v>1.3969200000000015</v>
      </c>
      <c r="J212" s="3">
        <v>1.9265100000000004</v>
      </c>
      <c r="K212" s="3">
        <v>2.2577200000000026</v>
      </c>
      <c r="L212" s="3">
        <v>0.52958999999999889</v>
      </c>
      <c r="M212" s="3">
        <v>0.86080000000000112</v>
      </c>
      <c r="N212" s="3">
        <v>0.33121000000000222</v>
      </c>
      <c r="Q212" s="13">
        <v>1.1813877959089876</v>
      </c>
      <c r="R212" s="13">
        <v>0.20439538097493476</v>
      </c>
      <c r="S212" s="13">
        <v>0.39695020264450903</v>
      </c>
      <c r="T212" s="13">
        <v>0.99474159484388236</v>
      </c>
      <c r="U212" s="13">
        <v>-0.514309207851123</v>
      </c>
      <c r="V212" s="13">
        <v>-0.14142584600177135</v>
      </c>
      <c r="W212" s="13">
        <v>0.12547237148991217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</row>
    <row r="213" spans="1:29" x14ac:dyDescent="0.25">
      <c r="A213" s="3">
        <v>1.2376625032190999E+18</v>
      </c>
      <c r="B213" s="3">
        <v>236.73854</v>
      </c>
      <c r="C213" s="3">
        <v>35.800010999999998</v>
      </c>
      <c r="D213" s="16">
        <v>0.23821419999999999</v>
      </c>
      <c r="E213" s="3">
        <v>2.4824899999999985</v>
      </c>
      <c r="F213" s="3">
        <v>3.9254099999999994</v>
      </c>
      <c r="G213" s="3">
        <v>4.4469199999999987</v>
      </c>
      <c r="H213" s="3">
        <v>4.7880900000000004</v>
      </c>
      <c r="I213" s="3">
        <v>1.4429200000000009</v>
      </c>
      <c r="J213" s="3">
        <v>1.9644300000000001</v>
      </c>
      <c r="K213" s="3">
        <v>2.3056000000000019</v>
      </c>
      <c r="L213" s="3">
        <v>0.52150999999999925</v>
      </c>
      <c r="M213" s="3">
        <v>0.862680000000001</v>
      </c>
      <c r="N213" s="3">
        <v>0.34117000000000175</v>
      </c>
      <c r="Q213" s="13">
        <v>1.644665092454235</v>
      </c>
      <c r="R213" s="13">
        <v>0.11637624195642657</v>
      </c>
      <c r="S213" s="13">
        <v>-5.7736015526534831E-2</v>
      </c>
      <c r="T213" s="13">
        <v>0.75157992981400146</v>
      </c>
      <c r="U213" s="13">
        <v>-0.34701299143059178</v>
      </c>
      <c r="V213" s="13">
        <v>-0.25296600714578421</v>
      </c>
      <c r="W213" s="13">
        <v>-0.15486134405959695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</row>
    <row r="214" spans="1:29" x14ac:dyDescent="0.25">
      <c r="A214" s="3">
        <v>1.23766247422781E+18</v>
      </c>
      <c r="B214" s="3">
        <v>236.69372000000001</v>
      </c>
      <c r="C214" s="3">
        <v>36.614590999999997</v>
      </c>
      <c r="D214" s="16">
        <v>0.23877319999999999</v>
      </c>
      <c r="E214" s="3">
        <v>2.4645100000000006</v>
      </c>
      <c r="F214" s="3">
        <v>3.9393199999999986</v>
      </c>
      <c r="G214" s="3">
        <v>4.4637799999999999</v>
      </c>
      <c r="H214" s="3">
        <v>4.8447700000000005</v>
      </c>
      <c r="I214" s="3">
        <v>1.474809999999998</v>
      </c>
      <c r="J214" s="3">
        <v>1.9992699999999992</v>
      </c>
      <c r="K214" s="3">
        <v>2.3802599999999998</v>
      </c>
      <c r="L214" s="3">
        <v>0.52446000000000126</v>
      </c>
      <c r="M214" s="3">
        <v>0.90545000000000186</v>
      </c>
      <c r="N214" s="3">
        <v>0.38099000000000061</v>
      </c>
      <c r="Q214" s="13">
        <v>0.97978986962518022</v>
      </c>
      <c r="R214" s="13">
        <v>-0.65739060071820465</v>
      </c>
      <c r="S214" s="13">
        <v>-1.7133595767354053</v>
      </c>
      <c r="T214" s="13">
        <v>0.49818246709743486</v>
      </c>
      <c r="U214" s="13">
        <v>-8.7692202502538813E-2</v>
      </c>
      <c r="V214" s="13">
        <v>-0.38078367091091803</v>
      </c>
      <c r="W214" s="13">
        <v>-5.9088113565552075E-2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</row>
    <row r="215" spans="1:29" x14ac:dyDescent="0.25">
      <c r="A215" s="3">
        <v>1.2376624742279401E+18</v>
      </c>
      <c r="B215" s="3">
        <v>236.82987</v>
      </c>
      <c r="C215" s="3">
        <v>36.408512000000002</v>
      </c>
      <c r="D215" s="16">
        <v>0.2395236</v>
      </c>
      <c r="E215" s="3">
        <v>2.4379600000000003</v>
      </c>
      <c r="F215" s="3">
        <v>3.847999999999999</v>
      </c>
      <c r="G215" s="3">
        <v>4.3681899999999985</v>
      </c>
      <c r="H215" s="3">
        <v>4.6820599999999999</v>
      </c>
      <c r="I215" s="3">
        <v>1.4100399999999986</v>
      </c>
      <c r="J215" s="3">
        <v>1.9302299999999981</v>
      </c>
      <c r="K215" s="3">
        <v>2.2440999999999995</v>
      </c>
      <c r="L215" s="3">
        <v>0.52018999999999949</v>
      </c>
      <c r="M215" s="3">
        <v>0.83406000000000091</v>
      </c>
      <c r="N215" s="3">
        <v>0.31387000000000143</v>
      </c>
      <c r="Q215" s="13">
        <v>0.83994096421541697</v>
      </c>
      <c r="R215" s="13">
        <v>-0.7789568359349589</v>
      </c>
      <c r="S215" s="13">
        <v>0.28281129221217532</v>
      </c>
      <c r="T215" s="13">
        <v>0.74026040486529909</v>
      </c>
      <c r="U215" s="13">
        <v>-0.40648829975165834</v>
      </c>
      <c r="V215" s="13">
        <v>-0.28296041698762903</v>
      </c>
      <c r="W215" s="13">
        <v>-7.8552414297121523E-2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</row>
    <row r="216" spans="1:29" x14ac:dyDescent="0.25">
      <c r="A216" s="3">
        <v>1.2376624736909299E+18</v>
      </c>
      <c r="B216" s="3">
        <v>236.43597</v>
      </c>
      <c r="C216" s="3">
        <v>36.348287999999997</v>
      </c>
      <c r="D216" s="16">
        <v>0.25721880000000003</v>
      </c>
      <c r="E216" s="3">
        <v>2.6029399999999967</v>
      </c>
      <c r="F216" s="3">
        <v>3.9229699999999994</v>
      </c>
      <c r="G216" s="3">
        <v>4.4588699999999974</v>
      </c>
      <c r="H216" s="3">
        <v>4.8461599999999976</v>
      </c>
      <c r="I216" s="3">
        <v>1.3200300000000027</v>
      </c>
      <c r="J216" s="3">
        <v>1.8559300000000007</v>
      </c>
      <c r="K216" s="3">
        <v>2.2432200000000009</v>
      </c>
      <c r="L216" s="3">
        <v>0.53589999999999804</v>
      </c>
      <c r="M216" s="3">
        <v>0.92318999999999818</v>
      </c>
      <c r="N216" s="3">
        <v>0.38729000000000013</v>
      </c>
      <c r="Q216" s="13">
        <v>0.70415390550009582</v>
      </c>
      <c r="R216" s="13">
        <v>-0.92819468850119047</v>
      </c>
      <c r="S216" s="13">
        <v>-8.8785105128022679E-2</v>
      </c>
      <c r="T216" s="13">
        <v>0.80003454270691698</v>
      </c>
      <c r="U216" s="13">
        <v>-0.1394486291656955</v>
      </c>
      <c r="V216" s="13">
        <v>-0.36810418646514509</v>
      </c>
      <c r="W216" s="13">
        <v>-5.1034766527977747E-2</v>
      </c>
      <c r="X216" s="13">
        <v>0</v>
      </c>
      <c r="Y216" s="13">
        <v>0</v>
      </c>
      <c r="Z216" s="13">
        <v>0</v>
      </c>
      <c r="AA216" s="13">
        <v>0</v>
      </c>
      <c r="AB216" s="13">
        <v>0</v>
      </c>
      <c r="AC216" s="13">
        <v>0</v>
      </c>
    </row>
    <row r="217" spans="1:29" x14ac:dyDescent="0.25">
      <c r="A217" s="3">
        <v>1.23766247369087E+18</v>
      </c>
      <c r="B217" s="3">
        <v>236.25602000000001</v>
      </c>
      <c r="C217" s="3">
        <v>36.389923000000003</v>
      </c>
      <c r="D217" s="16">
        <v>0.25745659999999998</v>
      </c>
      <c r="E217" s="3">
        <v>1.9364800000000031</v>
      </c>
      <c r="F217" s="3">
        <v>3.2966500000000032</v>
      </c>
      <c r="G217" s="3">
        <v>3.7421300000000031</v>
      </c>
      <c r="H217" s="3">
        <v>4.0819100000000006</v>
      </c>
      <c r="I217" s="3">
        <v>1.3601700000000001</v>
      </c>
      <c r="J217" s="3">
        <v>1.80565</v>
      </c>
      <c r="K217" s="3">
        <v>2.1454299999999975</v>
      </c>
      <c r="L217" s="3">
        <v>0.44547999999999988</v>
      </c>
      <c r="M217" s="3">
        <v>0.7852599999999974</v>
      </c>
      <c r="N217" s="3">
        <v>0.33977999999999753</v>
      </c>
      <c r="Q217" s="13">
        <v>0.98475390576991273</v>
      </c>
      <c r="R217" s="13">
        <v>-1.0878153150990904</v>
      </c>
      <c r="S217" s="13">
        <v>-2.3246409817824105</v>
      </c>
      <c r="T217" s="13">
        <v>0.10002270363681386</v>
      </c>
      <c r="U217" s="13">
        <v>0.17150476117854649</v>
      </c>
      <c r="V217" s="13">
        <v>-0.34406020226529205</v>
      </c>
      <c r="W217" s="13">
        <v>-7.8725132867103045E-2</v>
      </c>
      <c r="X217" s="13">
        <v>0</v>
      </c>
      <c r="Y217" s="13">
        <v>0</v>
      </c>
      <c r="Z217" s="13">
        <v>0</v>
      </c>
      <c r="AA217" s="13">
        <v>0</v>
      </c>
      <c r="AB217" s="13">
        <v>0</v>
      </c>
      <c r="AC217" s="13">
        <v>0</v>
      </c>
    </row>
    <row r="218" spans="1:29" x14ac:dyDescent="0.25">
      <c r="A218" s="3">
        <v>1.2376624736909299E+18</v>
      </c>
      <c r="B218" s="3">
        <v>236.41346999999999</v>
      </c>
      <c r="C218" s="3">
        <v>36.29289</v>
      </c>
      <c r="D218" s="16">
        <v>0.26477699999999998</v>
      </c>
      <c r="E218" s="3">
        <v>2.4743199999999987</v>
      </c>
      <c r="F218" s="3">
        <v>4.0369299999999981</v>
      </c>
      <c r="G218" s="3">
        <v>4.6017900000000012</v>
      </c>
      <c r="H218" s="3">
        <v>4.9741999999999997</v>
      </c>
      <c r="I218" s="3">
        <v>1.5626099999999994</v>
      </c>
      <c r="J218" s="3">
        <v>2.1274700000000024</v>
      </c>
      <c r="K218" s="3">
        <v>2.499880000000001</v>
      </c>
      <c r="L218" s="3">
        <v>0.56486000000000303</v>
      </c>
      <c r="M218" s="3">
        <v>0.9372700000000016</v>
      </c>
      <c r="N218" s="3">
        <v>0.37240999999999858</v>
      </c>
      <c r="Q218" s="13">
        <v>0.93661813064228217</v>
      </c>
      <c r="R218" s="13">
        <v>-1.0884181040933589</v>
      </c>
      <c r="S218" s="13">
        <v>-2.2869083018237655</v>
      </c>
      <c r="T218" s="13">
        <v>-2.4245934183038814E-2</v>
      </c>
      <c r="U218" s="13">
        <v>0.1404257087910537</v>
      </c>
      <c r="V218" s="13">
        <v>-0.35151971681611843</v>
      </c>
      <c r="W218" s="13">
        <v>-7.4326005676651138E-2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</row>
    <row r="219" spans="1:29" x14ac:dyDescent="0.25">
      <c r="A219" s="3">
        <v>1.2376624736909299E+18</v>
      </c>
      <c r="B219" s="3">
        <v>236.41346999999999</v>
      </c>
      <c r="C219" s="3">
        <v>36.29289</v>
      </c>
      <c r="D219" s="16">
        <v>0.2648836</v>
      </c>
      <c r="E219" s="3">
        <v>2.4743199999999987</v>
      </c>
      <c r="F219" s="3">
        <v>4.0369299999999981</v>
      </c>
      <c r="G219" s="3">
        <v>4.6017900000000012</v>
      </c>
      <c r="H219" s="3">
        <v>4.9741999999999997</v>
      </c>
      <c r="I219" s="3">
        <v>1.5626099999999994</v>
      </c>
      <c r="J219" s="3">
        <v>2.1274700000000024</v>
      </c>
      <c r="K219" s="3">
        <v>2.499880000000001</v>
      </c>
      <c r="L219" s="3">
        <v>0.56486000000000303</v>
      </c>
      <c r="M219" s="3">
        <v>0.9372700000000016</v>
      </c>
      <c r="N219" s="3">
        <v>0.37240999999999858</v>
      </c>
      <c r="Q219" s="13">
        <v>1.3509085095671738</v>
      </c>
      <c r="R219" s="13">
        <v>-5.8751170129613681E-3</v>
      </c>
      <c r="S219" s="13">
        <v>-1.2954202768419439E-2</v>
      </c>
      <c r="T219" s="13">
        <v>0.7940690338871722</v>
      </c>
      <c r="U219" s="13">
        <v>-0.2287120201436465</v>
      </c>
      <c r="V219" s="13">
        <v>-0.18530053685468884</v>
      </c>
      <c r="W219" s="13">
        <v>1.7272503266105837E-2</v>
      </c>
      <c r="X219" s="13">
        <v>0</v>
      </c>
      <c r="Y219" s="13">
        <v>0</v>
      </c>
      <c r="Z219" s="13">
        <v>0</v>
      </c>
      <c r="AA219" s="13">
        <v>0</v>
      </c>
      <c r="AB219" s="13">
        <v>0</v>
      </c>
      <c r="AC219" s="13">
        <v>0</v>
      </c>
    </row>
    <row r="220" spans="1:29" x14ac:dyDescent="0.25">
      <c r="A220" s="3">
        <v>1.2376625032189701E+18</v>
      </c>
      <c r="B220" s="3">
        <v>236.53385</v>
      </c>
      <c r="C220" s="3">
        <v>35.987147</v>
      </c>
      <c r="D220" s="16">
        <v>0.26629720000000001</v>
      </c>
      <c r="E220" s="3">
        <v>2.9057300000000019</v>
      </c>
      <c r="F220" s="3">
        <v>4.3655100000000004</v>
      </c>
      <c r="G220" s="3">
        <v>4.9076400000000007</v>
      </c>
      <c r="H220" s="3">
        <v>5.2702600000000004</v>
      </c>
      <c r="I220" s="3">
        <v>1.4597799999999985</v>
      </c>
      <c r="J220" s="3">
        <v>2.0019099999999987</v>
      </c>
      <c r="K220" s="3">
        <v>2.3645299999999985</v>
      </c>
      <c r="L220" s="3">
        <v>0.54213000000000022</v>
      </c>
      <c r="M220" s="3">
        <v>0.90474999999999994</v>
      </c>
      <c r="N220" s="3">
        <v>0.36261999999999972</v>
      </c>
      <c r="Q220" s="13">
        <v>0.20766980019560369</v>
      </c>
      <c r="R220" s="13">
        <v>-0.42681745888679307</v>
      </c>
      <c r="S220" s="13">
        <v>-0.36400583000956094</v>
      </c>
      <c r="T220" s="13">
        <v>0.87923025469331317</v>
      </c>
      <c r="U220" s="13">
        <v>-1.3414929266012425</v>
      </c>
      <c r="V220" s="13">
        <v>-0.49966612243249192</v>
      </c>
      <c r="W220" s="13">
        <v>-6.0324486592267669E-2</v>
      </c>
      <c r="X220" s="13">
        <v>0</v>
      </c>
      <c r="Y220" s="13">
        <v>0</v>
      </c>
      <c r="Z220" s="13">
        <v>0</v>
      </c>
      <c r="AA220" s="13">
        <v>0</v>
      </c>
      <c r="AB220" s="13">
        <v>0</v>
      </c>
      <c r="AC220" s="13">
        <v>0</v>
      </c>
    </row>
    <row r="221" spans="1:29" x14ac:dyDescent="0.25">
      <c r="A221" s="3">
        <v>1.23766250321903E+18</v>
      </c>
      <c r="B221" s="3">
        <v>236.61454000000001</v>
      </c>
      <c r="C221" s="3">
        <v>35.767434000000002</v>
      </c>
      <c r="D221" s="16">
        <v>0.28825440000000002</v>
      </c>
      <c r="E221" s="3">
        <v>3.2210099999999997</v>
      </c>
      <c r="F221" s="3">
        <v>4.8073300000000003</v>
      </c>
      <c r="G221" s="3">
        <v>5.3741699999999994</v>
      </c>
      <c r="H221" s="3">
        <v>5.724890000000002</v>
      </c>
      <c r="I221" s="3">
        <v>1.5863200000000006</v>
      </c>
      <c r="J221" s="3">
        <v>2.1531599999999997</v>
      </c>
      <c r="K221" s="3">
        <v>2.5038800000000023</v>
      </c>
      <c r="L221" s="3">
        <v>0.56683999999999912</v>
      </c>
      <c r="M221" s="3">
        <v>0.91756000000000171</v>
      </c>
      <c r="N221" s="3">
        <v>0.35072000000000259</v>
      </c>
      <c r="Q221" s="13">
        <v>1.6824970074567651</v>
      </c>
      <c r="R221" s="13">
        <v>0.21127314202844191</v>
      </c>
      <c r="S221" s="13">
        <v>-2.2247826251897189</v>
      </c>
      <c r="T221" s="13">
        <v>6.7879750502441216E-2</v>
      </c>
      <c r="U221" s="13">
        <v>-3.5432550615618792E-2</v>
      </c>
      <c r="V221" s="13">
        <v>-0.27677325316357854</v>
      </c>
      <c r="W221" s="13">
        <v>-5.5690246409185996E-2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</row>
    <row r="222" spans="1:29" x14ac:dyDescent="0.25">
      <c r="A222" s="3">
        <v>1.2376625032190999E+18</v>
      </c>
      <c r="B222" s="3">
        <v>236.73940999999999</v>
      </c>
      <c r="C222" s="3">
        <v>35.715127000000003</v>
      </c>
      <c r="D222" s="16">
        <v>0.2883522</v>
      </c>
      <c r="E222" s="3">
        <v>1.9844200000000001</v>
      </c>
      <c r="F222" s="3">
        <v>3.6732200000000006</v>
      </c>
      <c r="G222" s="3">
        <v>4.28782</v>
      </c>
      <c r="H222" s="3">
        <v>4.6279900000000005</v>
      </c>
      <c r="I222" s="3">
        <v>1.6888000000000005</v>
      </c>
      <c r="J222" s="3">
        <v>2.3033999999999999</v>
      </c>
      <c r="K222" s="3">
        <v>2.6435700000000004</v>
      </c>
      <c r="L222" s="3">
        <v>0.61459999999999937</v>
      </c>
      <c r="M222" s="3">
        <v>0.9547699999999999</v>
      </c>
      <c r="N222" s="3">
        <v>0.34017000000000053</v>
      </c>
      <c r="Q222" s="13">
        <v>1.1600128428944751</v>
      </c>
      <c r="R222" s="13">
        <v>-0.58905591151894632</v>
      </c>
      <c r="S222" s="13">
        <v>-9.3016962756082414E-2</v>
      </c>
      <c r="T222" s="13">
        <v>0.85813005860293279</v>
      </c>
      <c r="U222" s="13">
        <v>-0.15822010841965031</v>
      </c>
      <c r="V222" s="13">
        <v>-0.29664604647880916</v>
      </c>
      <c r="W222" s="13">
        <v>-0.12042470677642936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</row>
    <row r="223" spans="1:29" x14ac:dyDescent="0.25">
      <c r="A223" s="3">
        <v>1.23766233786351E+18</v>
      </c>
      <c r="B223" s="3">
        <v>235.69716</v>
      </c>
      <c r="C223" s="3">
        <v>35.924909999999997</v>
      </c>
      <c r="D223" s="16">
        <v>0.29949320000000001</v>
      </c>
      <c r="E223" s="3">
        <v>1.6748899999999978</v>
      </c>
      <c r="F223" s="3">
        <v>3.2297599999999989</v>
      </c>
      <c r="G223" s="3">
        <v>3.8274599999999985</v>
      </c>
      <c r="H223" s="3">
        <v>4.1429000000000009</v>
      </c>
      <c r="I223" s="3">
        <v>1.5548700000000011</v>
      </c>
      <c r="J223" s="3">
        <v>2.1525700000000008</v>
      </c>
      <c r="K223" s="3">
        <v>2.4680100000000031</v>
      </c>
      <c r="L223" s="3">
        <v>0.59769999999999968</v>
      </c>
      <c r="M223" s="3">
        <v>0.91314000000000206</v>
      </c>
      <c r="N223" s="3">
        <v>0.31544000000000239</v>
      </c>
      <c r="Q223" s="13">
        <v>1.5211569733981365</v>
      </c>
      <c r="R223" s="13">
        <v>4.0688499700584954E-2</v>
      </c>
      <c r="S223" s="13">
        <v>1.9688759713718742</v>
      </c>
      <c r="T223" s="13">
        <v>0.50738367164372578</v>
      </c>
      <c r="U223" s="13">
        <v>-0.40493051319537676</v>
      </c>
      <c r="V223" s="13">
        <v>-7.3323235292189912E-2</v>
      </c>
      <c r="W223" s="13">
        <v>-6.9646496023087409E-2</v>
      </c>
      <c r="X223" s="13">
        <v>0</v>
      </c>
      <c r="Y223" s="13">
        <v>0</v>
      </c>
      <c r="Z223" s="13">
        <v>0</v>
      </c>
      <c r="AA223" s="13">
        <v>0</v>
      </c>
      <c r="AB223" s="13">
        <v>0</v>
      </c>
      <c r="AC223" s="13">
        <v>0</v>
      </c>
    </row>
    <row r="224" spans="1:29" x14ac:dyDescent="0.25">
      <c r="A224" s="3">
        <v>1.2376614659861299E+18</v>
      </c>
      <c r="B224" s="3">
        <v>235.96209999999999</v>
      </c>
      <c r="C224" s="3">
        <v>35.962665999999999</v>
      </c>
      <c r="D224" s="16">
        <v>0.30099890000000001</v>
      </c>
      <c r="E224" s="3">
        <v>2.1287099999999981</v>
      </c>
      <c r="F224" s="3">
        <v>3.7531299999999987</v>
      </c>
      <c r="G224" s="3">
        <v>4.3479199999999985</v>
      </c>
      <c r="H224" s="3">
        <v>4.7133499999999984</v>
      </c>
      <c r="I224" s="3">
        <v>1.6244200000000006</v>
      </c>
      <c r="J224" s="3">
        <v>2.2192100000000003</v>
      </c>
      <c r="K224" s="3">
        <v>2.5846400000000003</v>
      </c>
      <c r="L224" s="3">
        <v>0.59478999999999971</v>
      </c>
      <c r="M224" s="3">
        <v>0.96021999999999963</v>
      </c>
      <c r="N224" s="3">
        <v>0.36542999999999992</v>
      </c>
      <c r="Q224" s="13">
        <v>2.7265385510693125</v>
      </c>
      <c r="R224" s="13">
        <v>0.7965816966408451</v>
      </c>
      <c r="S224" s="13">
        <v>-1.0419275187715973</v>
      </c>
      <c r="T224" s="13">
        <v>1.3970554995833433</v>
      </c>
      <c r="U224" s="13">
        <v>9.7806669101125843E-2</v>
      </c>
      <c r="V224" s="13">
        <v>6.4650002309405263E-2</v>
      </c>
      <c r="W224" s="13">
        <v>-8.8985381783463324E-2</v>
      </c>
      <c r="X224" s="13">
        <v>0</v>
      </c>
      <c r="Y224" s="13">
        <v>0</v>
      </c>
      <c r="Z224" s="13">
        <v>0</v>
      </c>
      <c r="AA224" s="13">
        <v>0</v>
      </c>
      <c r="AB224" s="13">
        <v>0</v>
      </c>
      <c r="AC224" s="13">
        <v>0</v>
      </c>
    </row>
    <row r="225" spans="1:29" x14ac:dyDescent="0.25">
      <c r="A225" s="3">
        <v>1.23766247422787E+18</v>
      </c>
      <c r="B225" s="3">
        <v>236.78161</v>
      </c>
      <c r="C225" s="3">
        <v>36.562370999999999</v>
      </c>
      <c r="D225" s="16">
        <v>0.30350939999999998</v>
      </c>
      <c r="E225" s="3">
        <v>0.24552999999999869</v>
      </c>
      <c r="F225" s="3">
        <v>0.6769299999999987</v>
      </c>
      <c r="G225" s="3">
        <v>0.79037999999999897</v>
      </c>
      <c r="H225" s="3">
        <v>1.2114800000000017</v>
      </c>
      <c r="I225" s="3">
        <v>0.43140000000000001</v>
      </c>
      <c r="J225" s="3">
        <v>0.54485000000000028</v>
      </c>
      <c r="K225" s="3">
        <v>0.96595000000000297</v>
      </c>
      <c r="L225" s="3">
        <v>0.11345000000000027</v>
      </c>
      <c r="M225" s="3">
        <v>0.53455000000000297</v>
      </c>
      <c r="N225" s="3">
        <v>0.42110000000000269</v>
      </c>
      <c r="Q225" s="13">
        <v>1.0513552552252654</v>
      </c>
      <c r="R225" s="13">
        <v>-1.0464285463895713</v>
      </c>
      <c r="S225" s="13">
        <v>-2.3267973203085539</v>
      </c>
      <c r="T225" s="13">
        <v>9.7842009648858197E-2</v>
      </c>
      <c r="U225" s="13">
        <v>4.8912696235064369E-2</v>
      </c>
      <c r="V225" s="13">
        <v>-0.29412350886618766</v>
      </c>
      <c r="W225" s="13">
        <v>-9.9276925544117448E-2</v>
      </c>
      <c r="X225" s="13">
        <v>0</v>
      </c>
      <c r="Y225" s="13">
        <v>0</v>
      </c>
      <c r="Z225" s="13">
        <v>0</v>
      </c>
      <c r="AA225" s="13">
        <v>0</v>
      </c>
      <c r="AB225" s="13">
        <v>0</v>
      </c>
      <c r="AC225" s="13">
        <v>0</v>
      </c>
    </row>
    <row r="226" spans="1:29" x14ac:dyDescent="0.25">
      <c r="A226" s="3">
        <v>1.2376623378635799E+18</v>
      </c>
      <c r="B226" s="3">
        <v>235.74054000000001</v>
      </c>
      <c r="C226" s="3">
        <v>35.712043000000001</v>
      </c>
      <c r="D226" s="16">
        <v>0.30387370000000002</v>
      </c>
      <c r="E226" s="3">
        <v>1.7891200000000005</v>
      </c>
      <c r="F226" s="3">
        <v>3.4290900000000022</v>
      </c>
      <c r="G226" s="3">
        <v>4.0108800000000002</v>
      </c>
      <c r="H226" s="3">
        <v>4.3766999999999996</v>
      </c>
      <c r="I226" s="3">
        <v>1.6399700000000017</v>
      </c>
      <c r="J226" s="3">
        <v>2.2217599999999997</v>
      </c>
      <c r="K226" s="3">
        <v>2.5875799999999991</v>
      </c>
      <c r="L226" s="3">
        <v>0.58178999999999803</v>
      </c>
      <c r="M226" s="3">
        <v>0.9476099999999974</v>
      </c>
      <c r="N226" s="3">
        <v>0.36581999999999937</v>
      </c>
      <c r="Q226" s="13">
        <v>0.8711522763833508</v>
      </c>
      <c r="R226" s="13">
        <v>-1.1631932988652587</v>
      </c>
      <c r="S226" s="13">
        <v>-2.3682398897839185</v>
      </c>
      <c r="T226" s="13">
        <v>0.31092542065128048</v>
      </c>
      <c r="U226" s="13">
        <v>5.166681483360306E-2</v>
      </c>
      <c r="V226" s="13">
        <v>-0.27099649983604485</v>
      </c>
      <c r="W226" s="13">
        <v>-2.731092785211359E-2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</row>
    <row r="227" spans="1:29" x14ac:dyDescent="0.25">
      <c r="A227" s="3">
        <v>1.2376625032190999E+18</v>
      </c>
      <c r="B227" s="3">
        <v>236.79615000000001</v>
      </c>
      <c r="C227" s="3">
        <v>35.734476000000001</v>
      </c>
      <c r="D227" s="16">
        <v>0.30845939999999999</v>
      </c>
      <c r="E227" s="3">
        <v>2.650269999999999</v>
      </c>
      <c r="F227" s="3">
        <v>4.2831200000000003</v>
      </c>
      <c r="G227" s="3">
        <v>4.830449999999999</v>
      </c>
      <c r="H227" s="3">
        <v>5.240470000000002</v>
      </c>
      <c r="I227" s="3">
        <v>1.6328500000000012</v>
      </c>
      <c r="J227" s="3">
        <v>2.18018</v>
      </c>
      <c r="K227" s="3">
        <v>2.5902000000000029</v>
      </c>
      <c r="L227" s="3">
        <v>0.54732999999999876</v>
      </c>
      <c r="M227" s="3">
        <v>0.9573500000000017</v>
      </c>
      <c r="N227" s="3">
        <v>0.41002000000000294</v>
      </c>
      <c r="Q227" s="13">
        <v>0.98193127315582796</v>
      </c>
      <c r="R227" s="13">
        <v>-1.1431125777209736</v>
      </c>
      <c r="S227" s="13">
        <v>-2.3185909212737101</v>
      </c>
      <c r="T227" s="13">
        <v>0.23720619115912375</v>
      </c>
      <c r="U227" s="13">
        <v>9.3061337119138016E-3</v>
      </c>
      <c r="V227" s="13">
        <v>-0.27556097694134163</v>
      </c>
      <c r="W227" s="13">
        <v>-0.10381195472533913</v>
      </c>
      <c r="X227" s="13">
        <v>0</v>
      </c>
      <c r="Y227" s="13">
        <v>0</v>
      </c>
      <c r="Z227" s="13">
        <v>0</v>
      </c>
      <c r="AA227" s="13">
        <v>0</v>
      </c>
      <c r="AB227" s="13">
        <v>0</v>
      </c>
      <c r="AC227" s="13">
        <v>0</v>
      </c>
    </row>
    <row r="228" spans="1:29" x14ac:dyDescent="0.25">
      <c r="A228" s="3">
        <v>1.2376625032189701E+18</v>
      </c>
      <c r="B228" s="3">
        <v>236.59179</v>
      </c>
      <c r="C228" s="3">
        <v>35.966366000000001</v>
      </c>
      <c r="D228" s="16">
        <v>0.31038009999999999</v>
      </c>
      <c r="E228" s="3">
        <v>2.591070000000002</v>
      </c>
      <c r="F228" s="3">
        <v>4.4189399999999992</v>
      </c>
      <c r="G228" s="3">
        <v>5.3076800000000013</v>
      </c>
      <c r="H228" s="3">
        <v>5.8498400000000004</v>
      </c>
      <c r="I228" s="3">
        <v>1.8278699999999972</v>
      </c>
      <c r="J228" s="3">
        <v>2.7166099999999993</v>
      </c>
      <c r="K228" s="3">
        <v>3.2587699999999984</v>
      </c>
      <c r="L228" s="3">
        <v>0.88874000000000208</v>
      </c>
      <c r="M228" s="3">
        <v>1.4309000000000012</v>
      </c>
      <c r="N228" s="3">
        <v>0.54215999999999909</v>
      </c>
      <c r="Q228" s="13">
        <v>0.53127545793081155</v>
      </c>
      <c r="R228" s="13">
        <v>-2.2289706547699648</v>
      </c>
      <c r="S228" s="13">
        <v>5.2752659942796364E-3</v>
      </c>
      <c r="T228" s="13">
        <v>1.0705471725483007</v>
      </c>
      <c r="U228" s="13">
        <v>-0.1689156893506886</v>
      </c>
      <c r="V228" s="13">
        <v>5.241657033106957E-2</v>
      </c>
      <c r="W228" s="13">
        <v>-6.8008357125970739E-2</v>
      </c>
      <c r="X228" s="13">
        <v>0</v>
      </c>
      <c r="Y228" s="13">
        <v>0</v>
      </c>
      <c r="Z228" s="13">
        <v>0</v>
      </c>
      <c r="AA228" s="13">
        <v>0</v>
      </c>
      <c r="AB228" s="13">
        <v>0</v>
      </c>
      <c r="AC228" s="13">
        <v>0</v>
      </c>
    </row>
    <row r="229" spans="1:29" x14ac:dyDescent="0.25">
      <c r="A229" s="3">
        <v>1.2376614659861299E+18</v>
      </c>
      <c r="B229" s="3">
        <v>235.90937</v>
      </c>
      <c r="C229" s="3">
        <v>36.018816999999999</v>
      </c>
      <c r="D229" s="16">
        <v>0.31236789999999998</v>
      </c>
      <c r="E229" s="3">
        <v>2.5473800000000004</v>
      </c>
      <c r="F229" s="3">
        <v>4.1222999999999992</v>
      </c>
      <c r="G229" s="3">
        <v>4.7533799999999999</v>
      </c>
      <c r="H229" s="3">
        <v>5.0141400000000012</v>
      </c>
      <c r="I229" s="3">
        <v>1.5749199999999988</v>
      </c>
      <c r="J229" s="3">
        <v>2.2059999999999995</v>
      </c>
      <c r="K229" s="3">
        <v>2.4667600000000007</v>
      </c>
      <c r="L229" s="3">
        <v>0.63108000000000075</v>
      </c>
      <c r="M229" s="3">
        <v>0.89184000000000196</v>
      </c>
      <c r="N229" s="3">
        <v>0.26076000000000121</v>
      </c>
      <c r="Q229" s="13">
        <v>1.3745371693356871</v>
      </c>
      <c r="R229" s="13">
        <v>-0.7902480492745203</v>
      </c>
      <c r="S229" s="13">
        <v>-0.92843617116102983</v>
      </c>
      <c r="T229" s="13">
        <v>-1.4152854768699736</v>
      </c>
      <c r="U229" s="13">
        <v>-0.21085729740878431</v>
      </c>
      <c r="V229" s="13">
        <v>2.197065022575934E-3</v>
      </c>
      <c r="W229" s="13">
        <v>-0.27596090139666885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</row>
    <row r="230" spans="1:29" x14ac:dyDescent="0.25">
      <c r="A230" s="3">
        <v>1.2376624736911301E+18</v>
      </c>
      <c r="B230" s="3">
        <v>236.80857</v>
      </c>
      <c r="C230" s="3">
        <v>36.059871999999999</v>
      </c>
      <c r="D230" s="16">
        <v>0.31662200000000001</v>
      </c>
      <c r="E230" s="3">
        <v>2.6532499999999999</v>
      </c>
      <c r="F230" s="3">
        <v>4.4090200000000017</v>
      </c>
      <c r="G230" s="3">
        <v>5.0525400000000005</v>
      </c>
      <c r="H230" s="3">
        <v>5.5060299999999991</v>
      </c>
      <c r="I230" s="3">
        <v>1.7557700000000018</v>
      </c>
      <c r="J230" s="3">
        <v>2.3992900000000006</v>
      </c>
      <c r="K230" s="3">
        <v>2.8527799999999992</v>
      </c>
      <c r="L230" s="3">
        <v>0.64351999999999876</v>
      </c>
      <c r="M230" s="3">
        <v>1.0970099999999974</v>
      </c>
      <c r="N230" s="3">
        <v>0.45348999999999862</v>
      </c>
      <c r="Q230" s="13">
        <v>-0.35830930016389656</v>
      </c>
      <c r="R230" s="13">
        <v>-2.9260650964591224</v>
      </c>
      <c r="S230" s="13">
        <v>0.48143957491862915</v>
      </c>
      <c r="T230" s="13">
        <v>-1.2713649180102717</v>
      </c>
      <c r="U230" s="13">
        <v>-0.19506882360066508</v>
      </c>
      <c r="V230" s="13">
        <v>-0.12583912596429966</v>
      </c>
      <c r="W230" s="13">
        <v>-0.20070157936766519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</row>
    <row r="231" spans="1:29" x14ac:dyDescent="0.25">
      <c r="A231" s="3">
        <v>1.2376624736911301E+18</v>
      </c>
      <c r="B231" s="3">
        <v>236.80857</v>
      </c>
      <c r="C231" s="3">
        <v>36.059871999999999</v>
      </c>
      <c r="D231" s="16">
        <v>0.31669540000000002</v>
      </c>
      <c r="E231" s="3">
        <v>2.6532499999999999</v>
      </c>
      <c r="F231" s="3">
        <v>4.4090200000000017</v>
      </c>
      <c r="G231" s="3">
        <v>5.0525400000000005</v>
      </c>
      <c r="H231" s="3">
        <v>5.5060299999999991</v>
      </c>
      <c r="I231" s="3">
        <v>1.7557700000000018</v>
      </c>
      <c r="J231" s="3">
        <v>2.3992900000000006</v>
      </c>
      <c r="K231" s="3">
        <v>2.8527799999999992</v>
      </c>
      <c r="L231" s="3">
        <v>0.64351999999999876</v>
      </c>
      <c r="M231" s="3">
        <v>1.0970099999999974</v>
      </c>
      <c r="N231" s="3">
        <v>0.45348999999999862</v>
      </c>
      <c r="Q231" s="13">
        <v>-0.35835063086972657</v>
      </c>
      <c r="R231" s="13">
        <v>-2.9260410289468681</v>
      </c>
      <c r="S231" s="13">
        <v>0.48143682962357159</v>
      </c>
      <c r="T231" s="13">
        <v>-1.2713629713027175</v>
      </c>
      <c r="U231" s="13">
        <v>-0.19504820437178602</v>
      </c>
      <c r="V231" s="13">
        <v>-0.12576797113834182</v>
      </c>
      <c r="W231" s="13">
        <v>-0.20079351871383386</v>
      </c>
      <c r="X231" s="13">
        <v>0</v>
      </c>
      <c r="Y231" s="13">
        <v>0</v>
      </c>
      <c r="Z231" s="13">
        <v>0</v>
      </c>
      <c r="AA231" s="13">
        <v>0</v>
      </c>
      <c r="AB231" s="13">
        <v>0</v>
      </c>
      <c r="AC231" s="13">
        <v>0</v>
      </c>
    </row>
    <row r="232" spans="1:29" x14ac:dyDescent="0.25">
      <c r="A232" s="3">
        <v>1.23766247369107E+18</v>
      </c>
      <c r="B232" s="3">
        <v>236.59941000000001</v>
      </c>
      <c r="C232" s="3">
        <v>36.108260999999999</v>
      </c>
      <c r="D232" s="16">
        <v>0.31782389999999999</v>
      </c>
      <c r="E232" s="3">
        <v>1.6332099999999983</v>
      </c>
      <c r="F232" s="3">
        <v>2.90015</v>
      </c>
      <c r="G232" s="3">
        <v>3.4193999999999996</v>
      </c>
      <c r="H232" s="3">
        <v>3.8281600000000005</v>
      </c>
      <c r="I232" s="3">
        <v>1.2669400000000017</v>
      </c>
      <c r="J232" s="3">
        <v>1.7861900000000013</v>
      </c>
      <c r="K232" s="3">
        <v>2.1949500000000022</v>
      </c>
      <c r="L232" s="3">
        <v>0.51924999999999955</v>
      </c>
      <c r="M232" s="3">
        <v>0.92801000000000045</v>
      </c>
      <c r="N232" s="3">
        <v>0.4087600000000009</v>
      </c>
      <c r="Q232" s="13">
        <v>0.45839450581299895</v>
      </c>
      <c r="R232" s="13">
        <v>-1.2433495105494758</v>
      </c>
      <c r="S232" s="13">
        <v>-0.14178012532955961</v>
      </c>
      <c r="T232" s="13">
        <v>-1.6565183281961586</v>
      </c>
      <c r="U232" s="13">
        <v>-0.31437148084025007</v>
      </c>
      <c r="V232" s="13">
        <v>6.2063643791249717E-3</v>
      </c>
      <c r="W232" s="13">
        <v>-4.3707869108677459E-2</v>
      </c>
      <c r="X232" s="13">
        <v>0</v>
      </c>
      <c r="Y232" s="13">
        <v>0</v>
      </c>
      <c r="Z232" s="13">
        <v>0</v>
      </c>
      <c r="AA232" s="13">
        <v>0</v>
      </c>
      <c r="AB232" s="13">
        <v>0</v>
      </c>
      <c r="AC232" s="13">
        <v>0</v>
      </c>
    </row>
    <row r="233" spans="1:29" x14ac:dyDescent="0.25">
      <c r="A233" s="3">
        <v>1.2376625032189701E+18</v>
      </c>
      <c r="B233" s="3">
        <v>236.42599000000001</v>
      </c>
      <c r="C233" s="3">
        <v>35.854213000000001</v>
      </c>
      <c r="D233" s="16">
        <v>0.31824170000000002</v>
      </c>
      <c r="E233" s="3">
        <v>2.3661199999999987</v>
      </c>
      <c r="F233" s="3">
        <v>3.9738700000000016</v>
      </c>
      <c r="G233" s="3">
        <v>4.5371699999999997</v>
      </c>
      <c r="H233" s="3">
        <v>4.9002100000000013</v>
      </c>
      <c r="I233" s="3">
        <v>1.6077500000000029</v>
      </c>
      <c r="J233" s="3">
        <v>2.171050000000001</v>
      </c>
      <c r="K233" s="3">
        <v>2.5340900000000026</v>
      </c>
      <c r="L233" s="3">
        <v>0.56329999999999814</v>
      </c>
      <c r="M233" s="3">
        <v>0.92633999999999972</v>
      </c>
      <c r="N233" s="3">
        <v>0.36304000000000158</v>
      </c>
      <c r="Q233" s="13">
        <v>0.41111087237493454</v>
      </c>
      <c r="R233" s="13">
        <v>-0.8941074395394818</v>
      </c>
      <c r="S233" s="13">
        <v>1.7174015658615642</v>
      </c>
      <c r="T233" s="13">
        <v>6.7977735491133373E-3</v>
      </c>
      <c r="U233" s="13">
        <v>-0.69312831636391525</v>
      </c>
      <c r="V233" s="13">
        <v>-9.3729054554913455E-2</v>
      </c>
      <c r="W233" s="13">
        <v>-0.11387809155553795</v>
      </c>
      <c r="X233" s="13">
        <v>0</v>
      </c>
      <c r="Y233" s="13">
        <v>0</v>
      </c>
      <c r="Z233" s="13">
        <v>0</v>
      </c>
      <c r="AA233" s="13">
        <v>0</v>
      </c>
      <c r="AB233" s="13">
        <v>0</v>
      </c>
      <c r="AC233" s="13">
        <v>0</v>
      </c>
    </row>
    <row r="234" spans="1:29" x14ac:dyDescent="0.25">
      <c r="A234" s="3">
        <v>1.2376625032189701E+18</v>
      </c>
      <c r="B234" s="3">
        <v>236.42599000000001</v>
      </c>
      <c r="C234" s="3">
        <v>35.854213000000001</v>
      </c>
      <c r="D234" s="16">
        <v>0.3183938</v>
      </c>
      <c r="E234" s="3">
        <v>2.3661199999999987</v>
      </c>
      <c r="F234" s="3">
        <v>3.9738700000000016</v>
      </c>
      <c r="G234" s="3">
        <v>4.5371699999999997</v>
      </c>
      <c r="H234" s="3">
        <v>4.9002100000000013</v>
      </c>
      <c r="I234" s="3">
        <v>1.6077500000000029</v>
      </c>
      <c r="J234" s="3">
        <v>2.171050000000001</v>
      </c>
      <c r="K234" s="3">
        <v>2.5340900000000026</v>
      </c>
      <c r="L234" s="3">
        <v>0.56329999999999814</v>
      </c>
      <c r="M234" s="3">
        <v>0.92633999999999972</v>
      </c>
      <c r="N234" s="3">
        <v>0.36304000000000158</v>
      </c>
      <c r="Q234" s="13">
        <v>0.1598406146405239</v>
      </c>
      <c r="R234" s="13">
        <v>-1.5331173873487849</v>
      </c>
      <c r="S234" s="13">
        <v>0.30826792604330633</v>
      </c>
      <c r="T234" s="13">
        <v>-1.652444066027992</v>
      </c>
      <c r="U234" s="13">
        <v>-0.49925714460123666</v>
      </c>
      <c r="V234" s="13">
        <v>-0.14752446614180278</v>
      </c>
      <c r="W234" s="13">
        <v>-0.16997151894147119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</row>
    <row r="235" spans="1:29" x14ac:dyDescent="0.25">
      <c r="A235" s="3">
        <v>1.23766247369087E+18</v>
      </c>
      <c r="B235" s="3">
        <v>236.28253000000001</v>
      </c>
      <c r="C235" s="3">
        <v>36.441251999999999</v>
      </c>
      <c r="D235" s="16">
        <v>0.320581</v>
      </c>
      <c r="E235" s="3">
        <v>1.9499700000000004</v>
      </c>
      <c r="F235" s="3">
        <v>3.7154600000000002</v>
      </c>
      <c r="G235" s="3">
        <v>4.2989099999999993</v>
      </c>
      <c r="H235" s="3">
        <v>4.7248599999999996</v>
      </c>
      <c r="I235" s="3">
        <v>1.7654899999999998</v>
      </c>
      <c r="J235" s="3">
        <v>2.3489399999999989</v>
      </c>
      <c r="K235" s="3">
        <v>2.7748899999999992</v>
      </c>
      <c r="L235" s="3">
        <v>0.58344999999999914</v>
      </c>
      <c r="M235" s="3">
        <v>1.0093999999999994</v>
      </c>
      <c r="N235" s="3">
        <v>0.42595000000000027</v>
      </c>
      <c r="Q235" s="13">
        <v>-8.2907065883252598E-2</v>
      </c>
      <c r="R235" s="13">
        <v>-1.2246395579118701</v>
      </c>
      <c r="S235" s="13">
        <v>2.253511915458259</v>
      </c>
      <c r="T235" s="13">
        <v>0.44982549877081257</v>
      </c>
      <c r="U235" s="13">
        <v>-0.68707201399422402</v>
      </c>
      <c r="V235" s="13">
        <v>-0.32242548877951871</v>
      </c>
      <c r="W235" s="13">
        <v>-0.17418638454106714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</row>
    <row r="236" spans="1:29" x14ac:dyDescent="0.25">
      <c r="A236" s="3">
        <v>1.2376623378636401E+18</v>
      </c>
      <c r="B236" s="3">
        <v>235.91333</v>
      </c>
      <c r="C236" s="3">
        <v>35.602728999999997</v>
      </c>
      <c r="D236" s="16">
        <v>0.32255040000000001</v>
      </c>
      <c r="E236" s="3">
        <v>3.1359599999999972</v>
      </c>
      <c r="F236" s="3">
        <v>4.8514199999999974</v>
      </c>
      <c r="G236" s="3">
        <v>5.4347199999999987</v>
      </c>
      <c r="H236" s="3">
        <v>5.8180099999999975</v>
      </c>
      <c r="I236" s="3">
        <v>1.7154600000000002</v>
      </c>
      <c r="J236" s="3">
        <v>2.2987600000000015</v>
      </c>
      <c r="K236" s="3">
        <v>2.6820500000000003</v>
      </c>
      <c r="L236" s="3">
        <v>0.58330000000000126</v>
      </c>
      <c r="M236" s="3">
        <v>0.96659000000000006</v>
      </c>
      <c r="N236" s="3">
        <v>0.3832899999999988</v>
      </c>
      <c r="Q236" s="13">
        <v>0.27443285106041809</v>
      </c>
      <c r="R236" s="13">
        <v>-1.2980147097885728</v>
      </c>
      <c r="S236" s="13">
        <v>2.0293294652322178</v>
      </c>
      <c r="T236" s="13">
        <v>-0.36205577375836773</v>
      </c>
      <c r="U236" s="13">
        <v>-0.76355829103208073</v>
      </c>
      <c r="V236" s="13">
        <v>-1.5147852243248289E-2</v>
      </c>
      <c r="W236" s="13">
        <v>-0.14795042107805798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</row>
    <row r="237" spans="1:29" x14ac:dyDescent="0.25">
      <c r="A237" s="3">
        <v>1.23766146544926E+18</v>
      </c>
      <c r="B237" s="3">
        <v>235.71722</v>
      </c>
      <c r="C237" s="3">
        <v>35.614393999999997</v>
      </c>
      <c r="D237" s="16">
        <v>0.32288319999999998</v>
      </c>
      <c r="E237" s="3">
        <v>2.2147499999999987</v>
      </c>
      <c r="F237" s="3">
        <v>3.8974900000000012</v>
      </c>
      <c r="G237" s="3">
        <v>4.4806600000000003</v>
      </c>
      <c r="H237" s="3">
        <v>4.8648300000000013</v>
      </c>
      <c r="I237" s="3">
        <v>1.6827400000000026</v>
      </c>
      <c r="J237" s="3">
        <v>2.2659100000000016</v>
      </c>
      <c r="K237" s="3">
        <v>2.6500800000000027</v>
      </c>
      <c r="L237" s="3">
        <v>0.58316999999999908</v>
      </c>
      <c r="M237" s="3">
        <v>0.96734000000000009</v>
      </c>
      <c r="N237" s="3">
        <v>0.38417000000000101</v>
      </c>
      <c r="Q237" s="13">
        <v>0.14561288190319624</v>
      </c>
      <c r="R237" s="13">
        <v>-1.3751794824372141</v>
      </c>
      <c r="S237" s="13">
        <v>1.0988665199636845</v>
      </c>
      <c r="T237" s="13">
        <v>0.36330316548446234</v>
      </c>
      <c r="U237" s="13">
        <v>-0.16625667398500346</v>
      </c>
      <c r="V237" s="13">
        <v>-0.22105008080852792</v>
      </c>
      <c r="W237" s="13">
        <v>-0.18866828589371248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</row>
    <row r="238" spans="1:29" x14ac:dyDescent="0.25">
      <c r="A238" s="3">
        <v>1.2376625032189E+18</v>
      </c>
      <c r="B238" s="3">
        <v>236.35123999999999</v>
      </c>
      <c r="C238" s="3">
        <v>36.038491999999998</v>
      </c>
      <c r="D238" s="16">
        <v>0.32365179999999999</v>
      </c>
      <c r="E238" s="3">
        <v>3.4041199999999989</v>
      </c>
      <c r="F238" s="3">
        <v>5.0744599999999984</v>
      </c>
      <c r="G238" s="3">
        <v>5.6647199999999991</v>
      </c>
      <c r="H238" s="3">
        <v>6.0345799999999983</v>
      </c>
      <c r="I238" s="3">
        <v>1.6703399999999995</v>
      </c>
      <c r="J238" s="3">
        <v>2.2606000000000002</v>
      </c>
      <c r="K238" s="3">
        <v>2.6304599999999994</v>
      </c>
      <c r="L238" s="3">
        <v>0.59026000000000067</v>
      </c>
      <c r="M238" s="3">
        <v>0.96011999999999986</v>
      </c>
      <c r="N238" s="3">
        <v>0.36985999999999919</v>
      </c>
      <c r="Q238" s="13">
        <v>0.95802775437781051</v>
      </c>
      <c r="R238" s="13">
        <v>-0.45494313614330595</v>
      </c>
      <c r="S238" s="13">
        <v>0.75998343467607965</v>
      </c>
      <c r="T238" s="13">
        <v>0.7834674010155126</v>
      </c>
      <c r="U238" s="13">
        <v>-0.57290251265404979</v>
      </c>
      <c r="V238" s="13">
        <v>-0.18956890959303657</v>
      </c>
      <c r="W238" s="13">
        <v>-0.36209916222294547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</row>
    <row r="239" spans="1:29" x14ac:dyDescent="0.25">
      <c r="A239" s="3">
        <v>1.2376625032189E+18</v>
      </c>
      <c r="B239" s="3">
        <v>236.35028</v>
      </c>
      <c r="C239" s="3">
        <v>36.085205000000002</v>
      </c>
      <c r="D239" s="16">
        <v>0.32386720000000002</v>
      </c>
      <c r="E239" s="3">
        <v>5.1739500000000014</v>
      </c>
      <c r="F239" s="3">
        <v>6.9403699999999979</v>
      </c>
      <c r="G239" s="3">
        <v>7.6069600000000008</v>
      </c>
      <c r="H239" s="3">
        <v>7.9886499999999998</v>
      </c>
      <c r="I239" s="3">
        <v>1.7664199999999965</v>
      </c>
      <c r="J239" s="3">
        <v>2.4330099999999995</v>
      </c>
      <c r="K239" s="3">
        <v>2.8146999999999984</v>
      </c>
      <c r="L239" s="3">
        <v>0.6665900000000029</v>
      </c>
      <c r="M239" s="3">
        <v>1.0482800000000019</v>
      </c>
      <c r="N239" s="3">
        <v>0.38168999999999897</v>
      </c>
      <c r="Q239" s="13">
        <v>-0.32449224403681926</v>
      </c>
      <c r="R239" s="13">
        <v>-1.3517393198767074</v>
      </c>
      <c r="S239" s="13">
        <v>0.81413440248984215</v>
      </c>
      <c r="T239" s="13">
        <v>0.28856949732987297</v>
      </c>
      <c r="U239" s="13">
        <v>-0.63889016700988999</v>
      </c>
      <c r="V239" s="13">
        <v>-0.25853635307380607</v>
      </c>
      <c r="W239" s="13">
        <v>-0.14036779016666598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</row>
    <row r="240" spans="1:29" x14ac:dyDescent="0.25">
      <c r="A240" s="3">
        <v>1.2376623378635799E+18</v>
      </c>
      <c r="B240" s="3">
        <v>235.86107000000001</v>
      </c>
      <c r="C240" s="3">
        <v>35.709682999999998</v>
      </c>
      <c r="D240" s="16">
        <v>0.32391569999999997</v>
      </c>
      <c r="E240" s="3">
        <v>3.1640100000000011</v>
      </c>
      <c r="F240" s="3">
        <v>4.9245899999999985</v>
      </c>
      <c r="G240" s="3">
        <v>5.5921100000000017</v>
      </c>
      <c r="H240" s="3">
        <v>5.9349500000000006</v>
      </c>
      <c r="I240" s="3">
        <v>1.7605799999999974</v>
      </c>
      <c r="J240" s="3">
        <v>2.4281000000000006</v>
      </c>
      <c r="K240" s="3">
        <v>2.7709399999999995</v>
      </c>
      <c r="L240" s="3">
        <v>0.66752000000000322</v>
      </c>
      <c r="M240" s="3">
        <v>1.0103600000000021</v>
      </c>
      <c r="N240" s="3">
        <v>0.34283999999999892</v>
      </c>
      <c r="Q240" s="13">
        <v>-0.32462780875194247</v>
      </c>
      <c r="R240" s="13">
        <v>-1.3516603784365229</v>
      </c>
      <c r="S240" s="13">
        <v>0.8141253979220533</v>
      </c>
      <c r="T240" s="13">
        <v>0.2885758825306482</v>
      </c>
      <c r="U240" s="13">
        <v>-0.63882253593916527</v>
      </c>
      <c r="V240" s="13">
        <v>-0.25830296524466573</v>
      </c>
      <c r="W240" s="13">
        <v>-0.14066935122209892</v>
      </c>
      <c r="X240" s="13">
        <v>0</v>
      </c>
      <c r="Y240" s="13">
        <v>0</v>
      </c>
      <c r="Z240" s="13">
        <v>0</v>
      </c>
      <c r="AA240" s="13">
        <v>0</v>
      </c>
      <c r="AB240" s="13">
        <v>0</v>
      </c>
      <c r="AC240" s="13">
        <v>0</v>
      </c>
    </row>
    <row r="241" spans="1:29" x14ac:dyDescent="0.25">
      <c r="A241" s="3">
        <v>1.2376614659861299E+18</v>
      </c>
      <c r="B241" s="3">
        <v>235.90254999999999</v>
      </c>
      <c r="C241" s="3">
        <v>35.937721000000003</v>
      </c>
      <c r="D241" s="16">
        <v>0.32398379999999999</v>
      </c>
      <c r="E241" s="3">
        <v>1.9032899999999984</v>
      </c>
      <c r="F241" s="3">
        <v>3.5843199999999982</v>
      </c>
      <c r="G241" s="3">
        <v>4.1891199999999991</v>
      </c>
      <c r="H241" s="3">
        <v>4.5132399999999997</v>
      </c>
      <c r="I241" s="3">
        <v>1.6810299999999998</v>
      </c>
      <c r="J241" s="3">
        <v>2.2858300000000007</v>
      </c>
      <c r="K241" s="3">
        <v>2.6099500000000013</v>
      </c>
      <c r="L241" s="3">
        <v>0.60480000000000089</v>
      </c>
      <c r="M241" s="3">
        <v>0.92892000000000152</v>
      </c>
      <c r="N241" s="3">
        <v>0.32412000000000063</v>
      </c>
      <c r="Q241" s="13">
        <v>-0.30237468628434711</v>
      </c>
      <c r="R241" s="13">
        <v>-2.0809510046357356</v>
      </c>
      <c r="S241" s="13">
        <v>0.36836327698801941</v>
      </c>
      <c r="T241" s="13">
        <v>-0.68470091178771064</v>
      </c>
      <c r="U241" s="13">
        <v>-0.32578672355896954</v>
      </c>
      <c r="V241" s="13">
        <v>-0.15753177621155687</v>
      </c>
      <c r="W241" s="13">
        <v>-0.20836972518172617</v>
      </c>
      <c r="X241" s="13">
        <v>0</v>
      </c>
      <c r="Y241" s="13">
        <v>0</v>
      </c>
      <c r="Z241" s="13">
        <v>0</v>
      </c>
      <c r="AA241" s="13">
        <v>0</v>
      </c>
      <c r="AB241" s="13">
        <v>0</v>
      </c>
      <c r="AC241" s="13">
        <v>0</v>
      </c>
    </row>
    <row r="242" spans="1:29" x14ac:dyDescent="0.25">
      <c r="A242" s="3">
        <v>1.2376623378635799E+18</v>
      </c>
      <c r="B242" s="3">
        <v>235.86107000000001</v>
      </c>
      <c r="C242" s="3">
        <v>35.709682999999998</v>
      </c>
      <c r="D242" s="16">
        <v>0.32401029999999997</v>
      </c>
      <c r="E242" s="3">
        <v>3.1640100000000011</v>
      </c>
      <c r="F242" s="3">
        <v>4.9245899999999985</v>
      </c>
      <c r="G242" s="3">
        <v>5.5921100000000017</v>
      </c>
      <c r="H242" s="3">
        <v>5.9349500000000006</v>
      </c>
      <c r="I242" s="3">
        <v>1.7605799999999974</v>
      </c>
      <c r="J242" s="3">
        <v>2.4281000000000006</v>
      </c>
      <c r="K242" s="3">
        <v>2.7709399999999995</v>
      </c>
      <c r="L242" s="3">
        <v>0.66752000000000322</v>
      </c>
      <c r="M242" s="3">
        <v>1.0103600000000021</v>
      </c>
      <c r="N242" s="3">
        <v>0.34283999999999892</v>
      </c>
      <c r="Q242" s="13">
        <v>-0.84931027961399641</v>
      </c>
      <c r="R242" s="13">
        <v>-2.7161954652391849</v>
      </c>
      <c r="S242" s="13">
        <v>-3.8901577358283979E-2</v>
      </c>
      <c r="T242" s="13">
        <v>-1.3464390583761032</v>
      </c>
      <c r="U242" s="13">
        <v>-0.43859479510588928</v>
      </c>
      <c r="V242" s="13">
        <v>-9.0028335135021204E-2</v>
      </c>
      <c r="W242" s="13">
        <v>-0.22303373528044637</v>
      </c>
      <c r="X242" s="13">
        <v>0</v>
      </c>
      <c r="Y242" s="13">
        <v>0</v>
      </c>
      <c r="Z242" s="13">
        <v>0</v>
      </c>
      <c r="AA242" s="13">
        <v>0</v>
      </c>
      <c r="AB242" s="13">
        <v>0</v>
      </c>
      <c r="AC242" s="13">
        <v>0</v>
      </c>
    </row>
    <row r="243" spans="1:29" x14ac:dyDescent="0.25">
      <c r="A243" s="3">
        <v>1.2376614659862001E+18</v>
      </c>
      <c r="B243" s="3">
        <v>236.15441000000001</v>
      </c>
      <c r="C243" s="3">
        <v>35.809334999999997</v>
      </c>
      <c r="D243" s="16">
        <v>0.3243781</v>
      </c>
      <c r="E243" s="3">
        <v>1.4928000000000026</v>
      </c>
      <c r="F243" s="3">
        <v>3.1190899999999999</v>
      </c>
      <c r="G243" s="3">
        <v>3.7056600000000017</v>
      </c>
      <c r="H243" s="3">
        <v>4.0075600000000016</v>
      </c>
      <c r="I243" s="3">
        <v>1.6262899999999973</v>
      </c>
      <c r="J243" s="3">
        <v>2.2128599999999992</v>
      </c>
      <c r="K243" s="3">
        <v>2.514759999999999</v>
      </c>
      <c r="L243" s="3">
        <v>0.58657000000000181</v>
      </c>
      <c r="M243" s="3">
        <v>0.88847000000000165</v>
      </c>
      <c r="N243" s="3">
        <v>0.30189999999999984</v>
      </c>
      <c r="Q243" s="13">
        <v>-0.35570577626561484</v>
      </c>
      <c r="R243" s="13">
        <v>-0.85349545434476137</v>
      </c>
      <c r="S243" s="13">
        <v>-3.6738377969968601E-2</v>
      </c>
      <c r="T243" s="13">
        <v>-1.8956888241373215</v>
      </c>
      <c r="U243" s="13">
        <v>-0.95355132204045956</v>
      </c>
      <c r="V243" s="13">
        <v>-9.2722670225809434E-2</v>
      </c>
      <c r="W243" s="13">
        <v>-8.7120491523229746E-2</v>
      </c>
      <c r="X243" s="13">
        <v>0</v>
      </c>
      <c r="Y243" s="13">
        <v>0</v>
      </c>
      <c r="Z243" s="13">
        <v>0</v>
      </c>
      <c r="AA243" s="13">
        <v>0</v>
      </c>
      <c r="AB243" s="13">
        <v>0</v>
      </c>
      <c r="AC243" s="13">
        <v>0</v>
      </c>
    </row>
    <row r="244" spans="1:29" x14ac:dyDescent="0.25">
      <c r="A244" s="3">
        <v>1.2376623378636401E+18</v>
      </c>
      <c r="B244" s="3">
        <v>235.95001999999999</v>
      </c>
      <c r="C244" s="3">
        <v>35.616621000000002</v>
      </c>
      <c r="D244" s="16">
        <v>0.32504300000000003</v>
      </c>
      <c r="E244" s="3">
        <v>1.1471099999999979</v>
      </c>
      <c r="F244" s="3">
        <v>2.792819999999999</v>
      </c>
      <c r="G244" s="3">
        <v>3.3642700000000012</v>
      </c>
      <c r="H244" s="3">
        <v>3.7715899999999998</v>
      </c>
      <c r="I244" s="3">
        <v>1.6457100000000011</v>
      </c>
      <c r="J244" s="3">
        <v>2.2171600000000034</v>
      </c>
      <c r="K244" s="3">
        <v>2.6244800000000019</v>
      </c>
      <c r="L244" s="3">
        <v>0.57145000000000223</v>
      </c>
      <c r="M244" s="3">
        <v>0.97877000000000081</v>
      </c>
      <c r="N244" s="3">
        <v>0.40731999999999857</v>
      </c>
      <c r="Q244" s="13">
        <v>0.42969500231252428</v>
      </c>
      <c r="R244" s="13">
        <v>-0.20110252206981122</v>
      </c>
      <c r="S244" s="13">
        <v>-1.7043447167361279</v>
      </c>
      <c r="T244" s="13">
        <v>0.86397697465491452</v>
      </c>
      <c r="U244" s="13">
        <v>-0.62189954682673965</v>
      </c>
      <c r="V244" s="13">
        <v>-1.1384202411422214E-3</v>
      </c>
      <c r="W244" s="13">
        <v>-7.6475424659242897E-2</v>
      </c>
      <c r="X244" s="13">
        <v>0</v>
      </c>
      <c r="Y244" s="13">
        <v>0</v>
      </c>
      <c r="Z244" s="13">
        <v>0</v>
      </c>
      <c r="AA244" s="13">
        <v>0</v>
      </c>
      <c r="AB244" s="13">
        <v>0</v>
      </c>
      <c r="AC244" s="13">
        <v>0</v>
      </c>
    </row>
    <row r="245" spans="1:29" x14ac:dyDescent="0.25">
      <c r="A245" s="3">
        <v>1.23766146598626E+18</v>
      </c>
      <c r="B245" s="3">
        <v>236.24893</v>
      </c>
      <c r="C245" s="3">
        <v>35.770789000000001</v>
      </c>
      <c r="D245" s="16">
        <v>0.32542379999999999</v>
      </c>
      <c r="E245" s="3">
        <v>2.4884799999999991</v>
      </c>
      <c r="F245" s="3">
        <v>4.2610899999999994</v>
      </c>
      <c r="G245" s="3">
        <v>4.8998799999999996</v>
      </c>
      <c r="H245" s="3">
        <v>5.2406299999999995</v>
      </c>
      <c r="I245" s="3">
        <v>1.7726100000000002</v>
      </c>
      <c r="J245" s="3">
        <v>2.4114000000000004</v>
      </c>
      <c r="K245" s="3">
        <v>2.7521500000000003</v>
      </c>
      <c r="L245" s="3">
        <v>0.63879000000000019</v>
      </c>
      <c r="M245" s="3">
        <v>0.97954000000000008</v>
      </c>
      <c r="N245" s="3">
        <v>0.34074999999999989</v>
      </c>
      <c r="Q245" s="13">
        <v>-0.22171105523682608</v>
      </c>
      <c r="R245" s="13">
        <v>-0.89522189868663549</v>
      </c>
      <c r="S245" s="13">
        <v>-1.0256999508590727</v>
      </c>
      <c r="T245" s="13">
        <v>0.43501877134988931</v>
      </c>
      <c r="U245" s="13">
        <v>-0.5719740015632323</v>
      </c>
      <c r="V245" s="13">
        <v>-0.20081068439327746</v>
      </c>
      <c r="W245" s="13">
        <v>-0.1462103924097341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</row>
    <row r="246" spans="1:29" x14ac:dyDescent="0.25">
      <c r="A246" s="3">
        <v>1.23766146598626E+18</v>
      </c>
      <c r="B246" s="3">
        <v>236.24893</v>
      </c>
      <c r="C246" s="3">
        <v>35.770789000000001</v>
      </c>
      <c r="D246" s="16">
        <v>0.32546160000000002</v>
      </c>
      <c r="E246" s="3">
        <v>2.4884799999999991</v>
      </c>
      <c r="F246" s="3">
        <v>4.2610899999999994</v>
      </c>
      <c r="G246" s="3">
        <v>4.8998799999999996</v>
      </c>
      <c r="H246" s="3">
        <v>5.2406299999999995</v>
      </c>
      <c r="I246" s="3">
        <v>1.7726100000000002</v>
      </c>
      <c r="J246" s="3">
        <v>2.4114000000000004</v>
      </c>
      <c r="K246" s="3">
        <v>2.7521500000000003</v>
      </c>
      <c r="L246" s="3">
        <v>0.63879000000000019</v>
      </c>
      <c r="M246" s="3">
        <v>0.97954000000000008</v>
      </c>
      <c r="N246" s="3">
        <v>0.34074999999999989</v>
      </c>
      <c r="Q246" s="13">
        <v>4.6638194783135072</v>
      </c>
      <c r="R246" s="13">
        <v>2.8004721951426959</v>
      </c>
      <c r="S246" s="13">
        <v>2.5536159415960111</v>
      </c>
      <c r="T246" s="13">
        <v>-0.27701822889619554</v>
      </c>
      <c r="U246" s="13">
        <v>0.55678393939475512</v>
      </c>
      <c r="V246" s="13">
        <v>-0.26099200839213338</v>
      </c>
      <c r="W246" s="13">
        <v>-1.304052041190954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</row>
    <row r="247" spans="1:29" x14ac:dyDescent="0.25">
      <c r="A247" s="3">
        <v>1.2376623378635799E+18</v>
      </c>
      <c r="B247" s="3">
        <v>235.86398</v>
      </c>
      <c r="C247" s="3">
        <v>35.713728000000003</v>
      </c>
      <c r="D247" s="16">
        <v>0.3258491</v>
      </c>
      <c r="E247" s="3">
        <v>1.7343399999999995</v>
      </c>
      <c r="F247" s="3">
        <v>3.627559999999999</v>
      </c>
      <c r="G247" s="3">
        <v>4.2792899999999996</v>
      </c>
      <c r="H247" s="3">
        <v>4.6788500000000006</v>
      </c>
      <c r="I247" s="3">
        <v>1.8932199999999995</v>
      </c>
      <c r="J247" s="3">
        <v>2.54495</v>
      </c>
      <c r="K247" s="3">
        <v>2.9445100000000011</v>
      </c>
      <c r="L247" s="3">
        <v>0.65173000000000059</v>
      </c>
      <c r="M247" s="3">
        <v>1.0512900000000016</v>
      </c>
      <c r="N247" s="3">
        <v>0.39956000000000103</v>
      </c>
      <c r="Q247" s="13">
        <v>7.4346302346978643E-2</v>
      </c>
      <c r="R247" s="13">
        <v>-0.44398039101725223</v>
      </c>
      <c r="S247" s="13">
        <v>-2.1524379154390201</v>
      </c>
      <c r="T247" s="13">
        <v>0.26380600567503304</v>
      </c>
      <c r="U247" s="13">
        <v>-0.54071070677920829</v>
      </c>
      <c r="V247" s="13">
        <v>-0.24738210052641019</v>
      </c>
      <c r="W247" s="13">
        <v>-0.17581388922754662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</row>
    <row r="248" spans="1:29" x14ac:dyDescent="0.25">
      <c r="A248" s="3">
        <v>1.2376624731543301E+18</v>
      </c>
      <c r="B248" s="3">
        <v>236.6069</v>
      </c>
      <c r="C248" s="3">
        <v>35.702178000000004</v>
      </c>
      <c r="D248" s="16">
        <v>0.32744319999999999</v>
      </c>
      <c r="E248" s="3">
        <v>1.9183100000000017</v>
      </c>
      <c r="F248" s="3">
        <v>3.6335000000000015</v>
      </c>
      <c r="G248" s="3">
        <v>4.2798200000000008</v>
      </c>
      <c r="H248" s="3">
        <v>4.6527299999999983</v>
      </c>
      <c r="I248" s="3">
        <v>1.7151899999999998</v>
      </c>
      <c r="J248" s="3">
        <v>2.3615099999999991</v>
      </c>
      <c r="K248" s="3">
        <v>2.7344199999999965</v>
      </c>
      <c r="L248" s="3">
        <v>0.64631999999999934</v>
      </c>
      <c r="M248" s="3">
        <v>1.0192299999999967</v>
      </c>
      <c r="N248" s="3">
        <v>0.37290999999999741</v>
      </c>
      <c r="Q248" s="13">
        <v>-0.73325635038902803</v>
      </c>
      <c r="R248" s="13">
        <v>-1.7893392606751981</v>
      </c>
      <c r="S248" s="13">
        <v>0.22245526938798948</v>
      </c>
      <c r="T248" s="13">
        <v>-1.8998038935703356</v>
      </c>
      <c r="U248" s="13">
        <v>-0.52107594191802709</v>
      </c>
      <c r="V248" s="13">
        <v>-0.33443293044036893</v>
      </c>
      <c r="W248" s="13">
        <v>-0.36956114436004023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</row>
    <row r="249" spans="1:29" x14ac:dyDescent="0.25">
      <c r="A249" s="3">
        <v>1.23766247369107E+18</v>
      </c>
      <c r="B249" s="3">
        <v>236.48567</v>
      </c>
      <c r="C249" s="3">
        <v>36.077297000000002</v>
      </c>
      <c r="D249" s="16">
        <v>0.33320499999999997</v>
      </c>
      <c r="E249" s="3">
        <v>2.2564099999999989</v>
      </c>
      <c r="F249" s="3">
        <v>4.1092499999999994</v>
      </c>
      <c r="G249" s="3">
        <v>4.7067799999999984</v>
      </c>
      <c r="H249" s="3">
        <v>5.0870800000000003</v>
      </c>
      <c r="I249" s="3">
        <v>1.8528400000000005</v>
      </c>
      <c r="J249" s="3">
        <v>2.4503699999999995</v>
      </c>
      <c r="K249" s="3">
        <v>2.8306700000000014</v>
      </c>
      <c r="L249" s="3">
        <v>0.59752999999999901</v>
      </c>
      <c r="M249" s="3">
        <v>0.97783000000000087</v>
      </c>
      <c r="N249" s="3">
        <v>0.38030000000000186</v>
      </c>
      <c r="Q249" s="13">
        <v>-2.5079588578674583</v>
      </c>
      <c r="R249" s="13">
        <v>-1.3661171466805941</v>
      </c>
      <c r="S249" s="13">
        <v>0.29031841544380699</v>
      </c>
      <c r="T249" s="13">
        <v>-0.87030282370601575</v>
      </c>
      <c r="U249" s="13">
        <v>-0.26250808831522288</v>
      </c>
      <c r="V249" s="13">
        <v>-0.61769405668341482</v>
      </c>
      <c r="W249" s="13">
        <v>0.38713088057318873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</row>
    <row r="250" spans="1:29" x14ac:dyDescent="0.25">
      <c r="A250" s="3">
        <v>1.2376614659859999E+18</v>
      </c>
      <c r="B250" s="3">
        <v>235.74043</v>
      </c>
      <c r="C250" s="3">
        <v>36.151716</v>
      </c>
      <c r="D250" s="16">
        <v>0.33321319999999999</v>
      </c>
      <c r="E250" s="3">
        <v>1.7527000000000008</v>
      </c>
      <c r="F250" s="3">
        <v>3.5256900000000009</v>
      </c>
      <c r="G250" s="3">
        <v>4.1278399999999991</v>
      </c>
      <c r="H250" s="3">
        <v>4.4974099999999986</v>
      </c>
      <c r="I250" s="3">
        <v>1.7729900000000001</v>
      </c>
      <c r="J250" s="3">
        <v>2.3751399999999983</v>
      </c>
      <c r="K250" s="3">
        <v>2.7447099999999978</v>
      </c>
      <c r="L250" s="3">
        <v>0.60214999999999819</v>
      </c>
      <c r="M250" s="3">
        <v>0.9717199999999977</v>
      </c>
      <c r="N250" s="3">
        <v>0.36956999999999951</v>
      </c>
      <c r="Q250" s="13">
        <v>-0.21066264134130805</v>
      </c>
      <c r="R250" s="13">
        <v>-1.6071121955742302</v>
      </c>
      <c r="S250" s="13">
        <v>-0.98122045197939889</v>
      </c>
      <c r="T250" s="13">
        <v>0.74803894924838388</v>
      </c>
      <c r="U250" s="13">
        <v>-0.68052561102960407</v>
      </c>
      <c r="V250" s="13">
        <v>0.3146751113890856</v>
      </c>
      <c r="W250" s="13">
        <v>-1.9417011372414496E-2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</row>
    <row r="251" spans="1:29" x14ac:dyDescent="0.25">
      <c r="A251" s="3">
        <v>1.2376624736910001E+18</v>
      </c>
      <c r="B251" s="3">
        <v>236.46100000000001</v>
      </c>
      <c r="C251" s="3">
        <v>36.078052</v>
      </c>
      <c r="D251" s="16">
        <v>0.33422950000000001</v>
      </c>
      <c r="E251" s="3">
        <v>1.8351000000000006</v>
      </c>
      <c r="F251" s="3">
        <v>3.5315499999999993</v>
      </c>
      <c r="G251" s="3">
        <v>4.1288199999999975</v>
      </c>
      <c r="H251" s="3">
        <v>4.5177699999999987</v>
      </c>
      <c r="I251" s="3">
        <v>1.6964499999999987</v>
      </c>
      <c r="J251" s="3">
        <v>2.2937199999999969</v>
      </c>
      <c r="K251" s="3">
        <v>2.6826699999999981</v>
      </c>
      <c r="L251" s="3">
        <v>0.59726999999999819</v>
      </c>
      <c r="M251" s="3">
        <v>0.98621999999999943</v>
      </c>
      <c r="N251" s="3">
        <v>0.38895000000000124</v>
      </c>
      <c r="Q251" s="13">
        <v>-1.4540464947858291</v>
      </c>
      <c r="R251" s="13">
        <v>-1.658483225783888</v>
      </c>
      <c r="S251" s="13">
        <v>1.0219438788888624</v>
      </c>
      <c r="T251" s="13">
        <v>-1.1136850262467231</v>
      </c>
      <c r="U251" s="13">
        <v>-0.64917123579633662</v>
      </c>
      <c r="V251" s="13">
        <v>-0.4547448725364418</v>
      </c>
      <c r="W251" s="13">
        <v>-0.18471193570502673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</row>
    <row r="252" spans="1:29" x14ac:dyDescent="0.25">
      <c r="A252" s="3">
        <v>1.2376624736910001E+18</v>
      </c>
      <c r="B252" s="3">
        <v>236.46100000000001</v>
      </c>
      <c r="C252" s="3">
        <v>36.078052</v>
      </c>
      <c r="D252" s="16">
        <v>0.33430650000000001</v>
      </c>
      <c r="E252" s="3">
        <v>1.8351000000000006</v>
      </c>
      <c r="F252" s="3">
        <v>3.5315499999999993</v>
      </c>
      <c r="G252" s="3">
        <v>4.1288199999999975</v>
      </c>
      <c r="H252" s="3">
        <v>4.5177699999999987</v>
      </c>
      <c r="I252" s="3">
        <v>1.6964499999999987</v>
      </c>
      <c r="J252" s="3">
        <v>2.2937199999999969</v>
      </c>
      <c r="K252" s="3">
        <v>2.6826699999999981</v>
      </c>
      <c r="L252" s="3">
        <v>0.59726999999999819</v>
      </c>
      <c r="M252" s="3">
        <v>0.98621999999999943</v>
      </c>
      <c r="N252" s="3">
        <v>0.38895000000000124</v>
      </c>
      <c r="Q252" s="13">
        <v>-1.4541398385953033</v>
      </c>
      <c r="R252" s="13">
        <v>-1.6584288702331396</v>
      </c>
      <c r="S252" s="13">
        <v>1.0219376787455619</v>
      </c>
      <c r="T252" s="13">
        <v>-1.1136806296825872</v>
      </c>
      <c r="U252" s="13">
        <v>-0.64912466806096025</v>
      </c>
      <c r="V252" s="13">
        <v>-0.45458417209874097</v>
      </c>
      <c r="W252" s="13">
        <v>-0.1849195771822201</v>
      </c>
      <c r="X252" s="13">
        <v>0</v>
      </c>
      <c r="Y252" s="13">
        <v>0</v>
      </c>
      <c r="Z252" s="13">
        <v>0</v>
      </c>
      <c r="AA252" s="13">
        <v>0</v>
      </c>
      <c r="AB252" s="13">
        <v>0</v>
      </c>
      <c r="AC252" s="13">
        <v>0</v>
      </c>
    </row>
    <row r="253" spans="1:29" x14ac:dyDescent="0.25">
      <c r="A253" s="3">
        <v>1.2376624736910001E+18</v>
      </c>
      <c r="B253" s="3">
        <v>236.57029</v>
      </c>
      <c r="C253" s="3">
        <v>36.179943999999999</v>
      </c>
      <c r="D253" s="16">
        <v>0.3350359</v>
      </c>
      <c r="E253" s="3">
        <v>2.7389200000000002</v>
      </c>
      <c r="F253" s="3">
        <v>4.6036399999999986</v>
      </c>
      <c r="G253" s="3">
        <v>5.2395600000000009</v>
      </c>
      <c r="H253" s="3">
        <v>5.6875700000000009</v>
      </c>
      <c r="I253" s="3">
        <v>1.8647199999999984</v>
      </c>
      <c r="J253" s="3">
        <v>2.5006400000000006</v>
      </c>
      <c r="K253" s="3">
        <v>2.9486500000000007</v>
      </c>
      <c r="L253" s="3">
        <v>0.63592000000000226</v>
      </c>
      <c r="M253" s="3">
        <v>1.0839300000000023</v>
      </c>
      <c r="N253" s="3">
        <v>0.44801000000000002</v>
      </c>
      <c r="Q253" s="13">
        <v>0.81753578785046976</v>
      </c>
      <c r="R253" s="13">
        <v>0.16548145835987316</v>
      </c>
      <c r="S253" s="13">
        <v>0.79391070160111721</v>
      </c>
      <c r="T253" s="13">
        <v>-0.71612899211458625</v>
      </c>
      <c r="U253" s="13">
        <v>-0.18429954561848114</v>
      </c>
      <c r="V253" s="13">
        <v>-0.18486332442988493</v>
      </c>
      <c r="W253" s="13">
        <v>-0.40659480132935788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</row>
    <row r="254" spans="1:29" x14ac:dyDescent="0.25">
      <c r="A254" s="3">
        <v>1.2376624736911301E+18</v>
      </c>
      <c r="B254" s="3">
        <v>236.63802999999999</v>
      </c>
      <c r="C254" s="3">
        <v>35.971592000000001</v>
      </c>
      <c r="D254" s="16">
        <v>0.33570280000000002</v>
      </c>
      <c r="E254" s="3">
        <v>1.5289900000000003</v>
      </c>
      <c r="F254" s="3">
        <v>3.1993699999999983</v>
      </c>
      <c r="G254" s="3">
        <v>3.8126099999999994</v>
      </c>
      <c r="H254" s="3">
        <v>4.153220000000001</v>
      </c>
      <c r="I254" s="3">
        <v>1.670379999999998</v>
      </c>
      <c r="J254" s="3">
        <v>2.2836199999999991</v>
      </c>
      <c r="K254" s="3">
        <v>2.6242300000000007</v>
      </c>
      <c r="L254" s="3">
        <v>0.61324000000000112</v>
      </c>
      <c r="M254" s="3">
        <v>0.95385000000000275</v>
      </c>
      <c r="N254" s="3">
        <v>0.34061000000000163</v>
      </c>
      <c r="Q254" s="13">
        <v>-0.34745039237466852</v>
      </c>
      <c r="R254" s="13">
        <v>-1.3192738718915811</v>
      </c>
      <c r="S254" s="13">
        <v>-0.28893963806058959</v>
      </c>
      <c r="T254" s="13">
        <v>-0.8241491642206038</v>
      </c>
      <c r="U254" s="13">
        <v>-0.60475429749938914</v>
      </c>
      <c r="V254" s="13">
        <v>-0.13460657507918974</v>
      </c>
      <c r="W254" s="13">
        <v>-0.29918069640970241</v>
      </c>
      <c r="X254" s="13">
        <v>0</v>
      </c>
      <c r="Y254" s="13">
        <v>0</v>
      </c>
      <c r="Z254" s="13">
        <v>0</v>
      </c>
      <c r="AA254" s="13">
        <v>0</v>
      </c>
      <c r="AB254" s="13">
        <v>0</v>
      </c>
      <c r="AC254" s="13">
        <v>0</v>
      </c>
    </row>
    <row r="255" spans="1:29" x14ac:dyDescent="0.25">
      <c r="A255" s="3">
        <v>1.2376624736911301E+18</v>
      </c>
      <c r="B255" s="3">
        <v>236.63802999999999</v>
      </c>
      <c r="C255" s="3">
        <v>35.971592000000001</v>
      </c>
      <c r="D255" s="16">
        <v>0.33570309999999998</v>
      </c>
      <c r="E255" s="3">
        <v>1.5289900000000003</v>
      </c>
      <c r="F255" s="3">
        <v>3.1993699999999983</v>
      </c>
      <c r="G255" s="3">
        <v>3.8126099999999994</v>
      </c>
      <c r="H255" s="3">
        <v>4.153220000000001</v>
      </c>
      <c r="I255" s="3">
        <v>1.670379999999998</v>
      </c>
      <c r="J255" s="3">
        <v>2.2836199999999991</v>
      </c>
      <c r="K255" s="3">
        <v>2.6242300000000007</v>
      </c>
      <c r="L255" s="3">
        <v>0.61324000000000112</v>
      </c>
      <c r="M255" s="3">
        <v>0.95385000000000275</v>
      </c>
      <c r="N255" s="3">
        <v>0.34061000000000163</v>
      </c>
      <c r="Q255" s="13">
        <v>-0.34764382007795397</v>
      </c>
      <c r="R255" s="13">
        <v>-1.3191612359342439</v>
      </c>
      <c r="S255" s="13">
        <v>-0.28895248604145923</v>
      </c>
      <c r="T255" s="13">
        <v>-0.82414005362925435</v>
      </c>
      <c r="U255" s="13">
        <v>-0.60465779950823439</v>
      </c>
      <c r="V255" s="13">
        <v>-0.13427357049370947</v>
      </c>
      <c r="W255" s="13">
        <v>-0.29961097254977176</v>
      </c>
      <c r="X255" s="13">
        <v>0</v>
      </c>
      <c r="Y255" s="13">
        <v>0</v>
      </c>
      <c r="Z255" s="13">
        <v>0</v>
      </c>
      <c r="AA255" s="13">
        <v>0</v>
      </c>
      <c r="AB255" s="13">
        <v>0</v>
      </c>
      <c r="AC255" s="13">
        <v>0</v>
      </c>
    </row>
    <row r="256" spans="1:29" x14ac:dyDescent="0.25">
      <c r="A256" s="3">
        <v>1.2376625032189E+18</v>
      </c>
      <c r="B256" s="3">
        <v>236.37397000000001</v>
      </c>
      <c r="C256" s="3">
        <v>35.988281999999998</v>
      </c>
      <c r="D256" s="16">
        <v>0.33589970000000002</v>
      </c>
      <c r="E256" s="3">
        <v>2.2245699999999999</v>
      </c>
      <c r="F256" s="3">
        <v>4.1587500000000013</v>
      </c>
      <c r="G256" s="3">
        <v>4.7982300000000002</v>
      </c>
      <c r="H256" s="3">
        <v>5.1551699999999983</v>
      </c>
      <c r="I256" s="3">
        <v>1.9341800000000013</v>
      </c>
      <c r="J256" s="3">
        <v>2.5736600000000003</v>
      </c>
      <c r="K256" s="3">
        <v>2.9305999999999983</v>
      </c>
      <c r="L256" s="3">
        <v>0.63947999999999894</v>
      </c>
      <c r="M256" s="3">
        <v>0.99641999999999697</v>
      </c>
      <c r="N256" s="3">
        <v>0.35693999999999804</v>
      </c>
      <c r="Q256" s="13">
        <v>-0.66996976556398047</v>
      </c>
      <c r="R256" s="13">
        <v>-0.49408422373400396</v>
      </c>
      <c r="S256" s="13">
        <v>0.80909206233517594</v>
      </c>
      <c r="T256" s="13">
        <v>0.89609940942830923</v>
      </c>
      <c r="U256" s="13">
        <v>-0.9307914726557267</v>
      </c>
      <c r="V256" s="13">
        <v>-0.47146798893867109</v>
      </c>
      <c r="W256" s="13">
        <v>-0.28108454117199366</v>
      </c>
      <c r="X256" s="13">
        <v>0</v>
      </c>
      <c r="Y256" s="13">
        <v>0</v>
      </c>
      <c r="Z256" s="13">
        <v>0</v>
      </c>
      <c r="AA256" s="13">
        <v>0</v>
      </c>
      <c r="AB256" s="13">
        <v>0</v>
      </c>
      <c r="AC256" s="13">
        <v>0</v>
      </c>
    </row>
    <row r="257" spans="1:29" x14ac:dyDescent="0.25">
      <c r="A257" s="3">
        <v>1.23766146598607E+18</v>
      </c>
      <c r="B257" s="3">
        <v>235.76340999999999</v>
      </c>
      <c r="C257" s="3">
        <v>35.987408000000002</v>
      </c>
      <c r="D257" s="16">
        <v>0.34294599999999997</v>
      </c>
      <c r="E257" s="3">
        <v>4.5909699999999987</v>
      </c>
      <c r="F257" s="3">
        <v>6.3025999999999982</v>
      </c>
      <c r="G257" s="3">
        <v>6.9059099999999987</v>
      </c>
      <c r="H257" s="3">
        <v>7.3522099999999995</v>
      </c>
      <c r="I257" s="3">
        <v>1.7116299999999995</v>
      </c>
      <c r="J257" s="3">
        <v>2.31494</v>
      </c>
      <c r="K257" s="3">
        <v>2.7612400000000008</v>
      </c>
      <c r="L257" s="3">
        <v>0.60331000000000046</v>
      </c>
      <c r="M257" s="3">
        <v>1.0496100000000013</v>
      </c>
      <c r="N257" s="3">
        <v>0.44630000000000081</v>
      </c>
      <c r="Q257" s="13">
        <v>-1.1072114733955889</v>
      </c>
      <c r="R257" s="13">
        <v>-2.6103650617759011</v>
      </c>
      <c r="S257" s="13">
        <v>-1.9859352290499657</v>
      </c>
      <c r="T257" s="13">
        <v>-0.20541266871152075</v>
      </c>
      <c r="U257" s="13">
        <v>-0.29398726904315275</v>
      </c>
      <c r="V257" s="13">
        <v>-0.25321587516133853</v>
      </c>
      <c r="W257" s="13">
        <v>-0.27735635739764997</v>
      </c>
      <c r="X257" s="13">
        <v>0</v>
      </c>
      <c r="Y257" s="13">
        <v>0</v>
      </c>
      <c r="Z257" s="13">
        <v>0</v>
      </c>
      <c r="AA257" s="13">
        <v>0</v>
      </c>
      <c r="AB257" s="13">
        <v>0</v>
      </c>
      <c r="AC257" s="13">
        <v>0</v>
      </c>
    </row>
    <row r="258" spans="1:29" x14ac:dyDescent="0.25">
      <c r="A258" s="3">
        <v>1.23766247315439E+18</v>
      </c>
      <c r="B258" s="3">
        <v>236.75125</v>
      </c>
      <c r="C258" s="3">
        <v>35.593806999999998</v>
      </c>
      <c r="D258" s="16">
        <v>0.36033280000000001</v>
      </c>
      <c r="E258" s="3">
        <v>2.0010499999999993</v>
      </c>
      <c r="F258" s="3">
        <v>3.8098300000000016</v>
      </c>
      <c r="G258" s="3">
        <v>4.4193500000000014</v>
      </c>
      <c r="H258" s="3">
        <v>4.8191600000000001</v>
      </c>
      <c r="I258" s="3">
        <v>1.8087800000000023</v>
      </c>
      <c r="J258" s="3">
        <v>2.4183000000000021</v>
      </c>
      <c r="K258" s="3">
        <v>2.8181100000000008</v>
      </c>
      <c r="L258" s="3">
        <v>0.60951999999999984</v>
      </c>
      <c r="M258" s="3">
        <v>1.0093299999999985</v>
      </c>
      <c r="N258" s="3">
        <v>0.39980999999999867</v>
      </c>
      <c r="Q258" s="13">
        <v>-0.37635057144477069</v>
      </c>
      <c r="R258" s="13">
        <v>-1.1297052392012754</v>
      </c>
      <c r="S258" s="13">
        <v>-2.4278162162964443</v>
      </c>
      <c r="T258" s="13">
        <v>0.13346269142315773</v>
      </c>
      <c r="U258" s="13">
        <v>-0.40357842664398064</v>
      </c>
      <c r="V258" s="13">
        <v>-0.28648617529967874</v>
      </c>
      <c r="W258" s="13">
        <v>-0.25007464040610367</v>
      </c>
      <c r="X258" s="13">
        <v>0</v>
      </c>
      <c r="Y258" s="13">
        <v>0</v>
      </c>
      <c r="Z258" s="13">
        <v>0</v>
      </c>
      <c r="AA258" s="13">
        <v>0</v>
      </c>
      <c r="AB258" s="13">
        <v>0</v>
      </c>
      <c r="AC258" s="13">
        <v>0</v>
      </c>
    </row>
    <row r="259" spans="1:29" x14ac:dyDescent="0.25">
      <c r="A259" s="3">
        <v>1.23766146598607E+18</v>
      </c>
      <c r="B259" s="3">
        <v>235.68163999999999</v>
      </c>
      <c r="C259" s="3">
        <v>35.946770999999998</v>
      </c>
      <c r="D259" s="16">
        <v>0.363485</v>
      </c>
      <c r="E259" s="3">
        <v>3.5731900000000003</v>
      </c>
      <c r="F259" s="3">
        <v>5.2799499999999995</v>
      </c>
      <c r="G259" s="3">
        <v>5.8582199999999993</v>
      </c>
      <c r="H259" s="3">
        <v>6.1846099999999993</v>
      </c>
      <c r="I259" s="3">
        <v>1.7067599999999992</v>
      </c>
      <c r="J259" s="3">
        <v>2.285029999999999</v>
      </c>
      <c r="K259" s="3">
        <v>2.611419999999999</v>
      </c>
      <c r="L259" s="3">
        <v>0.57826999999999984</v>
      </c>
      <c r="M259" s="3">
        <v>0.9046599999999998</v>
      </c>
      <c r="N259" s="3">
        <v>0.32638999999999996</v>
      </c>
      <c r="Q259" s="13">
        <v>-1.2969606971417265</v>
      </c>
      <c r="R259" s="13">
        <v>-2.9015183872972057</v>
      </c>
      <c r="S259" s="13">
        <v>6.6136643196876649E-2</v>
      </c>
      <c r="T259" s="13">
        <v>-6.5787353141415664E-2</v>
      </c>
      <c r="U259" s="13">
        <v>-0.45760492448292289</v>
      </c>
      <c r="V259" s="13">
        <v>-0.123159705608316</v>
      </c>
      <c r="W259" s="13">
        <v>-0.26861690252952136</v>
      </c>
      <c r="X259" s="13">
        <v>0</v>
      </c>
      <c r="Y259" s="13">
        <v>0</v>
      </c>
      <c r="Z259" s="13">
        <v>0</v>
      </c>
      <c r="AA259" s="13">
        <v>0</v>
      </c>
      <c r="AB259" s="13">
        <v>0</v>
      </c>
      <c r="AC259" s="13">
        <v>0</v>
      </c>
    </row>
    <row r="260" spans="1:29" x14ac:dyDescent="0.25">
      <c r="A260" s="3">
        <v>1.23766146598607E+18</v>
      </c>
      <c r="B260" s="3">
        <v>235.79597000000001</v>
      </c>
      <c r="C260" s="3">
        <v>36.101492999999998</v>
      </c>
      <c r="D260" s="16">
        <v>0.3656392</v>
      </c>
      <c r="E260" s="3">
        <v>2.4451299999999989</v>
      </c>
      <c r="F260" s="3">
        <v>4.2081699999999991</v>
      </c>
      <c r="G260" s="3">
        <v>4.8421400000000006</v>
      </c>
      <c r="H260" s="3">
        <v>5.2629599999999996</v>
      </c>
      <c r="I260" s="3">
        <v>1.7630400000000002</v>
      </c>
      <c r="J260" s="3">
        <v>2.3970100000000016</v>
      </c>
      <c r="K260" s="3">
        <v>2.8178300000000007</v>
      </c>
      <c r="L260" s="3">
        <v>0.63397000000000148</v>
      </c>
      <c r="M260" s="3">
        <v>1.0547900000000006</v>
      </c>
      <c r="N260" s="3">
        <v>0.42081999999999908</v>
      </c>
      <c r="Q260" s="13">
        <v>-2.9754883123405924</v>
      </c>
      <c r="R260" s="13">
        <v>-5.6660990148797294</v>
      </c>
      <c r="S260" s="13">
        <v>0.26960883270189734</v>
      </c>
      <c r="T260" s="13">
        <v>0.28893197019458489</v>
      </c>
      <c r="U260" s="13">
        <v>-0.12298003602499545</v>
      </c>
      <c r="V260" s="13">
        <v>-7.6713579156169304E-2</v>
      </c>
      <c r="W260" s="13">
        <v>-0.12649018654230038</v>
      </c>
      <c r="X260" s="13">
        <v>0</v>
      </c>
      <c r="Y260" s="13">
        <v>0</v>
      </c>
      <c r="Z260" s="13">
        <v>0</v>
      </c>
      <c r="AA260" s="13">
        <v>0</v>
      </c>
      <c r="AB260" s="13">
        <v>0</v>
      </c>
      <c r="AC260" s="13">
        <v>0</v>
      </c>
    </row>
    <row r="261" spans="1:29" x14ac:dyDescent="0.25">
      <c r="A261" s="3">
        <v>1.23766146598607E+18</v>
      </c>
      <c r="B261" s="3">
        <v>235.80125000000001</v>
      </c>
      <c r="C261" s="3">
        <v>36.126528999999998</v>
      </c>
      <c r="D261" s="16">
        <v>0.36632550000000003</v>
      </c>
      <c r="E261" s="3">
        <v>2.1095599999999983</v>
      </c>
      <c r="F261" s="3">
        <v>3.3571399999999976</v>
      </c>
      <c r="G261" s="3">
        <v>4.0871199999999988</v>
      </c>
      <c r="H261" s="3">
        <v>4.4585399999999993</v>
      </c>
      <c r="I261" s="3">
        <v>1.2475799999999992</v>
      </c>
      <c r="J261" s="3">
        <v>1.9775600000000004</v>
      </c>
      <c r="K261" s="3">
        <v>2.348980000000001</v>
      </c>
      <c r="L261" s="3">
        <v>0.72998000000000118</v>
      </c>
      <c r="M261" s="3">
        <v>1.1014000000000017</v>
      </c>
      <c r="N261" s="3">
        <v>0.37142000000000053</v>
      </c>
      <c r="Q261" s="13">
        <v>-1.3564526834679087</v>
      </c>
      <c r="R261" s="13">
        <v>-2.6521425379354167</v>
      </c>
      <c r="S261" s="13">
        <v>-1.862173672092472</v>
      </c>
      <c r="T261" s="13">
        <v>0.18662563900888779</v>
      </c>
      <c r="U261" s="13">
        <v>-0.46030593098209838</v>
      </c>
      <c r="V261" s="13">
        <v>-3.010614360407746E-2</v>
      </c>
      <c r="W261" s="13">
        <v>-4.3691360373775079E-2</v>
      </c>
      <c r="X261" s="13">
        <v>0</v>
      </c>
      <c r="Y261" s="13">
        <v>0</v>
      </c>
      <c r="Z261" s="13">
        <v>0</v>
      </c>
      <c r="AA261" s="13">
        <v>0</v>
      </c>
      <c r="AB261" s="13">
        <v>0</v>
      </c>
      <c r="AC261" s="13">
        <v>0</v>
      </c>
    </row>
    <row r="262" spans="1:29" x14ac:dyDescent="0.25">
      <c r="A262" s="3">
        <v>1.23766250375584E+18</v>
      </c>
      <c r="B262" s="3">
        <v>236.69497000000001</v>
      </c>
      <c r="C262" s="3">
        <v>36.273215</v>
      </c>
      <c r="D262" s="16">
        <v>0.3701702</v>
      </c>
      <c r="E262" s="3">
        <v>3.4089999999999989</v>
      </c>
      <c r="F262" s="3">
        <v>5.3898399999999995</v>
      </c>
      <c r="G262" s="3">
        <v>5.9414400000000001</v>
      </c>
      <c r="H262" s="3">
        <v>6.3510999999999989</v>
      </c>
      <c r="I262" s="3">
        <v>1.9808400000000006</v>
      </c>
      <c r="J262" s="3">
        <v>2.5324400000000011</v>
      </c>
      <c r="K262" s="3">
        <v>2.9420999999999999</v>
      </c>
      <c r="L262" s="3">
        <v>0.55160000000000053</v>
      </c>
      <c r="M262" s="3">
        <v>0.96125999999999934</v>
      </c>
      <c r="N262" s="3">
        <v>0.4096599999999988</v>
      </c>
      <c r="Q262" s="13">
        <v>-0.11165805334798801</v>
      </c>
      <c r="R262" s="13">
        <v>-0.61707021280406371</v>
      </c>
      <c r="S262" s="13">
        <v>-1.2629581435894748</v>
      </c>
      <c r="T262" s="13">
        <v>0.48710837302634119</v>
      </c>
      <c r="U262" s="13">
        <v>-0.81422532269205217</v>
      </c>
      <c r="V262" s="13">
        <v>-2.1814682840944115E-2</v>
      </c>
      <c r="W262" s="13">
        <v>-0.15540392455634008</v>
      </c>
      <c r="X262" s="13">
        <v>0</v>
      </c>
      <c r="Y262" s="13">
        <v>0</v>
      </c>
      <c r="Z262" s="13">
        <v>0</v>
      </c>
      <c r="AA262" s="13">
        <v>0</v>
      </c>
      <c r="AB262" s="13">
        <v>0</v>
      </c>
      <c r="AC262" s="13">
        <v>0</v>
      </c>
    </row>
    <row r="263" spans="1:29" x14ac:dyDescent="0.25">
      <c r="A263" s="3">
        <v>1.2376624736906701E+18</v>
      </c>
      <c r="B263" s="3">
        <v>235.74728999999999</v>
      </c>
      <c r="C263" s="3">
        <v>36.616</v>
      </c>
      <c r="D263" s="16">
        <v>0.3710869</v>
      </c>
      <c r="E263" s="3">
        <v>0.91483000000000203</v>
      </c>
      <c r="F263" s="3">
        <v>2.7612100000000019</v>
      </c>
      <c r="G263" s="3">
        <v>3.39574</v>
      </c>
      <c r="H263" s="3">
        <v>3.7995000000000019</v>
      </c>
      <c r="I263" s="3">
        <v>1.8463799999999999</v>
      </c>
      <c r="J263" s="3">
        <v>2.480909999999998</v>
      </c>
      <c r="K263" s="3">
        <v>2.8846699999999998</v>
      </c>
      <c r="L263" s="3">
        <v>0.63452999999999804</v>
      </c>
      <c r="M263" s="3">
        <v>1.0382899999999999</v>
      </c>
      <c r="N263" s="3">
        <v>0.4037600000000019</v>
      </c>
      <c r="Q263" s="13">
        <v>-1.3565729876147263</v>
      </c>
      <c r="R263" s="13">
        <v>-2.6520724829612936</v>
      </c>
      <c r="S263" s="13">
        <v>-1.862181663012856</v>
      </c>
      <c r="T263" s="13">
        <v>0.18663130542533535</v>
      </c>
      <c r="U263" s="13">
        <v>-0.46024591316511437</v>
      </c>
      <c r="V263" s="13">
        <v>-2.9899028326060229E-2</v>
      </c>
      <c r="W263" s="13">
        <v>-4.3958974593699726E-2</v>
      </c>
      <c r="X263" s="13">
        <v>0</v>
      </c>
      <c r="Y263" s="13">
        <v>0</v>
      </c>
      <c r="Z263" s="13">
        <v>0</v>
      </c>
      <c r="AA263" s="13">
        <v>0</v>
      </c>
      <c r="AB263" s="13">
        <v>0</v>
      </c>
      <c r="AC263" s="13">
        <v>0</v>
      </c>
    </row>
    <row r="264" spans="1:29" x14ac:dyDescent="0.25">
      <c r="A264" s="3">
        <v>1.2376624736906701E+18</v>
      </c>
      <c r="B264" s="3">
        <v>235.74728999999999</v>
      </c>
      <c r="C264" s="3">
        <v>36.616</v>
      </c>
      <c r="D264" s="16">
        <v>0.37119350000000001</v>
      </c>
      <c r="E264" s="3">
        <v>0.91483000000000203</v>
      </c>
      <c r="F264" s="3">
        <v>2.7612100000000019</v>
      </c>
      <c r="G264" s="3">
        <v>3.39574</v>
      </c>
      <c r="H264" s="3">
        <v>3.7995000000000019</v>
      </c>
      <c r="I264" s="3">
        <v>1.8463799999999999</v>
      </c>
      <c r="J264" s="3">
        <v>2.480909999999998</v>
      </c>
      <c r="K264" s="3">
        <v>2.8846699999999998</v>
      </c>
      <c r="L264" s="3">
        <v>0.63452999999999804</v>
      </c>
      <c r="M264" s="3">
        <v>1.0382899999999999</v>
      </c>
      <c r="N264" s="3">
        <v>0.4037600000000019</v>
      </c>
      <c r="Q264" s="13">
        <v>0.36707912963010869</v>
      </c>
      <c r="R264" s="13">
        <v>-2.6240463793172665E-2</v>
      </c>
      <c r="S264" s="13">
        <v>-1.0649715005655582</v>
      </c>
      <c r="T264" s="13">
        <v>-0.44049457578740897</v>
      </c>
      <c r="U264" s="13">
        <v>-0.93172284838053687</v>
      </c>
      <c r="V264" s="13">
        <v>8.1372126380992199E-2</v>
      </c>
      <c r="W264" s="13">
        <v>-0.19013923899120719</v>
      </c>
      <c r="X264" s="13">
        <v>0</v>
      </c>
      <c r="Y264" s="13">
        <v>0</v>
      </c>
      <c r="Z264" s="13">
        <v>0</v>
      </c>
      <c r="AA264" s="13">
        <v>0</v>
      </c>
      <c r="AB264" s="13">
        <v>0</v>
      </c>
      <c r="AC264" s="13">
        <v>0</v>
      </c>
    </row>
    <row r="265" spans="1:29" x14ac:dyDescent="0.25">
      <c r="A265" s="3">
        <v>1.2376625032188401E+18</v>
      </c>
      <c r="B265" s="3">
        <v>236.14241000000001</v>
      </c>
      <c r="C265" s="3">
        <v>36.196641999999997</v>
      </c>
      <c r="D265" s="16">
        <v>0.37121100000000001</v>
      </c>
      <c r="E265" s="3">
        <v>2.4653700000000001</v>
      </c>
      <c r="F265" s="3">
        <v>4.2705500000000001</v>
      </c>
      <c r="G265" s="3">
        <v>4.8856999999999999</v>
      </c>
      <c r="H265" s="3">
        <v>5.307269999999999</v>
      </c>
      <c r="I265" s="3">
        <v>1.80518</v>
      </c>
      <c r="J265" s="3">
        <v>2.4203299999999999</v>
      </c>
      <c r="K265" s="3">
        <v>2.841899999999999</v>
      </c>
      <c r="L265" s="3">
        <v>0.61514999999999986</v>
      </c>
      <c r="M265" s="3">
        <v>1.036719999999999</v>
      </c>
      <c r="N265" s="3">
        <v>0.42156999999999911</v>
      </c>
      <c r="Q265" s="13">
        <v>0.3492124306036456</v>
      </c>
      <c r="R265" s="13">
        <v>0.58516483054954516</v>
      </c>
      <c r="S265" s="13">
        <v>-1.9856995031151767</v>
      </c>
      <c r="T265" s="13">
        <v>-0.51652820165701607</v>
      </c>
      <c r="U265" s="13">
        <v>-0.60395960042542329</v>
      </c>
      <c r="V265" s="13">
        <v>-0.38742407405379015</v>
      </c>
      <c r="W265" s="13">
        <v>-0.289096061200802</v>
      </c>
      <c r="X265" s="13">
        <v>0</v>
      </c>
      <c r="Y265" s="13">
        <v>0</v>
      </c>
      <c r="Z265" s="13">
        <v>0</v>
      </c>
      <c r="AA265" s="13">
        <v>0</v>
      </c>
      <c r="AB265" s="13">
        <v>0</v>
      </c>
      <c r="AC265" s="13">
        <v>0</v>
      </c>
    </row>
    <row r="266" spans="1:29" x14ac:dyDescent="0.25">
      <c r="A266" s="3">
        <v>1.2376614659863301E+18</v>
      </c>
      <c r="B266" s="3">
        <v>236.45468</v>
      </c>
      <c r="C266" s="3">
        <v>35.680591999999997</v>
      </c>
      <c r="D266" s="16">
        <v>0.38168560000000001</v>
      </c>
      <c r="E266" s="3">
        <v>2.3205899999999993</v>
      </c>
      <c r="F266" s="3">
        <v>3.97485</v>
      </c>
      <c r="G266" s="3">
        <v>4.64649</v>
      </c>
      <c r="H266" s="3">
        <v>4.9880199999999988</v>
      </c>
      <c r="I266" s="3">
        <v>1.6542600000000007</v>
      </c>
      <c r="J266" s="3">
        <v>2.3259000000000007</v>
      </c>
      <c r="K266" s="3">
        <v>2.6674299999999995</v>
      </c>
      <c r="L266" s="3">
        <v>0.67164000000000001</v>
      </c>
      <c r="M266" s="3">
        <v>1.0131699999999988</v>
      </c>
      <c r="N266" s="3">
        <v>0.34152999999999878</v>
      </c>
      <c r="Q266" s="13">
        <v>-0.90978655806213615</v>
      </c>
      <c r="R266" s="13">
        <v>-1.6194067722019545</v>
      </c>
      <c r="S266" s="13">
        <v>-0.93556225607287424</v>
      </c>
      <c r="T266" s="13">
        <v>-0.60239736560482793</v>
      </c>
      <c r="U266" s="13">
        <v>-0.8108162899722392</v>
      </c>
      <c r="V266" s="13">
        <v>-5.2625432230504914E-2</v>
      </c>
      <c r="W266" s="13">
        <v>-0.12275055403016885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</row>
    <row r="267" spans="1:29" x14ac:dyDescent="0.25">
      <c r="A267" s="3">
        <v>1.23766233786371E+18</v>
      </c>
      <c r="B267" s="3">
        <v>236.17215999999999</v>
      </c>
      <c r="C267" s="3">
        <v>35.598390999999999</v>
      </c>
      <c r="D267" s="16">
        <v>0.3828143</v>
      </c>
      <c r="E267" s="3">
        <v>2.7113700000000023</v>
      </c>
      <c r="F267" s="3">
        <v>4.4756600000000013</v>
      </c>
      <c r="G267" s="3">
        <v>5.1251400000000018</v>
      </c>
      <c r="H267" s="3">
        <v>5.5541499999999999</v>
      </c>
      <c r="I267" s="3">
        <v>1.764289999999999</v>
      </c>
      <c r="J267" s="3">
        <v>2.4137699999999995</v>
      </c>
      <c r="K267" s="3">
        <v>2.8427799999999976</v>
      </c>
      <c r="L267" s="3">
        <v>0.6494800000000005</v>
      </c>
      <c r="M267" s="3">
        <v>1.0784899999999986</v>
      </c>
      <c r="N267" s="3">
        <v>0.42900999999999812</v>
      </c>
      <c r="Q267" s="13">
        <v>-0.90983462885230193</v>
      </c>
      <c r="R267" s="13">
        <v>-1.6193787798338586</v>
      </c>
      <c r="S267" s="13">
        <v>-0.93556544906220274</v>
      </c>
      <c r="T267" s="13">
        <v>-0.60239510143419728</v>
      </c>
      <c r="U267" s="13">
        <v>-0.81079230822295756</v>
      </c>
      <c r="V267" s="13">
        <v>-5.2542673694468064E-2</v>
      </c>
      <c r="W267" s="13">
        <v>-0.12285748656202067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</row>
    <row r="268" spans="1:29" x14ac:dyDescent="0.25">
      <c r="A268" s="3">
        <v>1.23766247422781E+18</v>
      </c>
      <c r="B268" s="3">
        <v>236.58484999999999</v>
      </c>
      <c r="C268" s="3">
        <v>36.554713</v>
      </c>
      <c r="D268" s="16">
        <v>0.40805190000000002</v>
      </c>
      <c r="E268" s="3">
        <v>4.879529999999999</v>
      </c>
      <c r="F268" s="3">
        <v>6.57883</v>
      </c>
      <c r="G268" s="3">
        <v>7.2083300000000001</v>
      </c>
      <c r="H268" s="3">
        <v>7.5798699999999997</v>
      </c>
      <c r="I268" s="3">
        <v>1.6993000000000009</v>
      </c>
      <c r="J268" s="3">
        <v>2.3288000000000011</v>
      </c>
      <c r="K268" s="3">
        <v>2.7003400000000006</v>
      </c>
      <c r="L268" s="3">
        <v>0.62950000000000017</v>
      </c>
      <c r="M268" s="3">
        <v>1.0010399999999997</v>
      </c>
      <c r="N268" s="3">
        <v>0.37153999999999954</v>
      </c>
      <c r="Q268" s="13">
        <v>-0.78688843134537945</v>
      </c>
      <c r="R268" s="13">
        <v>-0.43283627105793815</v>
      </c>
      <c r="S268" s="13">
        <v>-1.977128613995492</v>
      </c>
      <c r="T268" s="13">
        <v>1.6334081303694247E-2</v>
      </c>
      <c r="U268" s="13">
        <v>-0.88756757048093693</v>
      </c>
      <c r="V268" s="13">
        <v>-0.39424346757860557</v>
      </c>
      <c r="W268" s="13">
        <v>-0.10709469692868386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</row>
    <row r="269" spans="1:29" x14ac:dyDescent="0.25">
      <c r="A269" s="3">
        <v>1.2376614659861299E+18</v>
      </c>
      <c r="B269" s="3">
        <v>236.04415</v>
      </c>
      <c r="C269" s="3">
        <v>35.959890999999999</v>
      </c>
      <c r="D269" s="16">
        <v>0.4091612</v>
      </c>
      <c r="E269" s="3">
        <v>4.7844300000000004</v>
      </c>
      <c r="F269" s="3">
        <v>6.5961199999999991</v>
      </c>
      <c r="G269" s="3">
        <v>7.2815599999999989</v>
      </c>
      <c r="H269" s="3">
        <v>7.6907499999999978</v>
      </c>
      <c r="I269" s="3">
        <v>1.8116899999999987</v>
      </c>
      <c r="J269" s="3">
        <v>2.4971299999999985</v>
      </c>
      <c r="K269" s="3">
        <v>2.9063199999999973</v>
      </c>
      <c r="L269" s="3">
        <v>0.68543999999999983</v>
      </c>
      <c r="M269" s="3">
        <v>1.0946299999999987</v>
      </c>
      <c r="N269" s="3">
        <v>0.40918999999999883</v>
      </c>
      <c r="Q269" s="13">
        <v>-0.5823630701332414</v>
      </c>
      <c r="R269" s="13">
        <v>-0.67403173101351455</v>
      </c>
      <c r="S269" s="13">
        <v>-0.36321188070028892</v>
      </c>
      <c r="T269" s="13">
        <v>-1.6413249000615877</v>
      </c>
      <c r="U269" s="13">
        <v>-0.82463609594758447</v>
      </c>
      <c r="V269" s="13">
        <v>-0.12972925371874727</v>
      </c>
      <c r="W269" s="13">
        <v>-0.13530128952777609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</row>
    <row r="270" spans="1:29" x14ac:dyDescent="0.25">
      <c r="A270" s="3">
        <v>1.23766146598627E+18</v>
      </c>
      <c r="B270" s="3">
        <v>236.26492999999999</v>
      </c>
      <c r="C270" s="3">
        <v>35.732382000000001</v>
      </c>
      <c r="D270" s="16">
        <v>0.41451919999999998</v>
      </c>
      <c r="E270" s="3">
        <v>1.4612400000000001</v>
      </c>
      <c r="F270" s="3">
        <v>3.2112400000000001</v>
      </c>
      <c r="G270" s="3">
        <v>3.8986399999999968</v>
      </c>
      <c r="H270" s="3">
        <v>4.2899899999999995</v>
      </c>
      <c r="I270" s="3">
        <v>1.75</v>
      </c>
      <c r="J270" s="3">
        <v>2.4373999999999967</v>
      </c>
      <c r="K270" s="3">
        <v>2.8287499999999994</v>
      </c>
      <c r="L270" s="3">
        <v>0.68739999999999668</v>
      </c>
      <c r="M270" s="3">
        <v>1.0787499999999994</v>
      </c>
      <c r="N270" s="3">
        <v>0.39135000000000275</v>
      </c>
      <c r="Q270" s="13">
        <v>-0.99524846464533745</v>
      </c>
      <c r="R270" s="13">
        <v>-1.1957784337011552</v>
      </c>
      <c r="S270" s="13">
        <v>0.30619629654468378</v>
      </c>
      <c r="T270" s="13">
        <v>-0.39364822861689341</v>
      </c>
      <c r="U270" s="13">
        <v>-1.0835923119570365</v>
      </c>
      <c r="V270" s="13">
        <v>-0.27180285040391877</v>
      </c>
      <c r="W270" s="13">
        <v>-0.27918912645901345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</row>
    <row r="271" spans="1:29" x14ac:dyDescent="0.25">
      <c r="A271" s="3">
        <v>1.23766146598627E+18</v>
      </c>
      <c r="B271" s="3">
        <v>236.26492999999999</v>
      </c>
      <c r="C271" s="3">
        <v>35.732382000000001</v>
      </c>
      <c r="D271" s="16">
        <v>0.41459449999999998</v>
      </c>
      <c r="E271" s="3">
        <v>1.4612400000000001</v>
      </c>
      <c r="F271" s="3">
        <v>3.2112400000000001</v>
      </c>
      <c r="G271" s="3">
        <v>3.8986399999999968</v>
      </c>
      <c r="H271" s="3">
        <v>4.2899899999999995</v>
      </c>
      <c r="I271" s="3">
        <v>1.75</v>
      </c>
      <c r="J271" s="3">
        <v>2.4373999999999967</v>
      </c>
      <c r="K271" s="3">
        <v>2.8287499999999994</v>
      </c>
      <c r="L271" s="3">
        <v>0.68739999999999668</v>
      </c>
      <c r="M271" s="3">
        <v>1.0787499999999994</v>
      </c>
      <c r="N271" s="3">
        <v>0.39135000000000275</v>
      </c>
      <c r="Q271" s="13">
        <v>-0.32931591447536945</v>
      </c>
      <c r="R271" s="13">
        <v>-0.30659593603504304</v>
      </c>
      <c r="S271" s="13">
        <v>-1.1010745912494317</v>
      </c>
      <c r="T271" s="13">
        <v>1.3582626126266062</v>
      </c>
      <c r="U271" s="13">
        <v>-0.89258161556089577</v>
      </c>
      <c r="V271" s="13">
        <v>-0.25301557120849633</v>
      </c>
      <c r="W271" s="13">
        <v>-0.20933892747438754</v>
      </c>
      <c r="X271" s="13">
        <v>0</v>
      </c>
      <c r="Y271" s="13">
        <v>0</v>
      </c>
      <c r="Z271" s="13">
        <v>0</v>
      </c>
      <c r="AA271" s="13">
        <v>0</v>
      </c>
      <c r="AB271" s="13">
        <v>0</v>
      </c>
      <c r="AC271" s="13">
        <v>0</v>
      </c>
    </row>
    <row r="272" spans="1:29" x14ac:dyDescent="0.25">
      <c r="A272" s="3">
        <v>1.2376614654493299E+18</v>
      </c>
      <c r="B272" s="3">
        <v>235.78387000000001</v>
      </c>
      <c r="C272" s="3">
        <v>35.609974000000001</v>
      </c>
      <c r="D272" s="16">
        <v>0.42717250000000001</v>
      </c>
      <c r="E272" s="3">
        <v>2.5945500000000017</v>
      </c>
      <c r="F272" s="3">
        <v>4.3041200000000011</v>
      </c>
      <c r="G272" s="3">
        <v>5.0770100000000014</v>
      </c>
      <c r="H272" s="3">
        <v>5.51905</v>
      </c>
      <c r="I272" s="3">
        <v>1.7095699999999994</v>
      </c>
      <c r="J272" s="3">
        <v>2.4824599999999997</v>
      </c>
      <c r="K272" s="3">
        <v>2.9244999999999983</v>
      </c>
      <c r="L272" s="3">
        <v>0.7728900000000003</v>
      </c>
      <c r="M272" s="3">
        <v>1.214929999999999</v>
      </c>
      <c r="N272" s="3">
        <v>0.44203999999999866</v>
      </c>
      <c r="Q272" s="13">
        <v>-0.39825707883159989</v>
      </c>
      <c r="R272" s="13">
        <v>-0.41462268499879507</v>
      </c>
      <c r="S272" s="13">
        <v>0.2797042357661863</v>
      </c>
      <c r="T272" s="13">
        <v>-0.40912630302971043</v>
      </c>
      <c r="U272" s="13">
        <v>-0.86732037648416416</v>
      </c>
      <c r="V272" s="13">
        <v>-0.23329078424056701</v>
      </c>
      <c r="W272" s="13">
        <v>-0.26987049639478711</v>
      </c>
      <c r="X272" s="13">
        <v>0</v>
      </c>
      <c r="Y272" s="13">
        <v>0</v>
      </c>
      <c r="Z272" s="13">
        <v>0</v>
      </c>
      <c r="AA272" s="13">
        <v>0</v>
      </c>
      <c r="AB272" s="13">
        <v>0</v>
      </c>
      <c r="AC272" s="13">
        <v>0</v>
      </c>
    </row>
    <row r="273" spans="1:29" x14ac:dyDescent="0.25">
      <c r="A273" s="3">
        <v>1.2376623378635799E+18</v>
      </c>
      <c r="B273" s="3">
        <v>235.85176000000001</v>
      </c>
      <c r="C273" s="3">
        <v>35.664484999999999</v>
      </c>
      <c r="D273" s="16">
        <v>0.42906169999999999</v>
      </c>
      <c r="E273" s="3">
        <v>2.7760699999999972</v>
      </c>
      <c r="F273" s="3">
        <v>4.5939199999999971</v>
      </c>
      <c r="G273" s="3">
        <v>5.300849999999997</v>
      </c>
      <c r="H273" s="3">
        <v>5.7213399999999979</v>
      </c>
      <c r="I273" s="3">
        <v>1.81785</v>
      </c>
      <c r="J273" s="3">
        <v>2.5247799999999998</v>
      </c>
      <c r="K273" s="3">
        <v>2.9452700000000007</v>
      </c>
      <c r="L273" s="3">
        <v>0.70692999999999984</v>
      </c>
      <c r="M273" s="3">
        <v>1.1274200000000008</v>
      </c>
      <c r="N273" s="3">
        <v>0.42049000000000092</v>
      </c>
      <c r="Q273" s="13">
        <v>-0.39835500081156661</v>
      </c>
      <c r="R273" s="13">
        <v>-0.41456566350822971</v>
      </c>
      <c r="S273" s="13">
        <v>0.27969773152866501</v>
      </c>
      <c r="T273" s="13">
        <v>-0.40912169083027666</v>
      </c>
      <c r="U273" s="13">
        <v>-0.867271524772666</v>
      </c>
      <c r="V273" s="13">
        <v>-0.2331222020375297</v>
      </c>
      <c r="W273" s="13">
        <v>-0.27008832192263271</v>
      </c>
      <c r="X273" s="13">
        <v>0</v>
      </c>
      <c r="Y273" s="13">
        <v>0</v>
      </c>
      <c r="Z273" s="13">
        <v>0</v>
      </c>
      <c r="AA273" s="13">
        <v>0</v>
      </c>
      <c r="AB273" s="13">
        <v>0</v>
      </c>
      <c r="AC273" s="13">
        <v>0</v>
      </c>
    </row>
    <row r="274" spans="1:29" x14ac:dyDescent="0.25">
      <c r="A274" s="3">
        <v>1.2376614659862001E+18</v>
      </c>
      <c r="B274" s="3">
        <v>236.07709</v>
      </c>
      <c r="C274" s="3">
        <v>35.854717999999998</v>
      </c>
      <c r="D274" s="16">
        <v>0.42921300000000001</v>
      </c>
      <c r="E274" s="3">
        <v>1.6373999999999995</v>
      </c>
      <c r="F274" s="3">
        <v>3.3500700000000023</v>
      </c>
      <c r="G274" s="3">
        <v>4.0759700000000016</v>
      </c>
      <c r="H274" s="3">
        <v>4.5432800000000029</v>
      </c>
      <c r="I274" s="3">
        <v>1.7126700000000028</v>
      </c>
      <c r="J274" s="3">
        <v>2.4385700000000021</v>
      </c>
      <c r="K274" s="3">
        <v>2.9058800000000033</v>
      </c>
      <c r="L274" s="3">
        <v>0.72589999999999932</v>
      </c>
      <c r="M274" s="3">
        <v>1.1932100000000005</v>
      </c>
      <c r="N274" s="3">
        <v>0.46731000000000122</v>
      </c>
      <c r="Q274" s="13">
        <v>-1.6923277233663985</v>
      </c>
      <c r="R274" s="13">
        <v>-1.8187965463311473</v>
      </c>
      <c r="S274" s="13">
        <v>0.78540607561017994</v>
      </c>
      <c r="T274" s="13">
        <v>-0.26913742346090469</v>
      </c>
      <c r="U274" s="13">
        <v>-0.80481109537096895</v>
      </c>
      <c r="V274" s="13">
        <v>-0.47660260546448974</v>
      </c>
      <c r="W274" s="13">
        <v>-0.24651559853433633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</row>
    <row r="275" spans="1:29" x14ac:dyDescent="0.25">
      <c r="A275" s="3">
        <v>1.2376614659861299E+18</v>
      </c>
      <c r="B275" s="3">
        <v>235.90709000000001</v>
      </c>
      <c r="C275" s="3">
        <v>36.014389999999999</v>
      </c>
      <c r="D275" s="16">
        <v>0.4303167</v>
      </c>
      <c r="E275" s="3">
        <v>1.1731899999999982</v>
      </c>
      <c r="F275" s="3">
        <v>2.3807699999999983</v>
      </c>
      <c r="G275" s="3">
        <v>2.8631999999999991</v>
      </c>
      <c r="H275" s="3">
        <v>3.3049900000000001</v>
      </c>
      <c r="I275" s="3">
        <v>1.2075800000000001</v>
      </c>
      <c r="J275" s="3">
        <v>1.6900100000000009</v>
      </c>
      <c r="K275" s="3">
        <v>2.1318000000000019</v>
      </c>
      <c r="L275" s="3">
        <v>0.4824300000000008</v>
      </c>
      <c r="M275" s="3">
        <v>0.92422000000000182</v>
      </c>
      <c r="N275" s="3">
        <v>0.44179000000000102</v>
      </c>
      <c r="Q275" s="13">
        <v>-6.5984840417249488E-2</v>
      </c>
      <c r="R275" s="13">
        <v>-1.0192010596251676E-2</v>
      </c>
      <c r="S275" s="13">
        <v>0.36108989429356653</v>
      </c>
      <c r="T275" s="13">
        <v>-1.0985440611255504</v>
      </c>
      <c r="U275" s="13">
        <v>-1.0553405814419021</v>
      </c>
      <c r="V275" s="13">
        <v>-6.4172538694028305E-3</v>
      </c>
      <c r="W275" s="13">
        <v>-0.20498860355910253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</row>
    <row r="276" spans="1:29" x14ac:dyDescent="0.25">
      <c r="A276" s="3">
        <v>1.2376623378635799E+18</v>
      </c>
      <c r="B276" s="3">
        <v>235.80287999999999</v>
      </c>
      <c r="C276" s="3">
        <v>35.648170999999998</v>
      </c>
      <c r="D276" s="16">
        <v>0.4320888</v>
      </c>
      <c r="E276" s="3">
        <v>2.3400199999999991</v>
      </c>
      <c r="F276" s="3">
        <v>4.1237400000000015</v>
      </c>
      <c r="G276" s="3">
        <v>4.973510000000001</v>
      </c>
      <c r="H276" s="3">
        <v>5.2908800000000014</v>
      </c>
      <c r="I276" s="3">
        <v>1.7837200000000024</v>
      </c>
      <c r="J276" s="3">
        <v>2.6334900000000019</v>
      </c>
      <c r="K276" s="3">
        <v>2.9508600000000023</v>
      </c>
      <c r="L276" s="3">
        <v>0.84976999999999947</v>
      </c>
      <c r="M276" s="3">
        <v>1.1671399999999998</v>
      </c>
      <c r="N276" s="3">
        <v>0.31737000000000037</v>
      </c>
      <c r="Q276" s="13">
        <v>-6.5985221931457325E-2</v>
      </c>
      <c r="R276" s="13">
        <v>-1.0191788434599886E-2</v>
      </c>
      <c r="S276" s="13">
        <v>0.36108986895238132</v>
      </c>
      <c r="T276" s="13">
        <v>-1.0985440431559432</v>
      </c>
      <c r="U276" s="13">
        <v>-1.0553403911105583</v>
      </c>
      <c r="V276" s="13">
        <v>-6.4165970556248689E-3</v>
      </c>
      <c r="W276" s="13">
        <v>-0.20498945222999024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</row>
    <row r="277" spans="1:29" x14ac:dyDescent="0.25">
      <c r="A277" s="3">
        <v>1.2376614659862001E+18</v>
      </c>
      <c r="B277" s="3">
        <v>236.13230999999999</v>
      </c>
      <c r="C277" s="3">
        <v>35.823276</v>
      </c>
      <c r="D277" s="16">
        <v>0.43414989999999998</v>
      </c>
      <c r="E277" s="3">
        <v>1.5897800000000011</v>
      </c>
      <c r="F277" s="3">
        <v>3.2658500000000004</v>
      </c>
      <c r="G277" s="3">
        <v>3.9835199999999986</v>
      </c>
      <c r="H277" s="3">
        <v>4.4353699999999989</v>
      </c>
      <c r="I277" s="3">
        <v>1.6760699999999993</v>
      </c>
      <c r="J277" s="3">
        <v>2.3937399999999975</v>
      </c>
      <c r="K277" s="3">
        <v>2.8455899999999978</v>
      </c>
      <c r="L277" s="3">
        <v>0.71766999999999825</v>
      </c>
      <c r="M277" s="3">
        <v>1.1695199999999986</v>
      </c>
      <c r="N277" s="3">
        <v>0.45185000000000031</v>
      </c>
      <c r="Q277" s="13">
        <v>-1.177679339654409</v>
      </c>
      <c r="R277" s="13">
        <v>-1.2267430357322333</v>
      </c>
      <c r="S277" s="13">
        <v>-0.19466093031861467</v>
      </c>
      <c r="T277" s="13">
        <v>-0.35919083889602138</v>
      </c>
      <c r="U277" s="13">
        <v>-1.2215404685778974</v>
      </c>
      <c r="V277" s="13">
        <v>-0.18473188889175041</v>
      </c>
      <c r="W277" s="13">
        <v>-0.16779541375489881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</row>
    <row r="278" spans="1:29" x14ac:dyDescent="0.25">
      <c r="A278" s="3">
        <v>1.2376614659862001E+18</v>
      </c>
      <c r="B278" s="3">
        <v>236.13230999999999</v>
      </c>
      <c r="C278" s="3">
        <v>35.823276</v>
      </c>
      <c r="D278" s="16">
        <v>0.4342068</v>
      </c>
      <c r="E278" s="3">
        <v>1.5897800000000011</v>
      </c>
      <c r="F278" s="3">
        <v>3.2658500000000004</v>
      </c>
      <c r="G278" s="3">
        <v>3.9835199999999986</v>
      </c>
      <c r="H278" s="3">
        <v>4.4353699999999989</v>
      </c>
      <c r="I278" s="3">
        <v>1.6760699999999993</v>
      </c>
      <c r="J278" s="3">
        <v>2.3937399999999975</v>
      </c>
      <c r="K278" s="3">
        <v>2.8455899999999978</v>
      </c>
      <c r="L278" s="3">
        <v>0.71766999999999825</v>
      </c>
      <c r="M278" s="3">
        <v>1.1695199999999986</v>
      </c>
      <c r="N278" s="3">
        <v>0.45185000000000031</v>
      </c>
      <c r="Q278" s="13">
        <v>-2.3672165090629935</v>
      </c>
      <c r="R278" s="13">
        <v>-4.6558664879286793</v>
      </c>
      <c r="S278" s="13">
        <v>-1.2223214605973662</v>
      </c>
      <c r="T278" s="13">
        <v>1.2540424566325714</v>
      </c>
      <c r="U278" s="13">
        <v>0.21697709195226481</v>
      </c>
      <c r="V278" s="13">
        <v>-0.39028040914358364</v>
      </c>
      <c r="W278" s="13">
        <v>-0.34062588815846739</v>
      </c>
      <c r="X278" s="13">
        <v>0</v>
      </c>
      <c r="Y278" s="13">
        <v>0</v>
      </c>
      <c r="Z278" s="13">
        <v>0</v>
      </c>
      <c r="AA278" s="13">
        <v>0</v>
      </c>
      <c r="AB278" s="13">
        <v>0</v>
      </c>
      <c r="AC278" s="13">
        <v>0</v>
      </c>
    </row>
    <row r="279" spans="1:29" x14ac:dyDescent="0.25">
      <c r="A279" s="3">
        <v>1.2376625032186399E+18</v>
      </c>
      <c r="B279" s="3">
        <v>235.82968</v>
      </c>
      <c r="C279" s="3">
        <v>36.437640000000002</v>
      </c>
      <c r="D279" s="16">
        <v>0.43452550000000001</v>
      </c>
      <c r="E279" s="3">
        <v>4.9469399999999979</v>
      </c>
      <c r="F279" s="3">
        <v>6.8541999999999987</v>
      </c>
      <c r="G279" s="3">
        <v>7.6249299999999991</v>
      </c>
      <c r="H279" s="3">
        <v>8.0661899999999989</v>
      </c>
      <c r="I279" s="3">
        <v>1.9072600000000008</v>
      </c>
      <c r="J279" s="3">
        <v>2.6779900000000012</v>
      </c>
      <c r="K279" s="3">
        <v>3.119250000000001</v>
      </c>
      <c r="L279" s="3">
        <v>0.77073000000000036</v>
      </c>
      <c r="M279" s="3">
        <v>1.2119900000000001</v>
      </c>
      <c r="N279" s="3">
        <v>0.44125999999999976</v>
      </c>
      <c r="Q279" s="13">
        <v>-0.86611400008282513</v>
      </c>
      <c r="R279" s="13">
        <v>-0.86928912988472795</v>
      </c>
      <c r="S279" s="13">
        <v>-0.34560588177405216</v>
      </c>
      <c r="T279" s="13">
        <v>-2.2062640984424111</v>
      </c>
      <c r="U279" s="13">
        <v>-0.90130821494523028</v>
      </c>
      <c r="V279" s="13">
        <v>-0.24169920566749781</v>
      </c>
      <c r="W279" s="13">
        <v>-0.35395025377979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</row>
    <row r="280" spans="1:29" x14ac:dyDescent="0.25">
      <c r="A280" s="3">
        <v>1.2376623378635799E+18</v>
      </c>
      <c r="B280" s="3">
        <v>235.87531000000001</v>
      </c>
      <c r="C280" s="3">
        <v>35.724463999999998</v>
      </c>
      <c r="D280" s="16">
        <v>0.44769350000000002</v>
      </c>
      <c r="E280" s="3">
        <v>5.2291899999999991</v>
      </c>
      <c r="F280" s="3">
        <v>6.9578600000000002</v>
      </c>
      <c r="G280" s="3">
        <v>7.7301900000000003</v>
      </c>
      <c r="H280" s="3">
        <v>8.1302500000000002</v>
      </c>
      <c r="I280" s="3">
        <v>1.728670000000001</v>
      </c>
      <c r="J280" s="3">
        <v>2.5010000000000012</v>
      </c>
      <c r="K280" s="3">
        <v>2.9010600000000011</v>
      </c>
      <c r="L280" s="3">
        <v>0.77233000000000018</v>
      </c>
      <c r="M280" s="3">
        <v>1.17239</v>
      </c>
      <c r="N280" s="3">
        <v>0.40005999999999986</v>
      </c>
      <c r="Q280" s="13">
        <v>-1.2400465558872598</v>
      </c>
      <c r="R280" s="13">
        <v>-3.2244259949694394</v>
      </c>
      <c r="S280" s="13">
        <v>-1.5970489653039002</v>
      </c>
      <c r="T280" s="13">
        <v>1.2142223708046311</v>
      </c>
      <c r="U280" s="13">
        <v>-0.37006452081943914</v>
      </c>
      <c r="V280" s="13">
        <v>5.9527465993008122E-2</v>
      </c>
      <c r="W280" s="13">
        <v>-0.35743805205181106</v>
      </c>
      <c r="X280" s="13">
        <v>0</v>
      </c>
      <c r="Y280" s="13">
        <v>0</v>
      </c>
      <c r="Z280" s="13">
        <v>0</v>
      </c>
      <c r="AA280" s="13">
        <v>0</v>
      </c>
      <c r="AB280" s="13">
        <v>0</v>
      </c>
      <c r="AC280" s="13">
        <v>0</v>
      </c>
    </row>
    <row r="281" spans="1:29" x14ac:dyDescent="0.25">
      <c r="A281" s="3">
        <v>1.2376614659861299E+18</v>
      </c>
      <c r="B281" s="3">
        <v>235.91544999999999</v>
      </c>
      <c r="C281" s="3">
        <v>35.993147</v>
      </c>
      <c r="D281" s="16">
        <v>0.44975949999999998</v>
      </c>
      <c r="E281" s="3">
        <v>1.2729299999999988</v>
      </c>
      <c r="F281" s="3">
        <v>2.7098099999999974</v>
      </c>
      <c r="G281" s="3">
        <v>3.2682599999999979</v>
      </c>
      <c r="H281" s="3">
        <v>3.6395499999999998</v>
      </c>
      <c r="I281" s="3">
        <v>1.4368799999999986</v>
      </c>
      <c r="J281" s="3">
        <v>1.9953299999999992</v>
      </c>
      <c r="K281" s="3">
        <v>2.3666200000000011</v>
      </c>
      <c r="L281" s="3">
        <v>0.55845000000000056</v>
      </c>
      <c r="M281" s="3">
        <v>0.92974000000000245</v>
      </c>
      <c r="N281" s="3">
        <v>0.3712900000000019</v>
      </c>
      <c r="Q281" s="13">
        <v>-1.075220819479676</v>
      </c>
      <c r="R281" s="13">
        <v>-1.291714824235106</v>
      </c>
      <c r="S281" s="13">
        <v>-1.0503769466962729</v>
      </c>
      <c r="T281" s="13">
        <v>1.1980419031155569</v>
      </c>
      <c r="U281" s="13">
        <v>-0.50018064344905222</v>
      </c>
      <c r="V281" s="13">
        <v>-0.31478506479611501</v>
      </c>
      <c r="W281" s="13">
        <v>-0.27284478288700059</v>
      </c>
      <c r="X281" s="13">
        <v>0</v>
      </c>
      <c r="Y281" s="13">
        <v>0</v>
      </c>
      <c r="Z281" s="13">
        <v>0</v>
      </c>
      <c r="AA281" s="13">
        <v>0</v>
      </c>
      <c r="AB281" s="13">
        <v>0</v>
      </c>
      <c r="AC281" s="13">
        <v>0</v>
      </c>
    </row>
    <row r="282" spans="1:29" x14ac:dyDescent="0.25">
      <c r="A282" s="3">
        <v>1.23766247369087E+18</v>
      </c>
      <c r="B282" s="3">
        <v>236.18389999999999</v>
      </c>
      <c r="C282" s="3">
        <v>36.330131000000002</v>
      </c>
      <c r="D282" s="16">
        <v>0.45221420000000001</v>
      </c>
      <c r="E282" s="3">
        <v>-1.9610000000000127E-2</v>
      </c>
      <c r="F282" s="3">
        <v>1.8127099999999992</v>
      </c>
      <c r="G282" s="3">
        <v>2.6504300000000001</v>
      </c>
      <c r="H282" s="3">
        <v>3.2502700000000004</v>
      </c>
      <c r="I282" s="3">
        <v>1.8323199999999993</v>
      </c>
      <c r="J282" s="3">
        <v>2.6700400000000002</v>
      </c>
      <c r="K282" s="3">
        <v>3.2698800000000006</v>
      </c>
      <c r="L282" s="3">
        <v>0.83772000000000091</v>
      </c>
      <c r="M282" s="3">
        <v>1.4375600000000013</v>
      </c>
      <c r="N282" s="3">
        <v>0.59984000000000037</v>
      </c>
      <c r="Q282" s="13">
        <v>9.8907327905864942E-2</v>
      </c>
      <c r="R282" s="13">
        <v>-0.41197229133865054</v>
      </c>
      <c r="S282" s="13">
        <v>-0.8527343965349431</v>
      </c>
      <c r="T282" s="13">
        <v>1.15515778532771</v>
      </c>
      <c r="U282" s="13">
        <v>0.25493502236118926</v>
      </c>
      <c r="V282" s="13">
        <v>0.26141404113550598</v>
      </c>
      <c r="W282" s="13">
        <v>3.4378571417756937E-2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</row>
    <row r="283" spans="1:29" x14ac:dyDescent="0.25">
      <c r="A283" s="3">
        <v>1.2376625037558999E+18</v>
      </c>
      <c r="B283" s="3">
        <v>236.84650999999999</v>
      </c>
      <c r="C283" s="3">
        <v>36.171221000000003</v>
      </c>
      <c r="D283" s="16">
        <v>0.45268340000000001</v>
      </c>
      <c r="E283" s="3">
        <v>3.5034999999999989</v>
      </c>
      <c r="F283" s="3">
        <v>5.6902499999999989</v>
      </c>
      <c r="G283" s="3">
        <v>6.4008399999999988</v>
      </c>
      <c r="H283" s="3">
        <v>6.7363999999999997</v>
      </c>
      <c r="I283" s="3">
        <v>2.18675</v>
      </c>
      <c r="J283" s="3">
        <v>2.8973399999999998</v>
      </c>
      <c r="K283" s="3">
        <v>3.2329000000000008</v>
      </c>
      <c r="L283" s="3">
        <v>0.71058999999999983</v>
      </c>
      <c r="M283" s="3">
        <v>1.0461500000000008</v>
      </c>
      <c r="N283" s="3">
        <v>0.33556000000000097</v>
      </c>
      <c r="Q283" s="13">
        <v>-2.1039610901529855</v>
      </c>
      <c r="R283" s="13">
        <v>-3.002921042129965</v>
      </c>
      <c r="S283" s="13">
        <v>1.2915354145048965</v>
      </c>
      <c r="T283" s="13">
        <v>-0.21165383472961369</v>
      </c>
      <c r="U283" s="13">
        <v>-1.0736803496877958</v>
      </c>
      <c r="V283" s="13">
        <v>-0.3689224738251406</v>
      </c>
      <c r="W283" s="13">
        <v>-0.5532552936346179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</row>
    <row r="284" spans="1:29" x14ac:dyDescent="0.25">
      <c r="A284" s="3">
        <v>1.2376624736911301E+18</v>
      </c>
      <c r="B284" s="3">
        <v>236.85522</v>
      </c>
      <c r="C284" s="3">
        <v>36.073076999999998</v>
      </c>
      <c r="D284" s="16">
        <v>0.45321679999999998</v>
      </c>
      <c r="E284" s="3">
        <v>2.8410000000000011</v>
      </c>
      <c r="F284" s="3">
        <v>3.8013399999999997</v>
      </c>
      <c r="G284" s="3">
        <v>4.5282599999999995</v>
      </c>
      <c r="H284" s="3">
        <v>4.9054400000000022</v>
      </c>
      <c r="I284" s="3">
        <v>0.96033999999999864</v>
      </c>
      <c r="J284" s="3">
        <v>1.6872599999999984</v>
      </c>
      <c r="K284" s="3">
        <v>2.0644400000000012</v>
      </c>
      <c r="L284" s="3">
        <v>0.72691999999999979</v>
      </c>
      <c r="M284" s="3">
        <v>1.1041000000000025</v>
      </c>
      <c r="N284" s="3">
        <v>0.37718000000000274</v>
      </c>
      <c r="Q284" s="13">
        <v>-0.20097808754136126</v>
      </c>
      <c r="R284" s="13">
        <v>1.1895301565831367</v>
      </c>
      <c r="S284" s="13">
        <v>-5.6820985746327476E-3</v>
      </c>
      <c r="T284" s="13">
        <v>2.3869137464425147</v>
      </c>
      <c r="U284" s="13">
        <v>-1.2342899436421118</v>
      </c>
      <c r="V284" s="13">
        <v>-0.3431140351040492</v>
      </c>
      <c r="W284" s="13">
        <v>-0.23851711396625985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</row>
    <row r="285" spans="1:29" x14ac:dyDescent="0.25">
      <c r="A285" s="3">
        <v>1.23766247422787E+18</v>
      </c>
      <c r="B285" s="3">
        <v>236.71001999999999</v>
      </c>
      <c r="C285" s="3">
        <v>36.484735999999998</v>
      </c>
      <c r="D285" s="16">
        <v>0.45355210000000001</v>
      </c>
      <c r="E285" s="3">
        <v>0.82239000000000217</v>
      </c>
      <c r="F285" s="3">
        <v>2.7314500000000024</v>
      </c>
      <c r="G285" s="3">
        <v>3.4808100000000017</v>
      </c>
      <c r="H285" s="3">
        <v>3.854140000000001</v>
      </c>
      <c r="I285" s="3">
        <v>1.9090600000000002</v>
      </c>
      <c r="J285" s="3">
        <v>2.6584199999999996</v>
      </c>
      <c r="K285" s="3">
        <v>3.0317499999999988</v>
      </c>
      <c r="L285" s="3">
        <v>0.74935999999999936</v>
      </c>
      <c r="M285" s="3">
        <v>1.1226899999999986</v>
      </c>
      <c r="N285" s="3">
        <v>0.37332999999999927</v>
      </c>
      <c r="Q285" s="13">
        <v>-0.20111365225648392</v>
      </c>
      <c r="R285" s="13">
        <v>1.1896090980233214</v>
      </c>
      <c r="S285" s="13">
        <v>-5.6911031424212045E-3</v>
      </c>
      <c r="T285" s="13">
        <v>2.3869201316432895</v>
      </c>
      <c r="U285" s="13">
        <v>-1.2342223125713867</v>
      </c>
      <c r="V285" s="13">
        <v>-0.34288064727490908</v>
      </c>
      <c r="W285" s="13">
        <v>-0.23881867502169252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</row>
    <row r="286" spans="1:29" x14ac:dyDescent="0.25">
      <c r="A286" s="3">
        <v>1.2376614659864E+18</v>
      </c>
      <c r="B286" s="3">
        <v>236.63032999999999</v>
      </c>
      <c r="C286" s="3">
        <v>35.652290999999998</v>
      </c>
      <c r="D286" s="16">
        <v>0.45419219999999999</v>
      </c>
      <c r="E286" s="3">
        <v>1.3971500000000034</v>
      </c>
      <c r="F286" s="3">
        <v>3.0092300000000023</v>
      </c>
      <c r="G286" s="3">
        <v>3.8341300000000018</v>
      </c>
      <c r="H286" s="3">
        <v>4.063760000000002</v>
      </c>
      <c r="I286" s="3">
        <v>1.6120799999999988</v>
      </c>
      <c r="J286" s="3">
        <v>2.4369799999999984</v>
      </c>
      <c r="K286" s="3">
        <v>2.6666099999999986</v>
      </c>
      <c r="L286" s="3">
        <v>0.82489999999999952</v>
      </c>
      <c r="M286" s="3">
        <v>1.0545299999999997</v>
      </c>
      <c r="N286" s="3">
        <v>0.22963000000000022</v>
      </c>
      <c r="Q286" s="13">
        <v>-1.2049108193280633</v>
      </c>
      <c r="R286" s="13">
        <v>-1.3456967438735266</v>
      </c>
      <c r="S286" s="13">
        <v>-8.7228874372871176E-2</v>
      </c>
      <c r="T286" s="13">
        <v>0.67663725792453866</v>
      </c>
      <c r="U286" s="13">
        <v>-0.71431111670740122</v>
      </c>
      <c r="V286" s="13">
        <v>-0.32311533603093678</v>
      </c>
      <c r="W286" s="13">
        <v>-0.35322685885474414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</row>
    <row r="287" spans="1:29" x14ac:dyDescent="0.25">
      <c r="A287" s="3">
        <v>1.2376624736911301E+18</v>
      </c>
      <c r="B287" s="3">
        <v>236.76074</v>
      </c>
      <c r="C287" s="3">
        <v>35.896242999999998</v>
      </c>
      <c r="D287" s="16">
        <v>0.45424239999999999</v>
      </c>
      <c r="E287" s="3">
        <v>2.5752600000000001</v>
      </c>
      <c r="F287" s="3">
        <v>4.2720300000000009</v>
      </c>
      <c r="G287" s="3">
        <v>5.1330099999999987</v>
      </c>
      <c r="H287" s="3">
        <v>5.4905700000000017</v>
      </c>
      <c r="I287" s="3">
        <v>1.6967700000000008</v>
      </c>
      <c r="J287" s="3">
        <v>2.5577499999999986</v>
      </c>
      <c r="K287" s="3">
        <v>2.9153100000000016</v>
      </c>
      <c r="L287" s="3">
        <v>0.86097999999999786</v>
      </c>
      <c r="M287" s="3">
        <v>1.2185400000000008</v>
      </c>
      <c r="N287" s="3">
        <v>0.35756000000000299</v>
      </c>
      <c r="Q287" s="13">
        <v>-0.74892599781031433</v>
      </c>
      <c r="R287" s="13">
        <v>-1.2488380233771919</v>
      </c>
      <c r="S287" s="13">
        <v>-0.70651412274283987</v>
      </c>
      <c r="T287" s="13">
        <v>-1.3079714106668201</v>
      </c>
      <c r="U287" s="13">
        <v>-0.60919387988131624</v>
      </c>
      <c r="V287" s="13">
        <v>0.17775234418865499</v>
      </c>
      <c r="W287" s="13">
        <v>-0.20210312707463973</v>
      </c>
      <c r="X287" s="13">
        <v>0</v>
      </c>
      <c r="Y287" s="13">
        <v>0</v>
      </c>
      <c r="Z287" s="13">
        <v>0</v>
      </c>
      <c r="AA287" s="13">
        <v>0</v>
      </c>
      <c r="AB287" s="13">
        <v>0</v>
      </c>
      <c r="AC287" s="13">
        <v>0</v>
      </c>
    </row>
    <row r="288" spans="1:29" x14ac:dyDescent="0.25">
      <c r="A288" s="3">
        <v>1.2376624736909399E+18</v>
      </c>
      <c r="B288" s="3">
        <v>236.30473000000001</v>
      </c>
      <c r="C288" s="3">
        <v>36.326898999999997</v>
      </c>
      <c r="D288" s="16">
        <v>0.45480150000000003</v>
      </c>
      <c r="E288" s="3">
        <v>0.9015500000000003</v>
      </c>
      <c r="F288" s="3">
        <v>2.4344900000000003</v>
      </c>
      <c r="G288" s="3">
        <v>3.1966399999999986</v>
      </c>
      <c r="H288" s="3">
        <v>3.7712499999999984</v>
      </c>
      <c r="I288" s="3">
        <v>1.53294</v>
      </c>
      <c r="J288" s="3">
        <v>2.2950899999999983</v>
      </c>
      <c r="K288" s="3">
        <v>2.8696999999999981</v>
      </c>
      <c r="L288" s="3">
        <v>0.76214999999999833</v>
      </c>
      <c r="M288" s="3">
        <v>1.3367599999999982</v>
      </c>
      <c r="N288" s="3">
        <v>0.57460999999999984</v>
      </c>
      <c r="Q288" s="13">
        <v>-1.3814004657993453</v>
      </c>
      <c r="R288" s="13">
        <v>-1.84533006456487</v>
      </c>
      <c r="S288" s="13">
        <v>-1.49669617746475</v>
      </c>
      <c r="T288" s="13">
        <v>-0.83420875179288201</v>
      </c>
      <c r="U288" s="13">
        <v>-0.338459795033757</v>
      </c>
      <c r="V288" s="13">
        <v>-0.25606149893811841</v>
      </c>
      <c r="W288" s="13">
        <v>-0.32145920140205264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</row>
    <row r="289" spans="1:29" x14ac:dyDescent="0.25">
      <c r="A289" s="3">
        <v>1.2376624736909399E+18</v>
      </c>
      <c r="B289" s="3">
        <v>236.30473000000001</v>
      </c>
      <c r="C289" s="3">
        <v>36.326898999999997</v>
      </c>
      <c r="D289" s="16">
        <v>0.45481579999999999</v>
      </c>
      <c r="E289" s="3">
        <v>0.9015500000000003</v>
      </c>
      <c r="F289" s="3">
        <v>2.4344900000000003</v>
      </c>
      <c r="G289" s="3">
        <v>3.1966399999999986</v>
      </c>
      <c r="H289" s="3">
        <v>3.7712499999999984</v>
      </c>
      <c r="I289" s="3">
        <v>1.53294</v>
      </c>
      <c r="J289" s="3">
        <v>2.2950899999999983</v>
      </c>
      <c r="K289" s="3">
        <v>2.8696999999999981</v>
      </c>
      <c r="L289" s="3">
        <v>0.76214999999999833</v>
      </c>
      <c r="M289" s="3">
        <v>1.3367599999999982</v>
      </c>
      <c r="N289" s="3">
        <v>0.57460999999999984</v>
      </c>
      <c r="Q289" s="13">
        <v>-2.6821271333487084</v>
      </c>
      <c r="R289" s="13">
        <v>-5.0016128094656391</v>
      </c>
      <c r="S289" s="13">
        <v>1.941135214601438</v>
      </c>
      <c r="T289" s="13">
        <v>0.8887778017318434</v>
      </c>
      <c r="U289" s="13">
        <v>-0.30096935553485432</v>
      </c>
      <c r="V289" s="13">
        <v>0.15223272285968217</v>
      </c>
      <c r="W289" s="13">
        <v>-0.44190150942599121</v>
      </c>
      <c r="X289" s="13">
        <v>0</v>
      </c>
      <c r="Y289" s="13">
        <v>0</v>
      </c>
      <c r="Z289" s="13">
        <v>0</v>
      </c>
      <c r="AA289" s="13">
        <v>0</v>
      </c>
      <c r="AB289" s="13">
        <v>0</v>
      </c>
      <c r="AC289" s="13">
        <v>0</v>
      </c>
    </row>
    <row r="290" spans="1:29" x14ac:dyDescent="0.25">
      <c r="A290" s="3">
        <v>1.2376624736911301E+18</v>
      </c>
      <c r="B290" s="3">
        <v>236.83976999999999</v>
      </c>
      <c r="C290" s="3">
        <v>36.102243000000001</v>
      </c>
      <c r="D290" s="16">
        <v>0.45706819999999998</v>
      </c>
      <c r="E290" s="3">
        <v>3.2871999999999986</v>
      </c>
      <c r="F290" s="3">
        <v>4.8459700000000012</v>
      </c>
      <c r="G290" s="3">
        <v>5.7600699999999989</v>
      </c>
      <c r="H290" s="3">
        <v>6.2309599999999996</v>
      </c>
      <c r="I290" s="3">
        <v>1.5587700000000027</v>
      </c>
      <c r="J290" s="3">
        <v>2.4728700000000003</v>
      </c>
      <c r="K290" s="3">
        <v>2.943760000000001</v>
      </c>
      <c r="L290" s="3">
        <v>0.91409999999999769</v>
      </c>
      <c r="M290" s="3">
        <v>1.3849899999999984</v>
      </c>
      <c r="N290" s="3">
        <v>0.4708900000000007</v>
      </c>
      <c r="Q290" s="13">
        <v>-2.9837468214586202</v>
      </c>
      <c r="R290" s="13">
        <v>-4.9989483673083974</v>
      </c>
      <c r="S290" s="13">
        <v>-0.74013523917871182</v>
      </c>
      <c r="T290" s="13">
        <v>0.6124873849455873</v>
      </c>
      <c r="U290" s="13">
        <v>-1.4878638002663282E-2</v>
      </c>
      <c r="V290" s="13">
        <v>-4.0925018984525822E-2</v>
      </c>
      <c r="W290" s="13">
        <v>-0.32275920601210001</v>
      </c>
      <c r="X290" s="13">
        <v>0</v>
      </c>
      <c r="Y290" s="13">
        <v>0</v>
      </c>
      <c r="Z290" s="13">
        <v>0</v>
      </c>
      <c r="AA290" s="13">
        <v>0</v>
      </c>
      <c r="AB290" s="13">
        <v>0</v>
      </c>
      <c r="AC290" s="13">
        <v>0</v>
      </c>
    </row>
    <row r="291" spans="1:29" x14ac:dyDescent="0.25">
      <c r="A291" s="3">
        <v>1.2376624736911301E+18</v>
      </c>
      <c r="B291" s="3">
        <v>236.83976999999999</v>
      </c>
      <c r="C291" s="3">
        <v>36.102243000000001</v>
      </c>
      <c r="D291" s="16">
        <v>0.45709860000000002</v>
      </c>
      <c r="E291" s="3">
        <v>3.2871999999999986</v>
      </c>
      <c r="F291" s="3">
        <v>4.8459700000000012</v>
      </c>
      <c r="G291" s="3">
        <v>5.7600699999999989</v>
      </c>
      <c r="H291" s="3">
        <v>6.2309599999999996</v>
      </c>
      <c r="I291" s="3">
        <v>1.5587700000000027</v>
      </c>
      <c r="J291" s="3">
        <v>2.4728700000000003</v>
      </c>
      <c r="K291" s="3">
        <v>2.943760000000001</v>
      </c>
      <c r="L291" s="3">
        <v>0.91409999999999769</v>
      </c>
      <c r="M291" s="3">
        <v>1.3849899999999984</v>
      </c>
      <c r="N291" s="3">
        <v>0.4708900000000007</v>
      </c>
      <c r="Q291" s="13">
        <v>-0.57103081898996355</v>
      </c>
      <c r="R291" s="13">
        <v>0.15741894096842382</v>
      </c>
      <c r="S291" s="13">
        <v>-1.0654745728150152</v>
      </c>
      <c r="T291" s="13">
        <v>-0.86441167330185398</v>
      </c>
      <c r="U291" s="13">
        <v>-0.76717481320157455</v>
      </c>
      <c r="V291" s="13">
        <v>-3.0167344302075853E-2</v>
      </c>
      <c r="W291" s="13">
        <v>-0.26863532409805657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</row>
    <row r="292" spans="1:29" x14ac:dyDescent="0.25">
      <c r="A292" s="3">
        <v>1.2376623378635799E+18</v>
      </c>
      <c r="B292" s="3">
        <v>235.91431</v>
      </c>
      <c r="C292" s="3">
        <v>35.727079000000003</v>
      </c>
      <c r="D292" s="16">
        <v>0.45992169999999999</v>
      </c>
      <c r="E292" s="3">
        <v>2.9440899999999992</v>
      </c>
      <c r="F292" s="3">
        <v>4.6720600000000019</v>
      </c>
      <c r="G292" s="3">
        <v>5.5614600000000003</v>
      </c>
      <c r="H292" s="3">
        <v>6.0790299999999995</v>
      </c>
      <c r="I292" s="3">
        <v>1.7279700000000027</v>
      </c>
      <c r="J292" s="3">
        <v>2.6173700000000011</v>
      </c>
      <c r="K292" s="3">
        <v>3.1349400000000003</v>
      </c>
      <c r="L292" s="3">
        <v>0.88939999999999841</v>
      </c>
      <c r="M292" s="3">
        <v>1.4069699999999976</v>
      </c>
      <c r="N292" s="3">
        <v>0.5175699999999992</v>
      </c>
      <c r="Q292" s="13">
        <v>-0.57112657905608721</v>
      </c>
      <c r="R292" s="13">
        <v>0.15747470354296358</v>
      </c>
      <c r="S292" s="13">
        <v>-1.0654809334524886</v>
      </c>
      <c r="T292" s="13">
        <v>-0.86440716293019981</v>
      </c>
      <c r="U292" s="13">
        <v>-0.76712704003435617</v>
      </c>
      <c r="V292" s="13">
        <v>-3.0002484043780506E-2</v>
      </c>
      <c r="W292" s="13">
        <v>-0.26884834049087175</v>
      </c>
      <c r="X292" s="13">
        <v>0</v>
      </c>
      <c r="Y292" s="13">
        <v>0</v>
      </c>
      <c r="Z292" s="13">
        <v>0</v>
      </c>
      <c r="AA292" s="13">
        <v>0</v>
      </c>
      <c r="AB292" s="13">
        <v>0</v>
      </c>
      <c r="AC292" s="13">
        <v>0</v>
      </c>
    </row>
    <row r="293" spans="1:29" x14ac:dyDescent="0.25">
      <c r="A293" s="3">
        <v>1.23766247369107E+18</v>
      </c>
      <c r="B293" s="3">
        <v>236.67248000000001</v>
      </c>
      <c r="C293" s="3">
        <v>36.199789000000003</v>
      </c>
      <c r="D293" s="16">
        <v>0.46114119999999997</v>
      </c>
      <c r="E293" s="3">
        <v>1.6944900000000018</v>
      </c>
      <c r="F293" s="3">
        <v>3.4126499999999993</v>
      </c>
      <c r="G293" s="3">
        <v>4.2579899999999995</v>
      </c>
      <c r="H293" s="3">
        <v>4.7532300000000021</v>
      </c>
      <c r="I293" s="3">
        <v>1.7181599999999975</v>
      </c>
      <c r="J293" s="3">
        <v>2.5634999999999977</v>
      </c>
      <c r="K293" s="3">
        <v>3.0587400000000002</v>
      </c>
      <c r="L293" s="3">
        <v>0.8453400000000002</v>
      </c>
      <c r="M293" s="3">
        <v>1.3405800000000028</v>
      </c>
      <c r="N293" s="3">
        <v>0.49524000000000257</v>
      </c>
      <c r="Q293" s="13">
        <v>-1.5793404209983462</v>
      </c>
      <c r="R293" s="13">
        <v>-1.4783114897491343</v>
      </c>
      <c r="S293" s="13">
        <v>-2.2976928699064945</v>
      </c>
      <c r="T293" s="13">
        <v>3.2128661361238216E-2</v>
      </c>
      <c r="U293" s="13">
        <v>-3.6071275690654774E-3</v>
      </c>
      <c r="V293" s="13">
        <v>-8.1877591965517568E-2</v>
      </c>
      <c r="W293" s="13">
        <v>-0.12531961199588348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</row>
    <row r="294" spans="1:29" x14ac:dyDescent="0.25">
      <c r="A294" s="3">
        <v>1.23766247369107E+18</v>
      </c>
      <c r="B294" s="3">
        <v>236.64713</v>
      </c>
      <c r="C294" s="3">
        <v>36.217866999999998</v>
      </c>
      <c r="D294" s="16">
        <v>0.46114240000000001</v>
      </c>
      <c r="E294" s="3">
        <v>1.2464499999999994</v>
      </c>
      <c r="F294" s="3">
        <v>2.9668199999999985</v>
      </c>
      <c r="G294" s="3">
        <v>3.8460999999999999</v>
      </c>
      <c r="H294" s="3">
        <v>4.2323599999999999</v>
      </c>
      <c r="I294" s="3">
        <v>1.7203699999999991</v>
      </c>
      <c r="J294" s="3">
        <v>2.5996500000000005</v>
      </c>
      <c r="K294" s="3">
        <v>2.9859100000000005</v>
      </c>
      <c r="L294" s="3">
        <v>0.87928000000000139</v>
      </c>
      <c r="M294" s="3">
        <v>1.2655400000000014</v>
      </c>
      <c r="N294" s="3">
        <v>0.38626000000000005</v>
      </c>
      <c r="Q294" s="13">
        <v>-1.6900502643873907</v>
      </c>
      <c r="R294" s="13">
        <v>-1.8911650608889072</v>
      </c>
      <c r="S294" s="13">
        <v>-2.0371426524093037</v>
      </c>
      <c r="T294" s="13">
        <v>5.2657146237189048E-2</v>
      </c>
      <c r="U294" s="13">
        <v>-0.30494614213791249</v>
      </c>
      <c r="V294" s="13">
        <v>-0.11181477553284776</v>
      </c>
      <c r="W294" s="13">
        <v>-0.29198957243121682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</row>
    <row r="295" spans="1:29" x14ac:dyDescent="0.25">
      <c r="A295" s="3">
        <v>1.2376625037557701E+18</v>
      </c>
      <c r="B295" s="3">
        <v>236.59676999999999</v>
      </c>
      <c r="C295" s="3">
        <v>36.404626</v>
      </c>
      <c r="D295" s="16">
        <v>0.46420030000000001</v>
      </c>
      <c r="E295" s="3">
        <v>4.0200999999999993</v>
      </c>
      <c r="F295" s="3">
        <v>5.6507499999999986</v>
      </c>
      <c r="G295" s="3">
        <v>6.5203399999999974</v>
      </c>
      <c r="H295" s="3">
        <v>7.1173399999999987</v>
      </c>
      <c r="I295" s="3">
        <v>1.6306499999999993</v>
      </c>
      <c r="J295" s="3">
        <v>2.500239999999998</v>
      </c>
      <c r="K295" s="3">
        <v>3.0972399999999993</v>
      </c>
      <c r="L295" s="3">
        <v>0.86958999999999875</v>
      </c>
      <c r="M295" s="3">
        <v>1.4665900000000001</v>
      </c>
      <c r="N295" s="3">
        <v>0.59700000000000131</v>
      </c>
      <c r="Q295" s="13">
        <v>-0.94596298653050659</v>
      </c>
      <c r="R295" s="13">
        <v>8.7273525351144396E-2</v>
      </c>
      <c r="S295" s="13">
        <v>-1.1196392188888025</v>
      </c>
      <c r="T295" s="13">
        <v>-0.13605542656950517</v>
      </c>
      <c r="U295" s="13">
        <v>-0.36416237434154569</v>
      </c>
      <c r="V295" s="13">
        <v>-0.24287021634321876</v>
      </c>
      <c r="W295" s="13">
        <v>-0.25550427894754901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</row>
    <row r="296" spans="1:29" x14ac:dyDescent="0.25">
      <c r="A296" s="3">
        <v>1.2376625037557701E+18</v>
      </c>
      <c r="B296" s="3">
        <v>236.59676999999999</v>
      </c>
      <c r="C296" s="3">
        <v>36.404626</v>
      </c>
      <c r="D296" s="16">
        <v>0.46448339999999999</v>
      </c>
      <c r="E296" s="3">
        <v>4.0200999999999993</v>
      </c>
      <c r="F296" s="3">
        <v>5.6507499999999986</v>
      </c>
      <c r="G296" s="3">
        <v>6.5203399999999974</v>
      </c>
      <c r="H296" s="3">
        <v>7.1173399999999987</v>
      </c>
      <c r="I296" s="3">
        <v>1.6306499999999993</v>
      </c>
      <c r="J296" s="3">
        <v>2.500239999999998</v>
      </c>
      <c r="K296" s="3">
        <v>3.0972399999999993</v>
      </c>
      <c r="L296" s="3">
        <v>0.86958999999999875</v>
      </c>
      <c r="M296" s="3">
        <v>1.4665900000000001</v>
      </c>
      <c r="N296" s="3">
        <v>0.59700000000000131</v>
      </c>
      <c r="Q296" s="13">
        <v>1.2664880449788101</v>
      </c>
      <c r="R296" s="13">
        <v>1.0353172833047952</v>
      </c>
      <c r="S296" s="13">
        <v>-0.92046827512215823</v>
      </c>
      <c r="T296" s="13">
        <v>0.51489448907466917</v>
      </c>
      <c r="U296" s="13">
        <v>0.20175006628458556</v>
      </c>
      <c r="V296" s="13">
        <v>-0.14203087047807961</v>
      </c>
      <c r="W296" s="13">
        <v>-0.79512418536343021</v>
      </c>
      <c r="X296" s="13">
        <v>0</v>
      </c>
      <c r="Y296" s="13">
        <v>0</v>
      </c>
      <c r="Z296" s="13">
        <v>0</v>
      </c>
      <c r="AA296" s="13">
        <v>0</v>
      </c>
      <c r="AB296" s="13">
        <v>0</v>
      </c>
      <c r="AC296" s="13">
        <v>0</v>
      </c>
    </row>
    <row r="297" spans="1:29" x14ac:dyDescent="0.25">
      <c r="A297" s="3">
        <v>1.2376624736908001E+18</v>
      </c>
      <c r="B297" s="3">
        <v>235.99757</v>
      </c>
      <c r="C297" s="3">
        <v>36.522393999999998</v>
      </c>
      <c r="D297" s="16">
        <v>0.46479520000000002</v>
      </c>
      <c r="E297" s="3">
        <v>3.1723800000000004</v>
      </c>
      <c r="F297" s="3">
        <v>4.6572999999999993</v>
      </c>
      <c r="G297" s="3">
        <v>5.4384699999999988</v>
      </c>
      <c r="H297" s="3">
        <v>5.8481799999999993</v>
      </c>
      <c r="I297" s="3">
        <v>1.4849199999999989</v>
      </c>
      <c r="J297" s="3">
        <v>2.2660899999999984</v>
      </c>
      <c r="K297" s="3">
        <v>2.6757999999999988</v>
      </c>
      <c r="L297" s="3">
        <v>0.78116999999999948</v>
      </c>
      <c r="M297" s="3">
        <v>1.1908799999999999</v>
      </c>
      <c r="N297" s="3">
        <v>0.40971000000000046</v>
      </c>
      <c r="Q297" s="13">
        <v>-1.4383881611405502</v>
      </c>
      <c r="R297" s="13">
        <v>-1.2344828529216996</v>
      </c>
      <c r="S297" s="13">
        <v>-2.245062832281655</v>
      </c>
      <c r="T297" s="13">
        <v>7.2244913288157922E-2</v>
      </c>
      <c r="U297" s="13">
        <v>-0.56050378560825087</v>
      </c>
      <c r="V297" s="13">
        <v>0.45149200054798128</v>
      </c>
      <c r="W297" s="13">
        <v>0.13559952852929771</v>
      </c>
      <c r="X297" s="13">
        <v>0</v>
      </c>
      <c r="Y297" s="13">
        <v>0</v>
      </c>
      <c r="Z297" s="13">
        <v>0</v>
      </c>
      <c r="AA297" s="13">
        <v>0</v>
      </c>
      <c r="AB297" s="13">
        <v>0</v>
      </c>
      <c r="AC297" s="13">
        <v>0</v>
      </c>
    </row>
    <row r="298" spans="1:29" x14ac:dyDescent="0.25">
      <c r="A298" s="3">
        <v>1.2376623378636401E+18</v>
      </c>
      <c r="B298" s="3">
        <v>235.91072</v>
      </c>
      <c r="C298" s="3">
        <v>35.596209999999999</v>
      </c>
      <c r="D298" s="16">
        <v>0.47092079999999997</v>
      </c>
      <c r="E298" s="3">
        <v>1.4322300000000006</v>
      </c>
      <c r="F298" s="3">
        <v>3.1232499999999987</v>
      </c>
      <c r="G298" s="3">
        <v>3.9817700000000009</v>
      </c>
      <c r="H298" s="3">
        <v>4.4623699999999999</v>
      </c>
      <c r="I298" s="3">
        <v>1.6910199999999982</v>
      </c>
      <c r="J298" s="3">
        <v>2.5495400000000004</v>
      </c>
      <c r="K298" s="3">
        <v>3.0301399999999994</v>
      </c>
      <c r="L298" s="3">
        <v>0.85852000000000217</v>
      </c>
      <c r="M298" s="3">
        <v>1.3391200000000012</v>
      </c>
      <c r="N298" s="3">
        <v>0.48059999999999903</v>
      </c>
      <c r="Q298" s="13">
        <v>-0.77956828975787151</v>
      </c>
      <c r="R298" s="13">
        <v>0.15315369271560467</v>
      </c>
      <c r="S298" s="13">
        <v>-1.0757031753225217</v>
      </c>
      <c r="T298" s="13">
        <v>-0.34365481848619839</v>
      </c>
      <c r="U298" s="13">
        <v>-0.36667057327184305</v>
      </c>
      <c r="V298" s="13">
        <v>-0.15690220651143041</v>
      </c>
      <c r="W298" s="13">
        <v>-0.27962856142300485</v>
      </c>
      <c r="X298" s="13">
        <v>0</v>
      </c>
      <c r="Y298" s="13">
        <v>0</v>
      </c>
      <c r="Z298" s="13">
        <v>0</v>
      </c>
      <c r="AA298" s="13">
        <v>0</v>
      </c>
      <c r="AB298" s="13">
        <v>0</v>
      </c>
      <c r="AC298" s="13">
        <v>0</v>
      </c>
    </row>
    <row r="299" spans="1:29" x14ac:dyDescent="0.25">
      <c r="A299" s="3">
        <v>1.23766247422781E+18</v>
      </c>
      <c r="B299" s="3">
        <v>236.59612999999999</v>
      </c>
      <c r="C299" s="3">
        <v>36.60924</v>
      </c>
      <c r="D299" s="16">
        <v>0.47444399999999998</v>
      </c>
      <c r="E299" s="3">
        <v>0.80305999999999855</v>
      </c>
      <c r="F299" s="3">
        <v>2.4816199999999995</v>
      </c>
      <c r="G299" s="3">
        <v>3.2853500000000011</v>
      </c>
      <c r="H299" s="3">
        <v>3.6864699999999999</v>
      </c>
      <c r="I299" s="3">
        <v>1.6785600000000009</v>
      </c>
      <c r="J299" s="3">
        <v>2.4822900000000025</v>
      </c>
      <c r="K299" s="3">
        <v>2.8834100000000014</v>
      </c>
      <c r="L299" s="3">
        <v>0.80373000000000161</v>
      </c>
      <c r="M299" s="3">
        <v>1.2048500000000004</v>
      </c>
      <c r="N299" s="3">
        <v>0.40111999999999881</v>
      </c>
      <c r="Q299" s="13">
        <v>-0.77964065028592466</v>
      </c>
      <c r="R299" s="13">
        <v>0.15319582937551574</v>
      </c>
      <c r="S299" s="13">
        <v>-1.0757079817006383</v>
      </c>
      <c r="T299" s="13">
        <v>-0.34365141025051293</v>
      </c>
      <c r="U299" s="13">
        <v>-0.36663447376035946</v>
      </c>
      <c r="V299" s="13">
        <v>-0.15677763083152335</v>
      </c>
      <c r="W299" s="13">
        <v>-0.27978952600137391</v>
      </c>
      <c r="X299" s="13">
        <v>0</v>
      </c>
      <c r="Y299" s="13">
        <v>0</v>
      </c>
      <c r="Z299" s="13">
        <v>0</v>
      </c>
      <c r="AA299" s="13">
        <v>0</v>
      </c>
      <c r="AB299" s="13">
        <v>0</v>
      </c>
      <c r="AC299" s="13">
        <v>0</v>
      </c>
    </row>
    <row r="300" spans="1:29" x14ac:dyDescent="0.25">
      <c r="A300" s="3">
        <v>1.2376624736910001E+18</v>
      </c>
      <c r="B300" s="3">
        <v>236.49501000000001</v>
      </c>
      <c r="C300" s="3">
        <v>36.296745999999999</v>
      </c>
      <c r="D300" s="16">
        <v>0.47511609999999999</v>
      </c>
      <c r="E300" s="3">
        <v>1.8886099999999999</v>
      </c>
      <c r="F300" s="3">
        <v>3.6192999999999991</v>
      </c>
      <c r="G300" s="3">
        <v>4.4715699999999998</v>
      </c>
      <c r="H300" s="3">
        <v>5.0179600000000022</v>
      </c>
      <c r="I300" s="3">
        <v>1.7306899999999992</v>
      </c>
      <c r="J300" s="3">
        <v>2.5829599999999999</v>
      </c>
      <c r="K300" s="3">
        <v>3.1293500000000023</v>
      </c>
      <c r="L300" s="3">
        <v>0.85227000000000075</v>
      </c>
      <c r="M300" s="3">
        <v>1.3986600000000031</v>
      </c>
      <c r="N300" s="3">
        <v>0.54639000000000237</v>
      </c>
      <c r="Q300" s="13">
        <v>-3.6802466319726581</v>
      </c>
      <c r="R300" s="13">
        <v>-5.0524922534960801</v>
      </c>
      <c r="S300" s="13">
        <v>-2.2217956132088826E-2</v>
      </c>
      <c r="T300" s="13">
        <v>2.2926014688693797</v>
      </c>
      <c r="U300" s="13">
        <v>-6.7354257732584591E-2</v>
      </c>
      <c r="V300" s="13">
        <v>-8.5431960600267143E-2</v>
      </c>
      <c r="W300" s="13">
        <v>-0.19359934069310575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</row>
    <row r="301" spans="1:29" x14ac:dyDescent="0.25">
      <c r="A301" s="3">
        <v>1.2376624736910001E+18</v>
      </c>
      <c r="B301" s="3">
        <v>236.49501000000001</v>
      </c>
      <c r="C301" s="3">
        <v>36.296745999999999</v>
      </c>
      <c r="D301" s="16">
        <v>0.47551729999999998</v>
      </c>
      <c r="E301" s="3">
        <v>1.8886099999999999</v>
      </c>
      <c r="F301" s="3">
        <v>3.6192999999999991</v>
      </c>
      <c r="G301" s="3">
        <v>4.4715699999999998</v>
      </c>
      <c r="H301" s="3">
        <v>5.0179600000000022</v>
      </c>
      <c r="I301" s="3">
        <v>1.7306899999999992</v>
      </c>
      <c r="J301" s="3">
        <v>2.5829599999999999</v>
      </c>
      <c r="K301" s="3">
        <v>3.1293500000000023</v>
      </c>
      <c r="L301" s="3">
        <v>0.85227000000000075</v>
      </c>
      <c r="M301" s="3">
        <v>1.3986600000000031</v>
      </c>
      <c r="N301" s="3">
        <v>0.54639000000000237</v>
      </c>
      <c r="Q301" s="13">
        <v>-3.3425238633554843</v>
      </c>
      <c r="R301" s="13">
        <v>-5.6333754055057721</v>
      </c>
      <c r="S301" s="13">
        <v>-1.6455774779645536</v>
      </c>
      <c r="T301" s="13">
        <v>0.45719231390489545</v>
      </c>
      <c r="U301" s="13">
        <v>0.42727188068802985</v>
      </c>
      <c r="V301" s="13">
        <v>0.22242828044285706</v>
      </c>
      <c r="W301" s="13">
        <v>-0.21024568719144016</v>
      </c>
      <c r="X301" s="13">
        <v>0</v>
      </c>
      <c r="Y301" s="13">
        <v>0</v>
      </c>
      <c r="Z301" s="13">
        <v>0</v>
      </c>
      <c r="AA301" s="13">
        <v>0</v>
      </c>
      <c r="AB301" s="13">
        <v>0</v>
      </c>
      <c r="AC301" s="13">
        <v>0</v>
      </c>
    </row>
    <row r="302" spans="1:29" x14ac:dyDescent="0.25">
      <c r="A302" s="3">
        <v>1.2376624731541299E+18</v>
      </c>
      <c r="B302" s="3">
        <v>236.28525999999999</v>
      </c>
      <c r="C302" s="3">
        <v>35.906967000000002</v>
      </c>
      <c r="D302" s="16">
        <v>0.47694170000000002</v>
      </c>
      <c r="E302" s="3">
        <v>1.9364199999999983</v>
      </c>
      <c r="F302" s="3">
        <v>3.8497399999999971</v>
      </c>
      <c r="G302" s="3">
        <v>4.8103300000000004</v>
      </c>
      <c r="H302" s="3">
        <v>5.1448999999999998</v>
      </c>
      <c r="I302" s="3">
        <v>1.9133199999999988</v>
      </c>
      <c r="J302" s="3">
        <v>2.8739100000000022</v>
      </c>
      <c r="K302" s="3">
        <v>3.2084800000000016</v>
      </c>
      <c r="L302" s="3">
        <v>0.96059000000000339</v>
      </c>
      <c r="M302" s="3">
        <v>1.2951600000000028</v>
      </c>
      <c r="N302" s="3">
        <v>0.33456999999999937</v>
      </c>
      <c r="Q302" s="13">
        <v>0.66804270957573275</v>
      </c>
      <c r="R302" s="13">
        <v>0.68220576359570262</v>
      </c>
      <c r="S302" s="13">
        <v>-1.0537172206864174</v>
      </c>
      <c r="T302" s="13">
        <v>0.4905117479192847</v>
      </c>
      <c r="U302" s="13">
        <v>-0.34810862774907031</v>
      </c>
      <c r="V302" s="13">
        <v>0.13371973351115471</v>
      </c>
      <c r="W302" s="13">
        <v>-0.63064599201195792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</row>
    <row r="303" spans="1:29" x14ac:dyDescent="0.25">
      <c r="A303" s="3">
        <v>1.23766247422781E+18</v>
      </c>
      <c r="B303" s="3">
        <v>236.69828000000001</v>
      </c>
      <c r="C303" s="3">
        <v>36.560623</v>
      </c>
      <c r="D303" s="16">
        <v>0.4814427</v>
      </c>
      <c r="E303" s="3">
        <v>1.3377599999999994</v>
      </c>
      <c r="F303" s="3">
        <v>2.8652200000000008</v>
      </c>
      <c r="G303" s="3">
        <v>3.696550000000002</v>
      </c>
      <c r="H303" s="3">
        <v>4.2425700000000006</v>
      </c>
      <c r="I303" s="3">
        <v>1.5274600000000014</v>
      </c>
      <c r="J303" s="3">
        <v>2.3587900000000026</v>
      </c>
      <c r="K303" s="3">
        <v>2.9048100000000012</v>
      </c>
      <c r="L303" s="3">
        <v>0.83133000000000123</v>
      </c>
      <c r="M303" s="3">
        <v>1.3773499999999999</v>
      </c>
      <c r="N303" s="3">
        <v>0.54601999999999862</v>
      </c>
      <c r="Q303" s="13">
        <v>-0.88866965612298054</v>
      </c>
      <c r="R303" s="13">
        <v>3.0030663095737729</v>
      </c>
      <c r="S303" s="13">
        <v>0.15672342468614398</v>
      </c>
      <c r="T303" s="13">
        <v>0.5920703644020322</v>
      </c>
      <c r="U303" s="13">
        <v>-0.67283700969998483</v>
      </c>
      <c r="V303" s="13">
        <v>-0.71866628030719515</v>
      </c>
      <c r="W303" s="13">
        <v>-0.10314124560063143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</row>
    <row r="304" spans="1:29" x14ac:dyDescent="0.25">
      <c r="A304" s="3">
        <v>1.2376614659863301E+18</v>
      </c>
      <c r="B304" s="3">
        <v>236.34246999999999</v>
      </c>
      <c r="C304" s="3">
        <v>35.605102000000002</v>
      </c>
      <c r="D304" s="16">
        <v>0.48429060000000002</v>
      </c>
      <c r="E304" s="3">
        <v>3.5117999999999974</v>
      </c>
      <c r="F304" s="3">
        <v>4.9389000000000003</v>
      </c>
      <c r="G304" s="3">
        <v>5.7707599999999992</v>
      </c>
      <c r="H304" s="3">
        <v>6.2627500000000005</v>
      </c>
      <c r="I304" s="3">
        <v>1.4271000000000029</v>
      </c>
      <c r="J304" s="3">
        <v>2.2589600000000019</v>
      </c>
      <c r="K304" s="3">
        <v>2.7509500000000031</v>
      </c>
      <c r="L304" s="3">
        <v>0.83185999999999893</v>
      </c>
      <c r="M304" s="3">
        <v>1.3238500000000002</v>
      </c>
      <c r="N304" s="3">
        <v>0.49199000000000126</v>
      </c>
      <c r="Q304" s="13">
        <v>-2.9890259082050008</v>
      </c>
      <c r="R304" s="13">
        <v>-3.2701043302396298</v>
      </c>
      <c r="S304" s="13">
        <v>1.2503393802797316</v>
      </c>
      <c r="T304" s="13">
        <v>-0.74772791468483124</v>
      </c>
      <c r="U304" s="13">
        <v>-1.5157819971755142</v>
      </c>
      <c r="V304" s="13">
        <v>0.17025838067123381</v>
      </c>
      <c r="W304" s="13">
        <v>-0.36575946770895229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</row>
    <row r="305" spans="1:29" x14ac:dyDescent="0.25">
      <c r="A305" s="3">
        <v>1.2376624736910001E+18</v>
      </c>
      <c r="B305" s="3">
        <v>236.43652</v>
      </c>
      <c r="C305" s="3">
        <v>36.263806000000002</v>
      </c>
      <c r="D305" s="16">
        <v>0.48682690000000001</v>
      </c>
      <c r="E305" s="3">
        <v>4.9590700000000005</v>
      </c>
      <c r="F305" s="3">
        <v>6.753420000000002</v>
      </c>
      <c r="G305" s="3">
        <v>7.631689999999999</v>
      </c>
      <c r="H305" s="3">
        <v>8.1429700000000018</v>
      </c>
      <c r="I305" s="3">
        <v>1.7943500000000014</v>
      </c>
      <c r="J305" s="3">
        <v>2.6726199999999984</v>
      </c>
      <c r="K305" s="3">
        <v>3.1839000000000013</v>
      </c>
      <c r="L305" s="3">
        <v>0.878269999999997</v>
      </c>
      <c r="M305" s="3">
        <v>1.3895499999999998</v>
      </c>
      <c r="N305" s="3">
        <v>0.51128000000000284</v>
      </c>
      <c r="Q305" s="13">
        <v>-0.10546935205723978</v>
      </c>
      <c r="R305" s="13">
        <v>-1.3559008726608521</v>
      </c>
      <c r="S305" s="13">
        <v>1.3921983807411049</v>
      </c>
      <c r="T305" s="13">
        <v>-1.229910352611437</v>
      </c>
      <c r="U305" s="13">
        <v>0.73029647227063565</v>
      </c>
      <c r="V305" s="13">
        <v>0.69230472205272753</v>
      </c>
      <c r="W305" s="13">
        <v>-0.2705383822401804</v>
      </c>
      <c r="X305" s="13">
        <v>0</v>
      </c>
      <c r="Y305" s="13">
        <v>0</v>
      </c>
      <c r="Z305" s="13">
        <v>0</v>
      </c>
      <c r="AA305" s="13">
        <v>0</v>
      </c>
      <c r="AB305" s="13">
        <v>0</v>
      </c>
      <c r="AC305" s="13">
        <v>0</v>
      </c>
    </row>
    <row r="306" spans="1:29" x14ac:dyDescent="0.25">
      <c r="A306" s="3">
        <v>1.2376624736910001E+18</v>
      </c>
      <c r="B306" s="3">
        <v>236.43652</v>
      </c>
      <c r="C306" s="3">
        <v>36.263806000000002</v>
      </c>
      <c r="D306" s="16">
        <v>0.48692390000000002</v>
      </c>
      <c r="E306" s="3">
        <v>4.9590700000000005</v>
      </c>
      <c r="F306" s="3">
        <v>6.753420000000002</v>
      </c>
      <c r="G306" s="3">
        <v>7.631689999999999</v>
      </c>
      <c r="H306" s="3">
        <v>8.1429700000000018</v>
      </c>
      <c r="I306" s="3">
        <v>1.7943500000000014</v>
      </c>
      <c r="J306" s="3">
        <v>2.6726199999999984</v>
      </c>
      <c r="K306" s="3">
        <v>3.1839000000000013</v>
      </c>
      <c r="L306" s="3">
        <v>0.878269999999997</v>
      </c>
      <c r="M306" s="3">
        <v>1.3895499999999998</v>
      </c>
      <c r="N306" s="3">
        <v>0.51128000000000284</v>
      </c>
      <c r="Q306" s="13">
        <v>-0.80343283096620999</v>
      </c>
      <c r="R306" s="13">
        <v>1.2991374855093643</v>
      </c>
      <c r="S306" s="13">
        <v>1.651357177382109</v>
      </c>
      <c r="T306" s="13">
        <v>-5.1396381732015065E-2</v>
      </c>
      <c r="U306" s="13">
        <v>-1.5876058278734615</v>
      </c>
      <c r="V306" s="13">
        <v>0.11038154364733933</v>
      </c>
      <c r="W306" s="13">
        <v>-0.21656039568443736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</row>
    <row r="307" spans="1:29" x14ac:dyDescent="0.25">
      <c r="A307" s="3">
        <v>1.2376624736909399E+18</v>
      </c>
      <c r="B307" s="3">
        <v>236.37562</v>
      </c>
      <c r="C307" s="3">
        <v>36.267167999999998</v>
      </c>
      <c r="D307" s="16">
        <v>0.48791800000000002</v>
      </c>
      <c r="E307" s="3">
        <v>4.0758699999999983</v>
      </c>
      <c r="F307" s="3">
        <v>5.7414699999999996</v>
      </c>
      <c r="G307" s="3">
        <v>6.6291900000000012</v>
      </c>
      <c r="H307" s="3">
        <v>7.1711500000000008</v>
      </c>
      <c r="I307" s="3">
        <v>1.6656000000000013</v>
      </c>
      <c r="J307" s="3">
        <v>2.5533200000000029</v>
      </c>
      <c r="K307" s="3">
        <v>3.0952800000000025</v>
      </c>
      <c r="L307" s="3">
        <v>0.88772000000000162</v>
      </c>
      <c r="M307" s="3">
        <v>1.4296800000000012</v>
      </c>
      <c r="N307" s="3">
        <v>0.54195999999999955</v>
      </c>
      <c r="Q307" s="13">
        <v>-0.28350734550707801</v>
      </c>
      <c r="R307" s="13">
        <v>0.21000376443161634</v>
      </c>
      <c r="S307" s="13">
        <v>-0.50975804639660549</v>
      </c>
      <c r="T307" s="13">
        <v>-1.8704770210154751</v>
      </c>
      <c r="U307" s="13">
        <v>-1.0111765883457231</v>
      </c>
      <c r="V307" s="13">
        <v>0.94152357183729474</v>
      </c>
      <c r="W307" s="13">
        <v>5.9659733253844563E-2</v>
      </c>
      <c r="X307" s="13">
        <v>0</v>
      </c>
      <c r="Y307" s="13">
        <v>0</v>
      </c>
      <c r="Z307" s="13">
        <v>0</v>
      </c>
      <c r="AA307" s="13">
        <v>0</v>
      </c>
      <c r="AB307" s="13">
        <v>0</v>
      </c>
      <c r="AC307" s="13">
        <v>0</v>
      </c>
    </row>
    <row r="308" spans="1:29" x14ac:dyDescent="0.25">
      <c r="A308" s="3">
        <v>1.2376624736909399E+18</v>
      </c>
      <c r="B308" s="3">
        <v>236.37562</v>
      </c>
      <c r="C308" s="3">
        <v>36.267167999999998</v>
      </c>
      <c r="D308" s="16">
        <v>0.48806119999999997</v>
      </c>
      <c r="E308" s="3">
        <v>4.0758699999999983</v>
      </c>
      <c r="F308" s="3">
        <v>5.7414699999999996</v>
      </c>
      <c r="G308" s="3">
        <v>6.6291900000000012</v>
      </c>
      <c r="H308" s="3">
        <v>7.1711500000000008</v>
      </c>
      <c r="I308" s="3">
        <v>1.6656000000000013</v>
      </c>
      <c r="J308" s="3">
        <v>2.5533200000000029</v>
      </c>
      <c r="K308" s="3">
        <v>3.0952800000000025</v>
      </c>
      <c r="L308" s="3">
        <v>0.88772000000000162</v>
      </c>
      <c r="M308" s="3">
        <v>1.4296800000000012</v>
      </c>
      <c r="N308" s="3">
        <v>0.54195999999999955</v>
      </c>
      <c r="Q308" s="13">
        <v>-1.7985763796354579</v>
      </c>
      <c r="R308" s="13">
        <v>-1.4359241733250445</v>
      </c>
      <c r="S308" s="13">
        <v>0.46180643489226869</v>
      </c>
      <c r="T308" s="13">
        <v>-1.4071663905163307</v>
      </c>
      <c r="U308" s="13">
        <v>-0.56578938525828393</v>
      </c>
      <c r="V308" s="13">
        <v>0.48129541633927159</v>
      </c>
      <c r="W308" s="13">
        <v>3.4112270892913202E-2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</row>
    <row r="309" spans="1:29" x14ac:dyDescent="0.25">
      <c r="A309" s="3">
        <v>1.2376614659864E+18</v>
      </c>
      <c r="B309" s="3">
        <v>236.53321</v>
      </c>
      <c r="C309" s="3">
        <v>35.662090999999997</v>
      </c>
      <c r="D309" s="16">
        <v>0.48877179999999998</v>
      </c>
      <c r="E309" s="3">
        <v>1.7843600000000031</v>
      </c>
      <c r="F309" s="3">
        <v>3.4597800000000021</v>
      </c>
      <c r="G309" s="3">
        <v>4.265310000000003</v>
      </c>
      <c r="H309" s="3">
        <v>4.7272300000000023</v>
      </c>
      <c r="I309" s="3">
        <v>1.675419999999999</v>
      </c>
      <c r="J309" s="3">
        <v>2.48095</v>
      </c>
      <c r="K309" s="3">
        <v>2.9428699999999992</v>
      </c>
      <c r="L309" s="3">
        <v>0.80553000000000097</v>
      </c>
      <c r="M309" s="3">
        <v>1.2674500000000002</v>
      </c>
      <c r="N309" s="3">
        <v>0.46191999999999922</v>
      </c>
      <c r="Q309" s="13">
        <v>-0.60600215004495128</v>
      </c>
      <c r="R309" s="13">
        <v>1.6794901470460888</v>
      </c>
      <c r="S309" s="13">
        <v>0.57412429751159022</v>
      </c>
      <c r="T309" s="13">
        <v>0.40452850764466536</v>
      </c>
      <c r="U309" s="13">
        <v>-6.2236985236424062E-2</v>
      </c>
      <c r="V309" s="13">
        <v>-0.48117716322550008</v>
      </c>
      <c r="W309" s="13">
        <v>-0.28644960379579365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</row>
    <row r="310" spans="1:29" x14ac:dyDescent="0.25">
      <c r="A310" s="3">
        <v>1.2376624736910001E+18</v>
      </c>
      <c r="B310" s="3">
        <v>236.511</v>
      </c>
      <c r="C310" s="3">
        <v>36.230271000000002</v>
      </c>
      <c r="D310" s="16">
        <v>0.48893579999999998</v>
      </c>
      <c r="E310" s="3">
        <v>1.3064900000000002</v>
      </c>
      <c r="F310" s="3">
        <v>3.0185899999999997</v>
      </c>
      <c r="G310" s="3">
        <v>3.9085099999999997</v>
      </c>
      <c r="H310" s="3">
        <v>4.4128100000000003</v>
      </c>
      <c r="I310" s="3">
        <v>1.7120999999999995</v>
      </c>
      <c r="J310" s="3">
        <v>2.6020199999999996</v>
      </c>
      <c r="K310" s="3">
        <v>3.1063200000000002</v>
      </c>
      <c r="L310" s="3">
        <v>0.88992000000000004</v>
      </c>
      <c r="M310" s="3">
        <v>1.3942200000000007</v>
      </c>
      <c r="N310" s="3">
        <v>0.50430000000000064</v>
      </c>
      <c r="Q310" s="13">
        <v>-0.60602033555551627</v>
      </c>
      <c r="R310" s="13">
        <v>1.6795007367514811</v>
      </c>
      <c r="S310" s="13">
        <v>0.57412308958176528</v>
      </c>
      <c r="T310" s="13">
        <v>0.40452936419598851</v>
      </c>
      <c r="U310" s="13">
        <v>-6.2227912775717091E-2</v>
      </c>
      <c r="V310" s="13">
        <v>-0.48114585510207852</v>
      </c>
      <c r="W310" s="13">
        <v>-0.28649005710810821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</row>
    <row r="311" spans="1:29" x14ac:dyDescent="0.25">
      <c r="A311" s="3">
        <v>1.2376624736910001E+18</v>
      </c>
      <c r="B311" s="3">
        <v>236.511</v>
      </c>
      <c r="C311" s="3">
        <v>36.230271000000002</v>
      </c>
      <c r="D311" s="16">
        <v>0.4890215</v>
      </c>
      <c r="E311" s="3">
        <v>1.3064900000000002</v>
      </c>
      <c r="F311" s="3">
        <v>3.0185899999999997</v>
      </c>
      <c r="G311" s="3">
        <v>3.9085099999999997</v>
      </c>
      <c r="H311" s="3">
        <v>4.4128100000000003</v>
      </c>
      <c r="I311" s="3">
        <v>1.7120999999999995</v>
      </c>
      <c r="J311" s="3">
        <v>2.6020199999999996</v>
      </c>
      <c r="K311" s="3">
        <v>3.1063200000000002</v>
      </c>
      <c r="L311" s="3">
        <v>0.88992000000000004</v>
      </c>
      <c r="M311" s="3">
        <v>1.3942200000000007</v>
      </c>
      <c r="N311" s="3">
        <v>0.50430000000000064</v>
      </c>
      <c r="Q311" s="13">
        <v>-2.5227344139381658</v>
      </c>
      <c r="R311" s="13">
        <v>-2.2144491908147113</v>
      </c>
      <c r="S311" s="13">
        <v>1.2640292894817182</v>
      </c>
      <c r="T311" s="13">
        <v>-1.0063511452650751</v>
      </c>
      <c r="U311" s="13">
        <v>0.16547958597515941</v>
      </c>
      <c r="V311" s="13">
        <v>0.20710595308866686</v>
      </c>
      <c r="W311" s="13">
        <v>7.682542214307933E-2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</row>
    <row r="312" spans="1:29" x14ac:dyDescent="0.25">
      <c r="A312" s="3">
        <v>1.2376625037557701E+18</v>
      </c>
      <c r="B312" s="3">
        <v>236.57469</v>
      </c>
      <c r="C312" s="3">
        <v>36.377665999999998</v>
      </c>
      <c r="D312" s="16">
        <v>0.49893389999999999</v>
      </c>
      <c r="E312" s="3">
        <v>1.5072299999999998</v>
      </c>
      <c r="F312" s="3">
        <v>3.5565499999999979</v>
      </c>
      <c r="G312" s="3">
        <v>4.4745899999999992</v>
      </c>
      <c r="H312" s="3">
        <v>5.0892799999999987</v>
      </c>
      <c r="I312" s="3">
        <v>2.049319999999998</v>
      </c>
      <c r="J312" s="3">
        <v>2.9673599999999993</v>
      </c>
      <c r="K312" s="3">
        <v>3.5820499999999988</v>
      </c>
      <c r="L312" s="3">
        <v>0.9180400000000013</v>
      </c>
      <c r="M312" s="3">
        <v>1.5327300000000008</v>
      </c>
      <c r="N312" s="3">
        <v>0.61468999999999951</v>
      </c>
      <c r="Q312" s="13">
        <v>-2.5227730740445433</v>
      </c>
      <c r="R312" s="13">
        <v>-2.2144266784340196</v>
      </c>
      <c r="S312" s="13">
        <v>1.2640267215749574</v>
      </c>
      <c r="T312" s="13">
        <v>-1.0063493243447783</v>
      </c>
      <c r="U312" s="13">
        <v>0.16549887288463402</v>
      </c>
      <c r="V312" s="13">
        <v>0.20717251021817815</v>
      </c>
      <c r="W312" s="13">
        <v>7.6739423493124223E-2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</row>
    <row r="313" spans="1:29" x14ac:dyDescent="0.25">
      <c r="A313" s="3">
        <v>1.2376624736909299E+18</v>
      </c>
      <c r="B313" s="3">
        <v>236.38335000000001</v>
      </c>
      <c r="C313" s="3">
        <v>36.318854000000002</v>
      </c>
      <c r="D313" s="16">
        <v>0.49973709999999999</v>
      </c>
      <c r="E313" s="3">
        <v>1.0801900000000018</v>
      </c>
      <c r="F313" s="3">
        <v>2.6434400000000018</v>
      </c>
      <c r="G313" s="3">
        <v>3.6115600000000008</v>
      </c>
      <c r="H313" s="3">
        <v>3.9672699999999992</v>
      </c>
      <c r="I313" s="3">
        <v>1.56325</v>
      </c>
      <c r="J313" s="3">
        <v>2.531369999999999</v>
      </c>
      <c r="K313" s="3">
        <v>2.8870799999999974</v>
      </c>
      <c r="L313" s="3">
        <v>0.96811999999999898</v>
      </c>
      <c r="M313" s="3">
        <v>1.3238299999999974</v>
      </c>
      <c r="N313" s="3">
        <v>0.35570999999999842</v>
      </c>
      <c r="Q313" s="13">
        <v>-2.5071551391015015</v>
      </c>
      <c r="R313" s="13">
        <v>-1.8141409038169412</v>
      </c>
      <c r="S313" s="13">
        <v>-1.7072528926255854</v>
      </c>
      <c r="T313" s="13">
        <v>7.7633586395374515E-2</v>
      </c>
      <c r="U313" s="13">
        <v>0.30752279384220615</v>
      </c>
      <c r="V313" s="13">
        <v>-0.17259618892058093</v>
      </c>
      <c r="W313" s="13">
        <v>8.7707346543603425E-3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</row>
    <row r="314" spans="1:29" x14ac:dyDescent="0.25">
      <c r="A314" s="3">
        <v>1.2376624736909299E+18</v>
      </c>
      <c r="B314" s="3">
        <v>236.38335000000001</v>
      </c>
      <c r="C314" s="3">
        <v>36.318854000000002</v>
      </c>
      <c r="D314" s="16">
        <v>0.49991029999999997</v>
      </c>
      <c r="E314" s="3">
        <v>1.0801900000000018</v>
      </c>
      <c r="F314" s="3">
        <v>2.6434400000000018</v>
      </c>
      <c r="G314" s="3">
        <v>3.6115600000000008</v>
      </c>
      <c r="H314" s="3">
        <v>3.9672699999999992</v>
      </c>
      <c r="I314" s="3">
        <v>1.56325</v>
      </c>
      <c r="J314" s="3">
        <v>2.531369999999999</v>
      </c>
      <c r="K314" s="3">
        <v>2.8870799999999974</v>
      </c>
      <c r="L314" s="3">
        <v>0.96811999999999898</v>
      </c>
      <c r="M314" s="3">
        <v>1.3238299999999974</v>
      </c>
      <c r="N314" s="3">
        <v>0.35570999999999842</v>
      </c>
      <c r="Q314" s="13">
        <v>-1.6216511940312488</v>
      </c>
      <c r="R314" s="13">
        <v>0.20433950616157015</v>
      </c>
      <c r="S314" s="13">
        <v>1.0004101081300867</v>
      </c>
      <c r="T314" s="13">
        <v>-0.58769579297842245</v>
      </c>
      <c r="U314" s="13">
        <v>-0.46588682776676127</v>
      </c>
      <c r="V314" s="13">
        <v>-0.11440871851565647</v>
      </c>
      <c r="W314" s="13">
        <v>-9.0897091152349521E-2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</row>
    <row r="315" spans="1:29" x14ac:dyDescent="0.25">
      <c r="A315" s="3">
        <v>1.23766247422787E+18</v>
      </c>
      <c r="B315" s="3">
        <v>236.77708000000001</v>
      </c>
      <c r="C315" s="3">
        <v>36.612729000000002</v>
      </c>
      <c r="D315" s="16">
        <v>0.50017730000000005</v>
      </c>
      <c r="E315" s="3">
        <v>3.7154699999999998</v>
      </c>
      <c r="F315" s="3">
        <v>5.0866899999999973</v>
      </c>
      <c r="G315" s="3">
        <v>6.0794199999999989</v>
      </c>
      <c r="H315" s="3">
        <v>6.6410099999999979</v>
      </c>
      <c r="I315" s="3">
        <v>1.3712199999999974</v>
      </c>
      <c r="J315" s="3">
        <v>2.3639499999999991</v>
      </c>
      <c r="K315" s="3">
        <v>2.925539999999998</v>
      </c>
      <c r="L315" s="3">
        <v>0.99273000000000167</v>
      </c>
      <c r="M315" s="3">
        <v>1.5543200000000006</v>
      </c>
      <c r="N315" s="3">
        <v>0.56158999999999892</v>
      </c>
      <c r="Q315" s="13">
        <v>-1.0972102383121722</v>
      </c>
      <c r="R315" s="13">
        <v>0.78786797500037464</v>
      </c>
      <c r="S315" s="13">
        <v>0.92819717470341279</v>
      </c>
      <c r="T315" s="13">
        <v>-0.53449154304182667</v>
      </c>
      <c r="U315" s="13">
        <v>-0.90108455281074296</v>
      </c>
      <c r="V315" s="13">
        <v>0.33109733510388017</v>
      </c>
      <c r="W315" s="13">
        <v>7.6563825823411868E-2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</row>
    <row r="316" spans="1:29" x14ac:dyDescent="0.25">
      <c r="A316" s="3">
        <v>1.23766247422787E+18</v>
      </c>
      <c r="B316" s="3">
        <v>236.77206000000001</v>
      </c>
      <c r="C316" s="3">
        <v>36.457030000000003</v>
      </c>
      <c r="D316" s="16">
        <v>0.50160280000000002</v>
      </c>
      <c r="E316" s="3">
        <v>2.6629700000000014</v>
      </c>
      <c r="F316" s="3">
        <v>5.2266700000000021</v>
      </c>
      <c r="G316" s="3">
        <v>6.1650500000000008</v>
      </c>
      <c r="H316" s="3">
        <v>6.419710000000002</v>
      </c>
      <c r="I316" s="3">
        <v>2.5637000000000008</v>
      </c>
      <c r="J316" s="3">
        <v>3.5020799999999994</v>
      </c>
      <c r="K316" s="3">
        <v>3.7567400000000006</v>
      </c>
      <c r="L316" s="3">
        <v>0.93837999999999866</v>
      </c>
      <c r="M316" s="3">
        <v>1.1930399999999999</v>
      </c>
      <c r="N316" s="3">
        <v>0.25466000000000122</v>
      </c>
      <c r="Q316" s="13">
        <v>-3.402121853331872</v>
      </c>
      <c r="R316" s="13">
        <v>-3.1652740993022466</v>
      </c>
      <c r="S316" s="13">
        <v>1.5712577862950476</v>
      </c>
      <c r="T316" s="13">
        <v>0.3636785768666087</v>
      </c>
      <c r="U316" s="13">
        <v>0.56364022023305305</v>
      </c>
      <c r="V316" s="13">
        <v>-0.35237442164084171</v>
      </c>
      <c r="W316" s="13">
        <v>-0.13938721132991475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</row>
    <row r="317" spans="1:29" x14ac:dyDescent="0.25">
      <c r="A317" s="3">
        <v>1.23766247422787E+18</v>
      </c>
      <c r="B317" s="3">
        <v>236.77206000000001</v>
      </c>
      <c r="C317" s="3">
        <v>36.457030000000003</v>
      </c>
      <c r="D317" s="16">
        <v>0.50189079999999997</v>
      </c>
      <c r="E317" s="3">
        <v>2.6629700000000014</v>
      </c>
      <c r="F317" s="3">
        <v>5.2266700000000021</v>
      </c>
      <c r="G317" s="3">
        <v>6.1650500000000008</v>
      </c>
      <c r="H317" s="3">
        <v>6.419710000000002</v>
      </c>
      <c r="I317" s="3">
        <v>2.5637000000000008</v>
      </c>
      <c r="J317" s="3">
        <v>3.5020799999999994</v>
      </c>
      <c r="K317" s="3">
        <v>3.7567400000000006</v>
      </c>
      <c r="L317" s="3">
        <v>0.93837999999999866</v>
      </c>
      <c r="M317" s="3">
        <v>1.1930399999999999</v>
      </c>
      <c r="N317" s="3">
        <v>0.25466000000000122</v>
      </c>
      <c r="Q317" s="13">
        <v>-3.4024818755725024</v>
      </c>
      <c r="R317" s="13">
        <v>-3.1650644527570648</v>
      </c>
      <c r="S317" s="13">
        <v>1.5712338726633299</v>
      </c>
      <c r="T317" s="13">
        <v>0.36369553418686562</v>
      </c>
      <c r="U317" s="13">
        <v>0.56381982957753607</v>
      </c>
      <c r="V317" s="13">
        <v>-0.35175460837227168</v>
      </c>
      <c r="W317" s="13">
        <v>-0.1401880737576178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</row>
    <row r="318" spans="1:29" x14ac:dyDescent="0.25">
      <c r="A318" s="3">
        <v>1.23766247369107E+18</v>
      </c>
      <c r="B318" s="3">
        <v>236.50611000000001</v>
      </c>
      <c r="C318" s="3">
        <v>36.073979000000001</v>
      </c>
      <c r="D318" s="16">
        <v>0.50234250000000003</v>
      </c>
      <c r="E318" s="3">
        <v>-0.16061000000000192</v>
      </c>
      <c r="F318" s="3">
        <v>1.5448999999999984</v>
      </c>
      <c r="G318" s="3">
        <v>2.4969499999999982</v>
      </c>
      <c r="H318" s="3">
        <v>2.8129499999999972</v>
      </c>
      <c r="I318" s="3">
        <v>1.7055100000000003</v>
      </c>
      <c r="J318" s="3">
        <v>2.6575600000000001</v>
      </c>
      <c r="K318" s="3">
        <v>2.9735599999999991</v>
      </c>
      <c r="L318" s="3">
        <v>0.95204999999999984</v>
      </c>
      <c r="M318" s="3">
        <v>1.2680499999999988</v>
      </c>
      <c r="N318" s="3">
        <v>0.31599999999999895</v>
      </c>
      <c r="Q318" s="13">
        <v>-1.5916097017707502</v>
      </c>
      <c r="R318" s="13">
        <v>-1.975919144832841</v>
      </c>
      <c r="S318" s="13">
        <v>0.54839496616274375</v>
      </c>
      <c r="T318" s="13">
        <v>1.8631359524392042</v>
      </c>
      <c r="U318" s="13">
        <v>0.11265194468467266</v>
      </c>
      <c r="V318" s="13">
        <v>0.30026970290772181</v>
      </c>
      <c r="W318" s="13">
        <v>-0.17892827675834683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</row>
    <row r="319" spans="1:29" x14ac:dyDescent="0.25">
      <c r="A319" s="3">
        <v>1.2376625037557701E+18</v>
      </c>
      <c r="B319" s="3">
        <v>236.66847999999999</v>
      </c>
      <c r="C319" s="3">
        <v>36.275706</v>
      </c>
      <c r="D319" s="16">
        <v>0.50268520000000005</v>
      </c>
      <c r="E319" s="3">
        <v>1.0589800000000018</v>
      </c>
      <c r="F319" s="3">
        <v>2.5711300000000001</v>
      </c>
      <c r="G319" s="3">
        <v>3.3450400000000009</v>
      </c>
      <c r="H319" s="3">
        <v>3.9148700000000005</v>
      </c>
      <c r="I319" s="3">
        <v>1.5121499999999983</v>
      </c>
      <c r="J319" s="3">
        <v>2.2860599999999991</v>
      </c>
      <c r="K319" s="3">
        <v>2.8558899999999987</v>
      </c>
      <c r="L319" s="3">
        <v>0.77391000000000076</v>
      </c>
      <c r="M319" s="3">
        <v>1.3437400000000004</v>
      </c>
      <c r="N319" s="3">
        <v>0.56982999999999961</v>
      </c>
      <c r="Q319" s="13">
        <v>-1.198416438218425</v>
      </c>
      <c r="R319" s="13">
        <v>0.48292196838297596</v>
      </c>
      <c r="S319" s="13">
        <v>-2.1454262087921481</v>
      </c>
      <c r="T319" s="13">
        <v>-0.43113786634483175</v>
      </c>
      <c r="U319" s="13">
        <v>-8.4797094503397494E-2</v>
      </c>
      <c r="V319" s="13">
        <v>-7.138546127780665E-2</v>
      </c>
      <c r="W319" s="13">
        <v>-4.5371708181813512E-2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</row>
    <row r="320" spans="1:29" x14ac:dyDescent="0.25">
      <c r="A320" s="3">
        <v>1.23766146598627E+18</v>
      </c>
      <c r="B320" s="3">
        <v>236.30378999999999</v>
      </c>
      <c r="C320" s="3">
        <v>35.821069999999999</v>
      </c>
      <c r="D320" s="16">
        <v>0.50426159999999998</v>
      </c>
      <c r="E320" s="3">
        <v>1.8839700000000015</v>
      </c>
      <c r="F320" s="3">
        <v>3.2898100000000028</v>
      </c>
      <c r="G320" s="3">
        <v>4.2445100000000018</v>
      </c>
      <c r="H320" s="3">
        <v>4.7261900000000026</v>
      </c>
      <c r="I320" s="3">
        <v>1.4058400000000013</v>
      </c>
      <c r="J320" s="3">
        <v>2.3605400000000003</v>
      </c>
      <c r="K320" s="3">
        <v>2.8422200000000011</v>
      </c>
      <c r="L320" s="3">
        <v>0.95469999999999899</v>
      </c>
      <c r="M320" s="3">
        <v>1.4363799999999998</v>
      </c>
      <c r="N320" s="3">
        <v>0.48168000000000077</v>
      </c>
      <c r="Q320" s="13">
        <v>-0.56315408412807211</v>
      </c>
      <c r="R320" s="13">
        <v>1.6153531284758804</v>
      </c>
      <c r="S320" s="13">
        <v>1.7956488111995945</v>
      </c>
      <c r="T320" s="13">
        <v>0.47827438483184309</v>
      </c>
      <c r="U320" s="13">
        <v>-1.0414062410197313</v>
      </c>
      <c r="V320" s="13">
        <v>0.22492772275493894</v>
      </c>
      <c r="W320" s="13">
        <v>-0.13729121463472502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</row>
    <row r="321" spans="1:29" x14ac:dyDescent="0.25">
      <c r="A321" s="3">
        <v>1.2376614659863301E+18</v>
      </c>
      <c r="B321" s="3">
        <v>236.39053000000001</v>
      </c>
      <c r="C321" s="3">
        <v>35.756470999999998</v>
      </c>
      <c r="D321" s="16">
        <v>0.50478540000000005</v>
      </c>
      <c r="E321" s="3">
        <v>0.76332000000000022</v>
      </c>
      <c r="F321" s="3">
        <v>2.113940000000003</v>
      </c>
      <c r="G321" s="3">
        <v>2.9102700000000006</v>
      </c>
      <c r="H321" s="3">
        <v>3.2970600000000019</v>
      </c>
      <c r="I321" s="3">
        <v>1.3506200000000028</v>
      </c>
      <c r="J321" s="3">
        <v>2.1469500000000004</v>
      </c>
      <c r="K321" s="3">
        <v>2.5337400000000017</v>
      </c>
      <c r="L321" s="3">
        <v>0.79632999999999754</v>
      </c>
      <c r="M321" s="3">
        <v>1.1831199999999988</v>
      </c>
      <c r="N321" s="3">
        <v>0.3867900000000013</v>
      </c>
      <c r="Q321" s="13">
        <v>-1.944920726870107</v>
      </c>
      <c r="R321" s="13">
        <v>1.1072667524184733E-2</v>
      </c>
      <c r="S321" s="13">
        <v>0.88723235242323961</v>
      </c>
      <c r="T321" s="13">
        <v>6.4574213068042882E-2</v>
      </c>
      <c r="U321" s="13">
        <v>-0.24385292627549338</v>
      </c>
      <c r="V321" s="13">
        <v>-0.2909293045776592</v>
      </c>
      <c r="W321" s="13">
        <v>-0.14174798822994139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</row>
    <row r="322" spans="1:29" x14ac:dyDescent="0.25">
      <c r="A322" s="3">
        <v>1.23766146598607E+18</v>
      </c>
      <c r="B322" s="3">
        <v>235.80842999999999</v>
      </c>
      <c r="C322" s="3">
        <v>36.016514000000001</v>
      </c>
      <c r="D322" s="16">
        <v>0.50828139999999999</v>
      </c>
      <c r="E322" s="3">
        <v>2.1560900000000025</v>
      </c>
      <c r="F322" s="3">
        <v>3.8449500000000008</v>
      </c>
      <c r="G322" s="3">
        <v>4.813480000000002</v>
      </c>
      <c r="H322" s="3">
        <v>5.1877900000000032</v>
      </c>
      <c r="I322" s="3">
        <v>1.6888599999999983</v>
      </c>
      <c r="J322" s="3">
        <v>2.6573899999999995</v>
      </c>
      <c r="K322" s="3">
        <v>3.0317000000000007</v>
      </c>
      <c r="L322" s="3">
        <v>0.96853000000000122</v>
      </c>
      <c r="M322" s="3">
        <v>1.3428400000000025</v>
      </c>
      <c r="N322" s="3">
        <v>0.37431000000000125</v>
      </c>
      <c r="Q322" s="13">
        <v>-1.9454309385371555</v>
      </c>
      <c r="R322" s="13">
        <v>1.1369771706194683E-2</v>
      </c>
      <c r="S322" s="13">
        <v>0.88719846281163506</v>
      </c>
      <c r="T322" s="13">
        <v>6.4598244424054929E-2</v>
      </c>
      <c r="U322" s="13">
        <v>-0.24359838982545193</v>
      </c>
      <c r="V322" s="13">
        <v>-0.29005092561845608</v>
      </c>
      <c r="W322" s="13">
        <v>-0.1428829440971067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</row>
    <row r="323" spans="1:29" x14ac:dyDescent="0.25">
      <c r="A323" s="3">
        <v>1.23766250375584E+18</v>
      </c>
      <c r="B323" s="3">
        <v>236.68878000000001</v>
      </c>
      <c r="C323" s="3">
        <v>36.205488000000003</v>
      </c>
      <c r="D323" s="16">
        <v>0.51101370000000002</v>
      </c>
      <c r="E323" s="3">
        <v>0.84224000000000032</v>
      </c>
      <c r="F323" s="3">
        <v>2.2649100000000004</v>
      </c>
      <c r="G323" s="3">
        <v>3.2161200000000001</v>
      </c>
      <c r="H323" s="3">
        <v>3.0502400000000023</v>
      </c>
      <c r="I323" s="3">
        <v>1.4226700000000001</v>
      </c>
      <c r="J323" s="3">
        <v>2.3738799999999998</v>
      </c>
      <c r="K323" s="3">
        <v>2.208000000000002</v>
      </c>
      <c r="L323" s="3">
        <v>0.95120999999999967</v>
      </c>
      <c r="M323" s="3">
        <v>0.78533000000000186</v>
      </c>
      <c r="N323" s="3">
        <v>-0.16587999999999781</v>
      </c>
      <c r="Q323" s="13">
        <v>-1.9930296575652431</v>
      </c>
      <c r="R323" s="13">
        <v>-0.51074743567626013</v>
      </c>
      <c r="S323" s="13">
        <v>-0.65827563657783339</v>
      </c>
      <c r="T323" s="13">
        <v>-0.38701334167145035</v>
      </c>
      <c r="U323" s="13">
        <v>-0.97147593281607902</v>
      </c>
      <c r="V323" s="13">
        <v>0.54594535023295765</v>
      </c>
      <c r="W323" s="13">
        <v>0.25444417792516932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</row>
    <row r="324" spans="1:29" x14ac:dyDescent="0.25">
      <c r="A324" s="3">
        <v>1.2376623378635799E+18</v>
      </c>
      <c r="B324" s="3">
        <v>235.90980999999999</v>
      </c>
      <c r="C324" s="3">
        <v>35.747709999999998</v>
      </c>
      <c r="D324" s="16">
        <v>0.51307579999999997</v>
      </c>
      <c r="E324" s="3">
        <v>0.80823999999999785</v>
      </c>
      <c r="F324" s="3">
        <v>2.6162299999999981</v>
      </c>
      <c r="G324" s="3">
        <v>3.48048</v>
      </c>
      <c r="H324" s="3">
        <v>3.9831099999999999</v>
      </c>
      <c r="I324" s="3">
        <v>1.8079900000000002</v>
      </c>
      <c r="J324" s="3">
        <v>2.6722400000000022</v>
      </c>
      <c r="K324" s="3">
        <v>3.1748700000000021</v>
      </c>
      <c r="L324" s="3">
        <v>0.86425000000000196</v>
      </c>
      <c r="M324" s="3">
        <v>1.3668800000000019</v>
      </c>
      <c r="N324" s="3">
        <v>0.50262999999999991</v>
      </c>
      <c r="Q324" s="13">
        <v>-1.1437120848230997</v>
      </c>
      <c r="R324" s="13">
        <v>1.0755954910916863</v>
      </c>
      <c r="S324" s="13">
        <v>2.0105384037789116</v>
      </c>
      <c r="T324" s="13">
        <v>0.17415155011385761</v>
      </c>
      <c r="U324" s="13">
        <v>-0.16790359868970015</v>
      </c>
      <c r="V324" s="13">
        <v>-0.1889576220122165</v>
      </c>
      <c r="W324" s="13">
        <v>-0.19291340983744479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</row>
    <row r="325" spans="1:29" x14ac:dyDescent="0.25">
      <c r="A325" s="3">
        <v>1.2376623378635799E+18</v>
      </c>
      <c r="B325" s="3">
        <v>235.90980999999999</v>
      </c>
      <c r="C325" s="3">
        <v>35.747709999999998</v>
      </c>
      <c r="D325" s="16">
        <v>0.51317179999999996</v>
      </c>
      <c r="E325" s="3">
        <v>0.80823999999999785</v>
      </c>
      <c r="F325" s="3">
        <v>2.6162299999999981</v>
      </c>
      <c r="G325" s="3">
        <v>3.48048</v>
      </c>
      <c r="H325" s="3">
        <v>3.9831099999999999</v>
      </c>
      <c r="I325" s="3">
        <v>1.8079900000000002</v>
      </c>
      <c r="J325" s="3">
        <v>2.6722400000000022</v>
      </c>
      <c r="K325" s="3">
        <v>3.1748700000000021</v>
      </c>
      <c r="L325" s="3">
        <v>0.86425000000000196</v>
      </c>
      <c r="M325" s="3">
        <v>1.3668800000000019</v>
      </c>
      <c r="N325" s="3">
        <v>0.50262999999999991</v>
      </c>
      <c r="Q325" s="13">
        <v>-2.1099024879174695</v>
      </c>
      <c r="R325" s="13">
        <v>-2.6054177282487627</v>
      </c>
      <c r="S325" s="13">
        <v>-0.96468766794080396</v>
      </c>
      <c r="T325" s="13">
        <v>-1.1227578232934095</v>
      </c>
      <c r="U325" s="13">
        <v>0.80418482160397242</v>
      </c>
      <c r="V325" s="13">
        <v>0.14316232811234803</v>
      </c>
      <c r="W325" s="13">
        <v>-0.2012203531504112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</row>
    <row r="326" spans="1:29" x14ac:dyDescent="0.25">
      <c r="A326" s="3">
        <v>1.23766247369074E+18</v>
      </c>
      <c r="B326" s="3">
        <v>235.84210999999999</v>
      </c>
      <c r="C326" s="3">
        <v>36.522838999999998</v>
      </c>
      <c r="D326" s="16">
        <v>0.52174149999999997</v>
      </c>
      <c r="E326" s="3">
        <v>1.9109599999999993</v>
      </c>
      <c r="F326" s="3">
        <v>3.3784999999999989</v>
      </c>
      <c r="G326" s="3">
        <v>4.3614800000000002</v>
      </c>
      <c r="H326" s="3">
        <v>4.6940600000000003</v>
      </c>
      <c r="I326" s="3">
        <v>1.4675399999999996</v>
      </c>
      <c r="J326" s="3">
        <v>2.4505200000000009</v>
      </c>
      <c r="K326" s="3">
        <v>2.783100000000001</v>
      </c>
      <c r="L326" s="3">
        <v>0.9829800000000013</v>
      </c>
      <c r="M326" s="3">
        <v>1.3155600000000014</v>
      </c>
      <c r="N326" s="3">
        <v>0.3325800000000001</v>
      </c>
      <c r="Q326" s="13">
        <v>-4.1476752691185323</v>
      </c>
      <c r="R326" s="13">
        <v>-4.8766817341948219</v>
      </c>
      <c r="S326" s="13">
        <v>0.86701165097905675</v>
      </c>
      <c r="T326" s="13">
        <v>0.51677227439224394</v>
      </c>
      <c r="U326" s="13">
        <v>0.34055667410120299</v>
      </c>
      <c r="V326" s="13">
        <v>-2.4664826874092594E-2</v>
      </c>
      <c r="W326" s="13">
        <v>-0.14734437260834318</v>
      </c>
      <c r="X326" s="13">
        <v>0</v>
      </c>
      <c r="Y326" s="13">
        <v>0</v>
      </c>
      <c r="Z326" s="13">
        <v>0</v>
      </c>
      <c r="AA326" s="13">
        <v>0</v>
      </c>
      <c r="AB326" s="13">
        <v>0</v>
      </c>
      <c r="AC326" s="13">
        <v>0</v>
      </c>
    </row>
    <row r="327" spans="1:29" x14ac:dyDescent="0.25">
      <c r="A327" s="3">
        <v>1.2376624736911301E+18</v>
      </c>
      <c r="B327" s="3">
        <v>236.69861</v>
      </c>
      <c r="C327" s="3">
        <v>35.951822999999997</v>
      </c>
      <c r="D327" s="16">
        <v>0.5257349</v>
      </c>
      <c r="E327" s="3">
        <v>0.82813999999999766</v>
      </c>
      <c r="F327" s="3">
        <v>2.6037700000000008</v>
      </c>
      <c r="G327" s="3">
        <v>3.4088899999999995</v>
      </c>
      <c r="H327" s="3">
        <v>3.7686799999999998</v>
      </c>
      <c r="I327" s="3">
        <v>1.7756300000000032</v>
      </c>
      <c r="J327" s="3">
        <v>2.5807500000000019</v>
      </c>
      <c r="K327" s="3">
        <v>2.9405400000000022</v>
      </c>
      <c r="L327" s="3">
        <v>0.80511999999999873</v>
      </c>
      <c r="M327" s="3">
        <v>1.164909999999999</v>
      </c>
      <c r="N327" s="3">
        <v>0.35979000000000028</v>
      </c>
      <c r="Q327" s="13">
        <v>-4.1477986253790169</v>
      </c>
      <c r="R327" s="13">
        <v>-4.8766099019274876</v>
      </c>
      <c r="S327" s="13">
        <v>0.86700345732919237</v>
      </c>
      <c r="T327" s="13">
        <v>0.51677808456555741</v>
      </c>
      <c r="U327" s="13">
        <v>0.34061821456893532</v>
      </c>
      <c r="V327" s="13">
        <v>-2.4452457085850803E-2</v>
      </c>
      <c r="W327" s="13">
        <v>-0.14761877619537001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</row>
    <row r="328" spans="1:29" x14ac:dyDescent="0.25">
      <c r="A328" s="3">
        <v>1.2376614659862001E+18</v>
      </c>
      <c r="B328" s="3">
        <v>236.08600999999999</v>
      </c>
      <c r="C328" s="3">
        <v>35.839691000000002</v>
      </c>
      <c r="D328" s="16">
        <v>0.52591169999999998</v>
      </c>
      <c r="E328" s="3">
        <v>1.2871799999999993</v>
      </c>
      <c r="F328" s="3">
        <v>2.4778099999999981</v>
      </c>
      <c r="G328" s="3">
        <v>3.4781300000000002</v>
      </c>
      <c r="H328" s="3">
        <v>3.5588699999999989</v>
      </c>
      <c r="I328" s="3">
        <v>1.1906299999999987</v>
      </c>
      <c r="J328" s="3">
        <v>2.1909500000000008</v>
      </c>
      <c r="K328" s="3">
        <v>2.2716899999999995</v>
      </c>
      <c r="L328" s="3">
        <v>1.0003200000000021</v>
      </c>
      <c r="M328" s="3">
        <v>1.0810600000000008</v>
      </c>
      <c r="N328" s="3">
        <v>8.0739999999998702E-2</v>
      </c>
      <c r="Q328" s="13">
        <v>-3.3823134437576297</v>
      </c>
      <c r="R328" s="13">
        <v>-3.3525071184806503</v>
      </c>
      <c r="S328" s="13">
        <v>0.73194162234373961</v>
      </c>
      <c r="T328" s="13">
        <v>0.52958539435279384</v>
      </c>
      <c r="U328" s="13">
        <v>0.47843586186047549</v>
      </c>
      <c r="V328" s="13">
        <v>-9.8116755038010275E-2</v>
      </c>
      <c r="W328" s="13">
        <v>-0.11996552954842055</v>
      </c>
      <c r="X328" s="13">
        <v>0</v>
      </c>
      <c r="Y328" s="13">
        <v>0</v>
      </c>
      <c r="Z328" s="13">
        <v>0</v>
      </c>
      <c r="AA328" s="13">
        <v>0</v>
      </c>
      <c r="AB328" s="13">
        <v>0</v>
      </c>
      <c r="AC328" s="13">
        <v>0</v>
      </c>
    </row>
    <row r="329" spans="1:29" x14ac:dyDescent="0.25">
      <c r="A329" s="3">
        <v>1.2376624736911301E+18</v>
      </c>
      <c r="B329" s="3">
        <v>236.73108999999999</v>
      </c>
      <c r="C329" s="3">
        <v>36.068480999999998</v>
      </c>
      <c r="D329" s="16">
        <v>0.52675000000000005</v>
      </c>
      <c r="E329" s="3">
        <v>2.237999999999829E-2</v>
      </c>
      <c r="F329" s="3">
        <v>2.6121099999999977</v>
      </c>
      <c r="G329" s="3">
        <v>3.688679999999998</v>
      </c>
      <c r="H329" s="3">
        <v>4.0405300000000004</v>
      </c>
      <c r="I329" s="3">
        <v>2.5897299999999994</v>
      </c>
      <c r="J329" s="3">
        <v>3.6662999999999997</v>
      </c>
      <c r="K329" s="3">
        <v>4.0181500000000021</v>
      </c>
      <c r="L329" s="3">
        <v>1.0765700000000002</v>
      </c>
      <c r="M329" s="3">
        <v>1.4284200000000027</v>
      </c>
      <c r="N329" s="3">
        <v>0.35185000000000244</v>
      </c>
      <c r="Q329" s="13">
        <v>-3.3824955532060881</v>
      </c>
      <c r="R329" s="13">
        <v>-3.3524010733189757</v>
      </c>
      <c r="S329" s="13">
        <v>0.73192952615136242</v>
      </c>
      <c r="T329" s="13">
        <v>0.5295939718457674</v>
      </c>
      <c r="U329" s="13">
        <v>0.47852671335510671</v>
      </c>
      <c r="V329" s="13">
        <v>-9.7803235927945167E-2</v>
      </c>
      <c r="W329" s="13">
        <v>-0.12037062845215427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</row>
    <row r="330" spans="1:29" x14ac:dyDescent="0.25">
      <c r="A330" s="3">
        <v>1.23766250375584E+18</v>
      </c>
      <c r="B330" s="3">
        <v>236.86367999999999</v>
      </c>
      <c r="C330" s="3">
        <v>36.247342000000003</v>
      </c>
      <c r="D330" s="16">
        <v>0.5274221</v>
      </c>
      <c r="E330" s="3">
        <v>1.0399199999999986</v>
      </c>
      <c r="F330" s="3">
        <v>2.8054600000000001</v>
      </c>
      <c r="G330" s="3">
        <v>3.8454999999999977</v>
      </c>
      <c r="H330" s="3">
        <v>4.3072599999999994</v>
      </c>
      <c r="I330" s="3">
        <v>1.7655400000000014</v>
      </c>
      <c r="J330" s="3">
        <v>2.8055799999999991</v>
      </c>
      <c r="K330" s="3">
        <v>3.2673400000000008</v>
      </c>
      <c r="L330" s="3">
        <v>1.0400399999999976</v>
      </c>
      <c r="M330" s="3">
        <v>1.5017999999999994</v>
      </c>
      <c r="N330" s="3">
        <v>0.46176000000000172</v>
      </c>
      <c r="Q330" s="13">
        <v>-1.3372914844307426</v>
      </c>
      <c r="R330" s="13">
        <v>-0.11078549582929929</v>
      </c>
      <c r="S330" s="13">
        <v>-0.62837551715174567</v>
      </c>
      <c r="T330" s="13">
        <v>-1.5943743455447987</v>
      </c>
      <c r="U330" s="13">
        <v>-0.2614355817151291</v>
      </c>
      <c r="V330" s="13">
        <v>5.2871552677954473E-2</v>
      </c>
      <c r="W330" s="13">
        <v>-0.24875638146069254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</row>
    <row r="331" spans="1:29" x14ac:dyDescent="0.25">
      <c r="A331" s="3">
        <v>1.2376625037558999E+18</v>
      </c>
      <c r="B331" s="3">
        <v>236.86318</v>
      </c>
      <c r="C331" s="3">
        <v>36.162860000000002</v>
      </c>
      <c r="D331" s="16">
        <v>0.52834449999999999</v>
      </c>
      <c r="E331" s="3">
        <v>1.5045399999999987</v>
      </c>
      <c r="F331" s="3">
        <v>2.8871099999999998</v>
      </c>
      <c r="G331" s="3">
        <v>3.8932600000000015</v>
      </c>
      <c r="H331" s="3">
        <v>4.3489000000000004</v>
      </c>
      <c r="I331" s="3">
        <v>1.3825700000000012</v>
      </c>
      <c r="J331" s="3">
        <v>2.3887200000000028</v>
      </c>
      <c r="K331" s="3">
        <v>2.8443600000000018</v>
      </c>
      <c r="L331" s="3">
        <v>1.0061500000000017</v>
      </c>
      <c r="M331" s="3">
        <v>1.4617900000000006</v>
      </c>
      <c r="N331" s="3">
        <v>0.45563999999999893</v>
      </c>
      <c r="Q331" s="13">
        <v>-1.5125557887453449</v>
      </c>
      <c r="R331" s="13">
        <v>0.89315225612437898</v>
      </c>
      <c r="S331" s="13">
        <v>0.70266093634402438</v>
      </c>
      <c r="T331" s="13">
        <v>-0.20576452922962543</v>
      </c>
      <c r="U331" s="13">
        <v>-0.43634798398801444</v>
      </c>
      <c r="V331" s="13">
        <v>-6.5116457576438802E-2</v>
      </c>
      <c r="W331" s="13">
        <v>-4.8936739541759235E-2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</row>
    <row r="332" spans="1:29" x14ac:dyDescent="0.25">
      <c r="A332" s="3">
        <v>1.2376625037556401E+18</v>
      </c>
      <c r="B332" s="3">
        <v>236.33627000000001</v>
      </c>
      <c r="C332" s="3">
        <v>36.486868999999999</v>
      </c>
      <c r="D332" s="16">
        <v>0.52961060000000004</v>
      </c>
      <c r="E332" s="3">
        <v>2.4346200000000024</v>
      </c>
      <c r="F332" s="3">
        <v>4.0475500000000011</v>
      </c>
      <c r="G332" s="3">
        <v>5.0888400000000011</v>
      </c>
      <c r="H332" s="3">
        <v>5.5393700000000017</v>
      </c>
      <c r="I332" s="3">
        <v>1.6129299999999986</v>
      </c>
      <c r="J332" s="3">
        <v>2.6542199999999987</v>
      </c>
      <c r="K332" s="3">
        <v>3.1047499999999992</v>
      </c>
      <c r="L332" s="3">
        <v>1.04129</v>
      </c>
      <c r="M332" s="3">
        <v>1.4918200000000006</v>
      </c>
      <c r="N332" s="3">
        <v>0.45053000000000054</v>
      </c>
      <c r="Q332" s="13">
        <v>-1.5126647746373345</v>
      </c>
      <c r="R332" s="13">
        <v>0.89321572030283924</v>
      </c>
      <c r="S332" s="13">
        <v>0.70265369721213378</v>
      </c>
      <c r="T332" s="13">
        <v>-0.20575939591155404</v>
      </c>
      <c r="U332" s="13">
        <v>-0.43629361266755418</v>
      </c>
      <c r="V332" s="13">
        <v>-6.4928827773837322E-2</v>
      </c>
      <c r="W332" s="13">
        <v>-4.9179176525348769E-2</v>
      </c>
      <c r="X332" s="13">
        <v>0</v>
      </c>
      <c r="Y332" s="13">
        <v>0</v>
      </c>
      <c r="Z332" s="13">
        <v>0</v>
      </c>
      <c r="AA332" s="13">
        <v>0</v>
      </c>
      <c r="AB332" s="13">
        <v>0</v>
      </c>
      <c r="AC332" s="13">
        <v>0</v>
      </c>
    </row>
    <row r="333" spans="1:29" x14ac:dyDescent="0.25">
      <c r="A333" s="3">
        <v>1.2376625037556401E+18</v>
      </c>
      <c r="B333" s="3">
        <v>236.33627000000001</v>
      </c>
      <c r="C333" s="3">
        <v>36.486868999999999</v>
      </c>
      <c r="D333" s="16">
        <v>0.52992499999999998</v>
      </c>
      <c r="E333" s="3">
        <v>2.4346200000000024</v>
      </c>
      <c r="F333" s="3">
        <v>4.0475500000000011</v>
      </c>
      <c r="G333" s="3">
        <v>5.0888400000000011</v>
      </c>
      <c r="H333" s="3">
        <v>5.5393700000000017</v>
      </c>
      <c r="I333" s="3">
        <v>1.6129299999999986</v>
      </c>
      <c r="J333" s="3">
        <v>2.6542199999999987</v>
      </c>
      <c r="K333" s="3">
        <v>3.1047499999999992</v>
      </c>
      <c r="L333" s="3">
        <v>1.04129</v>
      </c>
      <c r="M333" s="3">
        <v>1.4918200000000006</v>
      </c>
      <c r="N333" s="3">
        <v>0.45053000000000054</v>
      </c>
      <c r="Q333" s="13">
        <v>-2.8125349687209549</v>
      </c>
      <c r="R333" s="13">
        <v>0.56014391061917146</v>
      </c>
      <c r="S333" s="13">
        <v>1.1319512581411784</v>
      </c>
      <c r="T333" s="13">
        <v>7.0859559300297914E-2</v>
      </c>
      <c r="U333" s="13">
        <v>-0.69575212480569193</v>
      </c>
      <c r="V333" s="13">
        <v>-0.62672198615103947</v>
      </c>
      <c r="W333" s="13">
        <v>-0.10583531796753898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</row>
    <row r="334" spans="1:29" x14ac:dyDescent="0.25">
      <c r="A334" s="3">
        <v>1.23766247422781E+18</v>
      </c>
      <c r="B334" s="3">
        <v>236.60076000000001</v>
      </c>
      <c r="C334" s="3">
        <v>36.570005000000002</v>
      </c>
      <c r="D334" s="16">
        <v>0.53062200000000004</v>
      </c>
      <c r="E334" s="3">
        <v>1.0395200000000031</v>
      </c>
      <c r="F334" s="3">
        <v>2.5523699999999998</v>
      </c>
      <c r="G334" s="3">
        <v>3.5011800000000015</v>
      </c>
      <c r="H334" s="3">
        <v>3.941080000000003</v>
      </c>
      <c r="I334" s="3">
        <v>1.5128499999999967</v>
      </c>
      <c r="J334" s="3">
        <v>2.4616599999999984</v>
      </c>
      <c r="K334" s="3">
        <v>2.9015599999999999</v>
      </c>
      <c r="L334" s="3">
        <v>0.94881000000000171</v>
      </c>
      <c r="M334" s="3">
        <v>1.3887100000000032</v>
      </c>
      <c r="N334" s="3">
        <v>0.43990000000000151</v>
      </c>
      <c r="Q334" s="13">
        <v>-0.83531376756518494</v>
      </c>
      <c r="R334" s="13">
        <v>1.2405513813793787</v>
      </c>
      <c r="S334" s="13">
        <v>0.64040124530561171</v>
      </c>
      <c r="T334" s="13">
        <v>0.26317605815148937</v>
      </c>
      <c r="U334" s="13">
        <v>-0.6226446562753265</v>
      </c>
      <c r="V334" s="13">
        <v>0.69290005575246527</v>
      </c>
      <c r="W334" s="13">
        <v>0.23551091466869076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</row>
    <row r="335" spans="1:29" x14ac:dyDescent="0.25">
      <c r="A335" s="3">
        <v>1.23766146598607E+18</v>
      </c>
      <c r="B335" s="3">
        <v>235.89977999999999</v>
      </c>
      <c r="C335" s="3">
        <v>36.042614999999998</v>
      </c>
      <c r="D335" s="16">
        <v>0.53627650000000004</v>
      </c>
      <c r="E335" s="3">
        <v>2.0813400000000009</v>
      </c>
      <c r="F335" s="3">
        <v>3.8383600000000015</v>
      </c>
      <c r="G335" s="3">
        <v>4.8928200000000004</v>
      </c>
      <c r="H335" s="3">
        <v>5.5482000000000014</v>
      </c>
      <c r="I335" s="3">
        <v>1.7570200000000007</v>
      </c>
      <c r="J335" s="3">
        <v>2.8114799999999995</v>
      </c>
      <c r="K335" s="3">
        <v>3.4668600000000005</v>
      </c>
      <c r="L335" s="3">
        <v>1.0544599999999988</v>
      </c>
      <c r="M335" s="3">
        <v>1.7098399999999998</v>
      </c>
      <c r="N335" s="3">
        <v>0.65538000000000096</v>
      </c>
      <c r="Q335" s="13">
        <v>-0.8355340284344086</v>
      </c>
      <c r="R335" s="13">
        <v>1.2406796427062101</v>
      </c>
      <c r="S335" s="13">
        <v>0.64038661499471916</v>
      </c>
      <c r="T335" s="13">
        <v>0.26318643260528174</v>
      </c>
      <c r="U335" s="13">
        <v>-0.62253477164634519</v>
      </c>
      <c r="V335" s="13">
        <v>0.69327925624033604</v>
      </c>
      <c r="W335" s="13">
        <v>0.23502094867618581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</row>
    <row r="336" spans="1:29" x14ac:dyDescent="0.25">
      <c r="A336" s="3">
        <v>1.2376624731539999E+18</v>
      </c>
      <c r="B336" s="3">
        <v>235.90816000000001</v>
      </c>
      <c r="C336" s="3">
        <v>36.137295000000002</v>
      </c>
      <c r="D336" s="16">
        <v>0.53643940000000001</v>
      </c>
      <c r="E336" s="3">
        <v>1.2640600000000006</v>
      </c>
      <c r="F336" s="3">
        <v>3.0131100000000011</v>
      </c>
      <c r="G336" s="3">
        <v>3.8672199999999997</v>
      </c>
      <c r="H336" s="3">
        <v>4.2782000000000018</v>
      </c>
      <c r="I336" s="3">
        <v>1.7490500000000004</v>
      </c>
      <c r="J336" s="3">
        <v>2.603159999999999</v>
      </c>
      <c r="K336" s="3">
        <v>3.0141400000000012</v>
      </c>
      <c r="L336" s="3">
        <v>0.85410999999999859</v>
      </c>
      <c r="M336" s="3">
        <v>1.2650900000000007</v>
      </c>
      <c r="N336" s="3">
        <v>0.41098000000000212</v>
      </c>
      <c r="Q336" s="13">
        <v>-3.0082203081931698</v>
      </c>
      <c r="R336" s="13">
        <v>-2.4009456530834941</v>
      </c>
      <c r="S336" s="13">
        <v>2.513241492666741</v>
      </c>
      <c r="T336" s="13">
        <v>0.41936187161193111</v>
      </c>
      <c r="U336" s="13">
        <v>0.83088097837743136</v>
      </c>
      <c r="V336" s="13">
        <v>0.14407734531078403</v>
      </c>
      <c r="W336" s="13">
        <v>0.10529209614094358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</row>
    <row r="337" spans="1:29" x14ac:dyDescent="0.25">
      <c r="A337" s="3">
        <v>1.2376624736911301E+18</v>
      </c>
      <c r="B337" s="3">
        <v>236.72568999999999</v>
      </c>
      <c r="C337" s="3">
        <v>36.086035000000003</v>
      </c>
      <c r="D337" s="16">
        <v>0.53951959999999999</v>
      </c>
      <c r="E337" s="3">
        <v>2.6192099999999989</v>
      </c>
      <c r="F337" s="3">
        <v>4.4450900000000004</v>
      </c>
      <c r="G337" s="3">
        <v>5.6276100000000007</v>
      </c>
      <c r="H337" s="3">
        <v>6.0324500000000008</v>
      </c>
      <c r="I337" s="3">
        <v>1.8258800000000015</v>
      </c>
      <c r="J337" s="3">
        <v>3.0084000000000017</v>
      </c>
      <c r="K337" s="3">
        <v>3.4132400000000018</v>
      </c>
      <c r="L337" s="3">
        <v>1.1825200000000002</v>
      </c>
      <c r="M337" s="3">
        <v>1.5873600000000003</v>
      </c>
      <c r="N337" s="3">
        <v>0.40484000000000009</v>
      </c>
      <c r="Q337" s="13">
        <v>-3.7330650141548238</v>
      </c>
      <c r="R337" s="13">
        <v>-2.0533257714446895</v>
      </c>
      <c r="S337" s="13">
        <v>1.5705982909947021</v>
      </c>
      <c r="T337" s="13">
        <v>6.729863174296323E-2</v>
      </c>
      <c r="U337" s="13">
        <v>-2.55737713226006</v>
      </c>
      <c r="V337" s="13">
        <v>0.58716881539019494</v>
      </c>
      <c r="W337" s="13">
        <v>0.11812319452238083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</row>
    <row r="338" spans="1:29" x14ac:dyDescent="0.25">
      <c r="A338" s="3">
        <v>1.2376614659863301E+18</v>
      </c>
      <c r="B338" s="3">
        <v>236.49252999999999</v>
      </c>
      <c r="C338" s="3">
        <v>35.737130000000001</v>
      </c>
      <c r="D338" s="16">
        <v>0.54048229999999997</v>
      </c>
      <c r="E338" s="3">
        <v>1.6594900000000017</v>
      </c>
      <c r="F338" s="3">
        <v>3.1494300000000024</v>
      </c>
      <c r="G338" s="3">
        <v>4.2224600000000017</v>
      </c>
      <c r="H338" s="3">
        <v>4.8844999999999992</v>
      </c>
      <c r="I338" s="3">
        <v>1.4899400000000007</v>
      </c>
      <c r="J338" s="3">
        <v>2.56297</v>
      </c>
      <c r="K338" s="3">
        <v>3.2250099999999975</v>
      </c>
      <c r="L338" s="3">
        <v>1.0730299999999993</v>
      </c>
      <c r="M338" s="3">
        <v>1.7350699999999968</v>
      </c>
      <c r="N338" s="3">
        <v>0.66203999999999752</v>
      </c>
      <c r="Q338" s="13">
        <v>-3.7334312677941806</v>
      </c>
      <c r="R338" s="13">
        <v>-2.0531124962591978</v>
      </c>
      <c r="S338" s="13">
        <v>1.5705739634569589</v>
      </c>
      <c r="T338" s="13">
        <v>6.7315882566820417E-2</v>
      </c>
      <c r="U338" s="13">
        <v>-2.5571944141703007</v>
      </c>
      <c r="V338" s="13">
        <v>0.58779935661713922</v>
      </c>
      <c r="W338" s="13">
        <v>0.11730847047017925</v>
      </c>
      <c r="X338" s="13">
        <v>0</v>
      </c>
      <c r="Y338" s="13">
        <v>0</v>
      </c>
      <c r="Z338" s="13">
        <v>0</v>
      </c>
      <c r="AA338" s="13">
        <v>0</v>
      </c>
      <c r="AB338" s="13">
        <v>0</v>
      </c>
      <c r="AC338" s="13">
        <v>0</v>
      </c>
    </row>
    <row r="339" spans="1:29" x14ac:dyDescent="0.25">
      <c r="A339" s="3">
        <v>1.2376623378636401E+18</v>
      </c>
      <c r="B339" s="3">
        <v>235.91525999999999</v>
      </c>
      <c r="C339" s="3">
        <v>35.668117000000002</v>
      </c>
      <c r="D339" s="16">
        <v>0.54120729999999995</v>
      </c>
      <c r="E339" s="3">
        <v>1.1325000000000003</v>
      </c>
      <c r="F339" s="3">
        <v>2.8493700000000004</v>
      </c>
      <c r="G339" s="3">
        <v>3.8497500000000002</v>
      </c>
      <c r="H339" s="3">
        <v>4.4014300000000013</v>
      </c>
      <c r="I339" s="3">
        <v>1.7168700000000001</v>
      </c>
      <c r="J339" s="3">
        <v>2.7172499999999999</v>
      </c>
      <c r="K339" s="3">
        <v>3.268930000000001</v>
      </c>
      <c r="L339" s="3">
        <v>1.0003799999999998</v>
      </c>
      <c r="M339" s="3">
        <v>1.5520600000000009</v>
      </c>
      <c r="N339" s="3">
        <v>0.55168000000000106</v>
      </c>
      <c r="Q339" s="13">
        <v>-0.13127252558089267</v>
      </c>
      <c r="R339" s="13">
        <v>2.949041020180744</v>
      </c>
      <c r="S339" s="13">
        <v>0.1422516221974546</v>
      </c>
      <c r="T339" s="13">
        <v>-0.75031637210738156</v>
      </c>
      <c r="U339" s="13">
        <v>-1.2800204948733029</v>
      </c>
      <c r="V339" s="13">
        <v>0.72053487640854397</v>
      </c>
      <c r="W339" s="13">
        <v>0.2194683113001287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</row>
    <row r="340" spans="1:29" x14ac:dyDescent="0.25">
      <c r="A340" s="3">
        <v>1.2376623378636401E+18</v>
      </c>
      <c r="B340" s="3">
        <v>235.91525999999999</v>
      </c>
      <c r="C340" s="3">
        <v>35.668117000000002</v>
      </c>
      <c r="D340" s="16">
        <v>0.54141649999999997</v>
      </c>
      <c r="E340" s="3">
        <v>1.1325000000000003</v>
      </c>
      <c r="F340" s="3">
        <v>2.8493700000000004</v>
      </c>
      <c r="G340" s="3">
        <v>3.8497500000000002</v>
      </c>
      <c r="H340" s="3">
        <v>4.4014300000000013</v>
      </c>
      <c r="I340" s="3">
        <v>1.7168700000000001</v>
      </c>
      <c r="J340" s="3">
        <v>2.7172499999999999</v>
      </c>
      <c r="K340" s="3">
        <v>3.268930000000001</v>
      </c>
      <c r="L340" s="3">
        <v>1.0003799999999998</v>
      </c>
      <c r="M340" s="3">
        <v>1.5520600000000009</v>
      </c>
      <c r="N340" s="3">
        <v>0.55168000000000106</v>
      </c>
      <c r="Q340" s="13">
        <v>-0.81632510397969682</v>
      </c>
      <c r="R340" s="13">
        <v>1.4512828248474787</v>
      </c>
      <c r="S340" s="13">
        <v>1.2290502586111807</v>
      </c>
      <c r="T340" s="13">
        <v>-0.50101831731332802</v>
      </c>
      <c r="U340" s="13">
        <v>-5.5479231160930759E-2</v>
      </c>
      <c r="V340" s="13">
        <v>-0.3008084438112944</v>
      </c>
      <c r="W340" s="13">
        <v>-0.40950648719074995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</row>
    <row r="341" spans="1:29" x14ac:dyDescent="0.25">
      <c r="A341" s="3">
        <v>1.2376614659862001E+18</v>
      </c>
      <c r="B341" s="3">
        <v>236.13220999999999</v>
      </c>
      <c r="C341" s="3">
        <v>35.763306999999998</v>
      </c>
      <c r="D341" s="16">
        <v>0.54212579999999999</v>
      </c>
      <c r="E341" s="3">
        <v>2.6087200000000017</v>
      </c>
      <c r="F341" s="3">
        <v>4.3053200000000018</v>
      </c>
      <c r="G341" s="3">
        <v>5.2240600000000015</v>
      </c>
      <c r="H341" s="3">
        <v>5.8027499999999996</v>
      </c>
      <c r="I341" s="3">
        <v>1.6966000000000001</v>
      </c>
      <c r="J341" s="3">
        <v>2.6153399999999998</v>
      </c>
      <c r="K341" s="3">
        <v>3.1940299999999979</v>
      </c>
      <c r="L341" s="3">
        <v>0.91873999999999967</v>
      </c>
      <c r="M341" s="3">
        <v>1.4974299999999978</v>
      </c>
      <c r="N341" s="3">
        <v>0.57868999999999815</v>
      </c>
      <c r="Q341" s="13">
        <v>-1.3308726397761246</v>
      </c>
      <c r="R341" s="13">
        <v>0.10434101870505745</v>
      </c>
      <c r="S341" s="13">
        <v>-0.63457643799186048</v>
      </c>
      <c r="T341" s="13">
        <v>-0.71233859461778115</v>
      </c>
      <c r="U341" s="13">
        <v>0.44252081073896693</v>
      </c>
      <c r="V341" s="13">
        <v>0.30540401363171937</v>
      </c>
      <c r="W341" s="13">
        <v>9.2667130789451199E-2</v>
      </c>
      <c r="X341" s="13">
        <v>0</v>
      </c>
      <c r="Y341" s="13">
        <v>0</v>
      </c>
      <c r="Z341" s="13">
        <v>0</v>
      </c>
      <c r="AA341" s="13">
        <v>0</v>
      </c>
      <c r="AB341" s="13">
        <v>0</v>
      </c>
      <c r="AC341" s="13">
        <v>0</v>
      </c>
    </row>
    <row r="342" spans="1:29" x14ac:dyDescent="0.25">
      <c r="A342" s="3">
        <v>1.2376614659862001E+18</v>
      </c>
      <c r="B342" s="3">
        <v>236.06861000000001</v>
      </c>
      <c r="C342" s="3">
        <v>35.751274000000002</v>
      </c>
      <c r="D342" s="16">
        <v>0.54225440000000003</v>
      </c>
      <c r="E342" s="3">
        <v>4.1862099999999991</v>
      </c>
      <c r="F342" s="3">
        <v>5.7881099999999996</v>
      </c>
      <c r="G342" s="3">
        <v>6.8258499999999991</v>
      </c>
      <c r="H342" s="3">
        <v>7.3196900000000014</v>
      </c>
      <c r="I342" s="3">
        <v>1.6019000000000005</v>
      </c>
      <c r="J342" s="3">
        <v>2.63964</v>
      </c>
      <c r="K342" s="3">
        <v>3.1334800000000023</v>
      </c>
      <c r="L342" s="3">
        <v>1.0377399999999994</v>
      </c>
      <c r="M342" s="3">
        <v>1.5315800000000017</v>
      </c>
      <c r="N342" s="3">
        <v>0.49384000000000228</v>
      </c>
      <c r="Q342" s="13">
        <v>0.29571620778323315</v>
      </c>
      <c r="R342" s="13">
        <v>1.6539431175637058</v>
      </c>
      <c r="S342" s="13">
        <v>-0.67792180774907063</v>
      </c>
      <c r="T342" s="13">
        <v>-1.2066381604025935</v>
      </c>
      <c r="U342" s="13">
        <v>-0.14231901283048276</v>
      </c>
      <c r="V342" s="13">
        <v>0.50883405807361182</v>
      </c>
      <c r="W342" s="13">
        <v>-0.2186458398966693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</row>
    <row r="343" spans="1:29" x14ac:dyDescent="0.25">
      <c r="A343" s="3">
        <v>1.2376614659862001E+18</v>
      </c>
      <c r="B343" s="3">
        <v>236.06861000000001</v>
      </c>
      <c r="C343" s="3">
        <v>35.751274000000002</v>
      </c>
      <c r="D343" s="16">
        <v>0.54251059999999995</v>
      </c>
      <c r="E343" s="3">
        <v>4.1862099999999991</v>
      </c>
      <c r="F343" s="3">
        <v>5.7881099999999996</v>
      </c>
      <c r="G343" s="3">
        <v>6.8258499999999991</v>
      </c>
      <c r="H343" s="3">
        <v>7.3196900000000014</v>
      </c>
      <c r="I343" s="3">
        <v>1.6019000000000005</v>
      </c>
      <c r="J343" s="3">
        <v>2.63964</v>
      </c>
      <c r="K343" s="3">
        <v>3.1334800000000023</v>
      </c>
      <c r="L343" s="3">
        <v>1.0377399999999994</v>
      </c>
      <c r="M343" s="3">
        <v>1.5315800000000017</v>
      </c>
      <c r="N343" s="3">
        <v>0.49384000000000228</v>
      </c>
      <c r="Q343" s="13">
        <v>-1.7669953247700902</v>
      </c>
      <c r="R343" s="13">
        <v>-0.56619153279661716</v>
      </c>
      <c r="S343" s="13">
        <v>-1.2985231355224147</v>
      </c>
      <c r="T343" s="13">
        <v>0.93496574164592072</v>
      </c>
      <c r="U343" s="13">
        <v>-0.24886040212758195</v>
      </c>
      <c r="V343" s="13">
        <v>0.56619999783927699</v>
      </c>
      <c r="W343" s="13">
        <v>0.19283386324722213</v>
      </c>
      <c r="X343" s="13">
        <v>0</v>
      </c>
      <c r="Y343" s="13">
        <v>0</v>
      </c>
      <c r="Z343" s="13">
        <v>0</v>
      </c>
      <c r="AA343" s="13">
        <v>0</v>
      </c>
      <c r="AB343" s="13">
        <v>0</v>
      </c>
      <c r="AC343" s="13">
        <v>0</v>
      </c>
    </row>
    <row r="344" spans="1:29" x14ac:dyDescent="0.25">
      <c r="A344" s="3">
        <v>1.2376614659863301E+18</v>
      </c>
      <c r="B344" s="3">
        <v>236.36223000000001</v>
      </c>
      <c r="C344" s="3">
        <v>35.749028000000003</v>
      </c>
      <c r="D344" s="16">
        <v>0.54267540000000003</v>
      </c>
      <c r="E344" s="3">
        <v>1.1587299999999985</v>
      </c>
      <c r="F344" s="3">
        <v>2.3996400000000015</v>
      </c>
      <c r="G344" s="3">
        <v>3.4312000000000005</v>
      </c>
      <c r="H344" s="3">
        <v>3.9796399999999998</v>
      </c>
      <c r="I344" s="3">
        <v>1.2409100000000031</v>
      </c>
      <c r="J344" s="3">
        <v>2.272470000000002</v>
      </c>
      <c r="K344" s="3">
        <v>2.8209100000000014</v>
      </c>
      <c r="L344" s="3">
        <v>1.0315599999999989</v>
      </c>
      <c r="M344" s="3">
        <v>1.5799999999999983</v>
      </c>
      <c r="N344" s="3">
        <v>0.54843999999999937</v>
      </c>
      <c r="Q344" s="13">
        <v>1.1567947394095943</v>
      </c>
      <c r="R344" s="13">
        <v>0.96711213687747377</v>
      </c>
      <c r="S344" s="13">
        <v>0.90784286498384192</v>
      </c>
      <c r="T344" s="13">
        <v>-0.68878152692364925</v>
      </c>
      <c r="U344" s="13">
        <v>-2.1328358396145188</v>
      </c>
      <c r="V344" s="13">
        <v>2.8483305335325264</v>
      </c>
      <c r="W344" s="13">
        <v>0.50842887001290482</v>
      </c>
      <c r="X344" s="13">
        <v>0</v>
      </c>
      <c r="Y344" s="13">
        <v>0</v>
      </c>
      <c r="Z344" s="13">
        <v>0</v>
      </c>
      <c r="AA344" s="13">
        <v>0</v>
      </c>
      <c r="AB344" s="13">
        <v>0</v>
      </c>
      <c r="AC344" s="13">
        <v>0</v>
      </c>
    </row>
    <row r="345" spans="1:29" x14ac:dyDescent="0.25">
      <c r="A345" s="3">
        <v>1.2376623378635799E+18</v>
      </c>
      <c r="B345" s="3">
        <v>235.88549</v>
      </c>
      <c r="C345" s="3">
        <v>35.751984999999998</v>
      </c>
      <c r="D345" s="16">
        <v>0.54372220000000004</v>
      </c>
      <c r="E345" s="3">
        <v>3.6625300000000003</v>
      </c>
      <c r="F345" s="3">
        <v>5.3276199999999996</v>
      </c>
      <c r="G345" s="3">
        <v>6.3872399999999985</v>
      </c>
      <c r="H345" s="3">
        <v>6.7395800000000001</v>
      </c>
      <c r="I345" s="3">
        <v>1.6650899999999993</v>
      </c>
      <c r="J345" s="3">
        <v>2.7247099999999982</v>
      </c>
      <c r="K345" s="3">
        <v>3.0770499999999998</v>
      </c>
      <c r="L345" s="3">
        <v>1.0596199999999989</v>
      </c>
      <c r="M345" s="3">
        <v>1.4119600000000005</v>
      </c>
      <c r="N345" s="3">
        <v>0.35234000000000165</v>
      </c>
      <c r="Q345" s="13">
        <v>-1.1696313001963359</v>
      </c>
      <c r="R345" s="13">
        <v>1.4908970753080368</v>
      </c>
      <c r="S345" s="13">
        <v>-1.8501351397251717</v>
      </c>
      <c r="T345" s="13">
        <v>-0.12260683750432273</v>
      </c>
      <c r="U345" s="13">
        <v>-0.40158306237091257</v>
      </c>
      <c r="V345" s="13">
        <v>-0.14934289346872015</v>
      </c>
      <c r="W345" s="13">
        <v>-0.15722265678179023</v>
      </c>
      <c r="X345" s="13">
        <v>0</v>
      </c>
      <c r="Y345" s="13">
        <v>0</v>
      </c>
      <c r="Z345" s="13">
        <v>0</v>
      </c>
      <c r="AA345" s="13">
        <v>0</v>
      </c>
      <c r="AB345" s="13">
        <v>0</v>
      </c>
      <c r="AC345" s="13">
        <v>0</v>
      </c>
    </row>
    <row r="346" spans="1:29" x14ac:dyDescent="0.25">
      <c r="A346" s="3">
        <v>1.23766146544926E+18</v>
      </c>
      <c r="B346" s="3">
        <v>235.65893</v>
      </c>
      <c r="C346" s="3">
        <v>35.619235000000003</v>
      </c>
      <c r="D346" s="16">
        <v>0.54387209999999997</v>
      </c>
      <c r="E346" s="3">
        <v>1.0089100000000002</v>
      </c>
      <c r="F346" s="3">
        <v>2.4879299999999986</v>
      </c>
      <c r="G346" s="3">
        <v>3.3021199999999986</v>
      </c>
      <c r="H346" s="3">
        <v>3.8823000000000008</v>
      </c>
      <c r="I346" s="3">
        <v>1.4790199999999984</v>
      </c>
      <c r="J346" s="3">
        <v>2.2932099999999984</v>
      </c>
      <c r="K346" s="3">
        <v>2.8733900000000006</v>
      </c>
      <c r="L346" s="3">
        <v>0.81418999999999997</v>
      </c>
      <c r="M346" s="3">
        <v>1.3943700000000021</v>
      </c>
      <c r="N346" s="3">
        <v>0.58018000000000214</v>
      </c>
      <c r="Q346" s="13">
        <v>-1.1697533847427879</v>
      </c>
      <c r="R346" s="13">
        <v>1.4909681670365331</v>
      </c>
      <c r="S346" s="13">
        <v>-1.8501432489044203</v>
      </c>
      <c r="T346" s="13">
        <v>-0.12260108722970363</v>
      </c>
      <c r="U346" s="13">
        <v>-0.40152215634099209</v>
      </c>
      <c r="V346" s="13">
        <v>-0.14913271305973802</v>
      </c>
      <c r="W346" s="13">
        <v>-0.15749423146585756</v>
      </c>
      <c r="X346" s="13">
        <v>0</v>
      </c>
      <c r="Y346" s="13">
        <v>0</v>
      </c>
      <c r="Z346" s="13">
        <v>0</v>
      </c>
      <c r="AA346" s="13">
        <v>0</v>
      </c>
      <c r="AB346" s="13">
        <v>0</v>
      </c>
      <c r="AC346" s="13">
        <v>0</v>
      </c>
    </row>
    <row r="347" spans="1:29" x14ac:dyDescent="0.25">
      <c r="A347" s="3">
        <v>1.2376614659862001E+18</v>
      </c>
      <c r="B347" s="3">
        <v>236.18845999999999</v>
      </c>
      <c r="C347" s="3">
        <v>35.844822000000001</v>
      </c>
      <c r="D347" s="16">
        <v>0.54441819999999996</v>
      </c>
      <c r="E347" s="3">
        <v>3.5982599999999998</v>
      </c>
      <c r="F347" s="3">
        <v>5.0877800000000022</v>
      </c>
      <c r="G347" s="3">
        <v>6.1357700000000008</v>
      </c>
      <c r="H347" s="3">
        <v>6.6929900000000018</v>
      </c>
      <c r="I347" s="3">
        <v>1.4895200000000024</v>
      </c>
      <c r="J347" s="3">
        <v>2.537510000000001</v>
      </c>
      <c r="K347" s="3">
        <v>3.094730000000002</v>
      </c>
      <c r="L347" s="3">
        <v>1.0479899999999986</v>
      </c>
      <c r="M347" s="3">
        <v>1.6052099999999996</v>
      </c>
      <c r="N347" s="3">
        <v>0.55722000000000094</v>
      </c>
      <c r="Q347" s="13">
        <v>-1.1170602874543538</v>
      </c>
      <c r="R347" s="13">
        <v>8.3790908314868684E-2</v>
      </c>
      <c r="S347" s="13">
        <v>8.5880439483671953E-2</v>
      </c>
      <c r="T347" s="13">
        <v>2.0567912273404017</v>
      </c>
      <c r="U347" s="13">
        <v>-0.19557112266262441</v>
      </c>
      <c r="V347" s="13">
        <v>0.8933209351997996</v>
      </c>
      <c r="W347" s="13">
        <v>0.2451906241874568</v>
      </c>
      <c r="X347" s="13">
        <v>0</v>
      </c>
      <c r="Y347" s="13">
        <v>0</v>
      </c>
      <c r="Z347" s="13">
        <v>0</v>
      </c>
      <c r="AA347" s="13">
        <v>0</v>
      </c>
      <c r="AB347" s="13">
        <v>0</v>
      </c>
      <c r="AC347" s="13">
        <v>0</v>
      </c>
    </row>
    <row r="348" spans="1:29" x14ac:dyDescent="0.25">
      <c r="A348" s="3">
        <v>1.2376624736909299E+18</v>
      </c>
      <c r="B348" s="3">
        <v>236.41211999999999</v>
      </c>
      <c r="C348" s="3">
        <v>36.278419999999997</v>
      </c>
      <c r="D348" s="16">
        <v>0.54758949999999995</v>
      </c>
      <c r="E348" s="3">
        <v>2.3515200000000007</v>
      </c>
      <c r="F348" s="3">
        <v>4.0100100000000012</v>
      </c>
      <c r="G348" s="3">
        <v>4.9003900000000016</v>
      </c>
      <c r="H348" s="3">
        <v>5.3435900000000025</v>
      </c>
      <c r="I348" s="3">
        <v>1.6584900000000005</v>
      </c>
      <c r="J348" s="3">
        <v>2.5488700000000009</v>
      </c>
      <c r="K348" s="3">
        <v>2.9920700000000018</v>
      </c>
      <c r="L348" s="3">
        <v>0.89038000000000039</v>
      </c>
      <c r="M348" s="3">
        <v>1.3335800000000013</v>
      </c>
      <c r="N348" s="3">
        <v>0.44320000000000093</v>
      </c>
      <c r="Q348" s="13">
        <v>-0.69720588828424579</v>
      </c>
      <c r="R348" s="13">
        <v>1.29114558761388</v>
      </c>
      <c r="S348" s="13">
        <v>0.31911034753096706</v>
      </c>
      <c r="T348" s="13">
        <v>-1.3457295110592005</v>
      </c>
      <c r="U348" s="13">
        <v>-1.1250563245584753</v>
      </c>
      <c r="V348" s="13">
        <v>0.45555894098295924</v>
      </c>
      <c r="W348" s="13">
        <v>-0.2754618348031177</v>
      </c>
      <c r="X348" s="13">
        <v>0</v>
      </c>
      <c r="Y348" s="13">
        <v>0</v>
      </c>
      <c r="Z348" s="13">
        <v>0</v>
      </c>
      <c r="AA348" s="13">
        <v>0</v>
      </c>
      <c r="AB348" s="13">
        <v>0</v>
      </c>
      <c r="AC348" s="13">
        <v>0</v>
      </c>
    </row>
    <row r="349" spans="1:29" x14ac:dyDescent="0.25">
      <c r="A349" s="3">
        <v>1.23766247422787E+18</v>
      </c>
      <c r="B349" s="3">
        <v>236.64350999999999</v>
      </c>
      <c r="C349" s="3">
        <v>36.486133000000002</v>
      </c>
      <c r="D349" s="16">
        <v>0.54784379999999999</v>
      </c>
      <c r="E349" s="3">
        <v>1.8050999999999995</v>
      </c>
      <c r="F349" s="3">
        <v>3.663330000000002</v>
      </c>
      <c r="G349" s="3">
        <v>4.5913400000000024</v>
      </c>
      <c r="H349" s="3">
        <v>5.0947899999999997</v>
      </c>
      <c r="I349" s="3">
        <v>1.8582300000000025</v>
      </c>
      <c r="J349" s="3">
        <v>2.7862400000000029</v>
      </c>
      <c r="K349" s="3">
        <v>3.2896900000000002</v>
      </c>
      <c r="L349" s="3">
        <v>0.92801000000000045</v>
      </c>
      <c r="M349" s="3">
        <v>1.4314599999999977</v>
      </c>
      <c r="N349" s="3">
        <v>0.50344999999999729</v>
      </c>
      <c r="Q349" s="13">
        <v>0.59384119615790565</v>
      </c>
      <c r="R349" s="13">
        <v>0.71410332325905934</v>
      </c>
      <c r="S349" s="13">
        <v>-1.1263860168812092</v>
      </c>
      <c r="T349" s="13">
        <v>-0.25003858285248387</v>
      </c>
      <c r="U349" s="13">
        <v>-0.47635075227387919</v>
      </c>
      <c r="V349" s="13">
        <v>2.0643700907180986</v>
      </c>
      <c r="W349" s="13">
        <v>0.44909831354081897</v>
      </c>
      <c r="X349" s="13">
        <v>0</v>
      </c>
      <c r="Y349" s="13">
        <v>0</v>
      </c>
      <c r="Z349" s="13">
        <v>0</v>
      </c>
      <c r="AA349" s="13">
        <v>0</v>
      </c>
      <c r="AB349" s="13">
        <v>0</v>
      </c>
      <c r="AC349" s="13">
        <v>0</v>
      </c>
    </row>
    <row r="350" spans="1:29" x14ac:dyDescent="0.25">
      <c r="A350" s="3">
        <v>1.23766250375571E+18</v>
      </c>
      <c r="B350" s="3">
        <v>236.39384000000001</v>
      </c>
      <c r="C350" s="3">
        <v>36.380113000000001</v>
      </c>
      <c r="D350" s="16">
        <v>0.54818100000000003</v>
      </c>
      <c r="E350" s="3">
        <v>0.23131000000000057</v>
      </c>
      <c r="F350" s="3">
        <v>1.6708700000000007</v>
      </c>
      <c r="G350" s="3">
        <v>2.4839599999999997</v>
      </c>
      <c r="H350" s="3">
        <v>2.9181300000000014</v>
      </c>
      <c r="I350" s="3">
        <v>1.4395600000000002</v>
      </c>
      <c r="J350" s="3">
        <v>2.2526499999999992</v>
      </c>
      <c r="K350" s="3">
        <v>2.6868200000000009</v>
      </c>
      <c r="L350" s="3">
        <v>0.81308999999999898</v>
      </c>
      <c r="M350" s="3">
        <v>1.2472600000000007</v>
      </c>
      <c r="N350" s="3">
        <v>0.43417000000000172</v>
      </c>
      <c r="Q350" s="13">
        <v>-2.683788724014895</v>
      </c>
      <c r="R350" s="13">
        <v>2.1864650984881759</v>
      </c>
      <c r="S350" s="13">
        <v>0.31505857800905779</v>
      </c>
      <c r="T350" s="13">
        <v>-1.1390915462491045</v>
      </c>
      <c r="U350" s="13">
        <v>-2.7035714567940548</v>
      </c>
      <c r="V350" s="13">
        <v>0.28875548201497403</v>
      </c>
      <c r="W350" s="13">
        <v>0.36783731960406246</v>
      </c>
      <c r="X350" s="13">
        <v>0</v>
      </c>
      <c r="Y350" s="13">
        <v>0</v>
      </c>
      <c r="Z350" s="13">
        <v>0</v>
      </c>
      <c r="AA350" s="13">
        <v>0</v>
      </c>
      <c r="AB350" s="13">
        <v>0</v>
      </c>
      <c r="AC350" s="13">
        <v>0</v>
      </c>
    </row>
    <row r="351" spans="1:29" x14ac:dyDescent="0.25">
      <c r="A351" s="3">
        <v>1.23766250375571E+18</v>
      </c>
      <c r="B351" s="3">
        <v>236.39384000000001</v>
      </c>
      <c r="C351" s="3">
        <v>36.380113000000001</v>
      </c>
      <c r="D351" s="16">
        <v>0.54828149999999998</v>
      </c>
      <c r="E351" s="3">
        <v>0.23131000000000057</v>
      </c>
      <c r="F351" s="3">
        <v>1.6708700000000007</v>
      </c>
      <c r="G351" s="3">
        <v>2.4839599999999997</v>
      </c>
      <c r="H351" s="3">
        <v>2.9181300000000014</v>
      </c>
      <c r="I351" s="3">
        <v>1.4395600000000002</v>
      </c>
      <c r="J351" s="3">
        <v>2.2526499999999992</v>
      </c>
      <c r="K351" s="3">
        <v>2.6868200000000009</v>
      </c>
      <c r="L351" s="3">
        <v>0.81308999999999898</v>
      </c>
      <c r="M351" s="3">
        <v>1.2472600000000007</v>
      </c>
      <c r="N351" s="3">
        <v>0.43417000000000172</v>
      </c>
      <c r="Q351" s="13">
        <v>-1.887539615027221</v>
      </c>
      <c r="R351" s="13">
        <v>1.3271768221647735</v>
      </c>
      <c r="S351" s="13">
        <v>1.4242890909421857</v>
      </c>
      <c r="T351" s="13">
        <v>-0.959874776252439</v>
      </c>
      <c r="U351" s="13">
        <v>-0.72321288299027742</v>
      </c>
      <c r="V351" s="13">
        <v>0.33107210994037356</v>
      </c>
      <c r="W351" s="13">
        <v>0.22885339269132735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</row>
    <row r="352" spans="1:29" x14ac:dyDescent="0.25">
      <c r="A352" s="3">
        <v>1.2376624731543301E+18</v>
      </c>
      <c r="B352" s="3">
        <v>236.68618000000001</v>
      </c>
      <c r="C352" s="3">
        <v>35.672313000000003</v>
      </c>
      <c r="D352" s="16">
        <v>0.54847179999999995</v>
      </c>
      <c r="E352" s="3">
        <v>4.660499999999999</v>
      </c>
      <c r="F352" s="3">
        <v>6.2239000000000004</v>
      </c>
      <c r="G352" s="3">
        <v>7.2660099999999979</v>
      </c>
      <c r="H352" s="3">
        <v>7.6568000000000005</v>
      </c>
      <c r="I352" s="3">
        <v>1.5634000000000015</v>
      </c>
      <c r="J352" s="3">
        <v>2.6055099999999989</v>
      </c>
      <c r="K352" s="3">
        <v>2.9963000000000015</v>
      </c>
      <c r="L352" s="3">
        <v>1.0421099999999974</v>
      </c>
      <c r="M352" s="3">
        <v>1.4329000000000001</v>
      </c>
      <c r="N352" s="3">
        <v>0.39079000000000264</v>
      </c>
      <c r="Q352" s="13">
        <v>-1.2666043847449222</v>
      </c>
      <c r="R352" s="13">
        <v>0.80732023802056152</v>
      </c>
      <c r="S352" s="13">
        <v>1.3751428249389634</v>
      </c>
      <c r="T352" s="13">
        <v>-1.1488981002984817</v>
      </c>
      <c r="U352" s="13">
        <v>7.7105877240723819E-2</v>
      </c>
      <c r="V352" s="13">
        <v>0.55483521088973964</v>
      </c>
      <c r="W352" s="13">
        <v>0.15874707941876703</v>
      </c>
      <c r="X352" s="13">
        <v>0</v>
      </c>
      <c r="Y352" s="13">
        <v>0</v>
      </c>
      <c r="Z352" s="13">
        <v>0</v>
      </c>
      <c r="AA352" s="13">
        <v>0</v>
      </c>
      <c r="AB352" s="13">
        <v>0</v>
      </c>
      <c r="AC352" s="13">
        <v>0</v>
      </c>
    </row>
    <row r="353" spans="1:29" x14ac:dyDescent="0.25">
      <c r="A353" s="3">
        <v>1.2376624742279401E+18</v>
      </c>
      <c r="B353" s="3">
        <v>236.82606999999999</v>
      </c>
      <c r="C353" s="3">
        <v>36.413358000000002</v>
      </c>
      <c r="D353" s="16">
        <v>0.54851039999999995</v>
      </c>
      <c r="E353" s="3">
        <v>1.9296299999999995</v>
      </c>
      <c r="F353" s="3">
        <v>3.3097599999999971</v>
      </c>
      <c r="G353" s="3">
        <v>4.3841999999999999</v>
      </c>
      <c r="H353" s="3">
        <v>5.0686099999999996</v>
      </c>
      <c r="I353" s="3">
        <v>1.3801299999999976</v>
      </c>
      <c r="J353" s="3">
        <v>2.4545700000000004</v>
      </c>
      <c r="K353" s="3">
        <v>3.1389800000000001</v>
      </c>
      <c r="L353" s="3">
        <v>1.0744400000000027</v>
      </c>
      <c r="M353" s="3">
        <v>1.7588500000000025</v>
      </c>
      <c r="N353" s="3">
        <v>0.68440999999999974</v>
      </c>
      <c r="Q353" s="13">
        <v>-2.4077398561702985</v>
      </c>
      <c r="R353" s="13">
        <v>-0.67201640995674738</v>
      </c>
      <c r="S353" s="13">
        <v>1.0540219251809804</v>
      </c>
      <c r="T353" s="13">
        <v>0.95441506112018293</v>
      </c>
      <c r="U353" s="13">
        <v>-5.2720210831198343E-2</v>
      </c>
      <c r="V353" s="13">
        <v>0.48103524067208497</v>
      </c>
      <c r="W353" s="13">
        <v>0.24549229241551265</v>
      </c>
      <c r="X353" s="13">
        <v>0</v>
      </c>
      <c r="Y353" s="13">
        <v>0</v>
      </c>
      <c r="Z353" s="13">
        <v>0</v>
      </c>
      <c r="AA353" s="13">
        <v>0</v>
      </c>
      <c r="AB353" s="13">
        <v>0</v>
      </c>
      <c r="AC353" s="13">
        <v>0</v>
      </c>
    </row>
    <row r="354" spans="1:29" x14ac:dyDescent="0.25">
      <c r="A354" s="3">
        <v>1.2376614659863301E+18</v>
      </c>
      <c r="B354" s="3">
        <v>236.37029000000001</v>
      </c>
      <c r="C354" s="3">
        <v>35.660674999999998</v>
      </c>
      <c r="D354" s="16">
        <v>0.55088800000000004</v>
      </c>
      <c r="E354" s="3">
        <v>2.707849999999997</v>
      </c>
      <c r="F354" s="3">
        <v>4.2613099999999982</v>
      </c>
      <c r="G354" s="3">
        <v>5.3295099999999991</v>
      </c>
      <c r="H354" s="3">
        <v>5.7424199999999992</v>
      </c>
      <c r="I354" s="3">
        <v>1.5534600000000012</v>
      </c>
      <c r="J354" s="3">
        <v>2.6216600000000021</v>
      </c>
      <c r="K354" s="3">
        <v>3.0345700000000022</v>
      </c>
      <c r="L354" s="3">
        <v>1.0682000000000009</v>
      </c>
      <c r="M354" s="3">
        <v>1.481110000000001</v>
      </c>
      <c r="N354" s="3">
        <v>0.41291000000000011</v>
      </c>
      <c r="Q354" s="13">
        <v>-2.4081396830599298</v>
      </c>
      <c r="R354" s="13">
        <v>-0.67178358454591935</v>
      </c>
      <c r="S354" s="13">
        <v>1.053995367618946</v>
      </c>
      <c r="T354" s="13">
        <v>0.95443389326956063</v>
      </c>
      <c r="U354" s="13">
        <v>-5.2520743583209364E-2</v>
      </c>
      <c r="V354" s="13">
        <v>0.4817235815115003</v>
      </c>
      <c r="W354" s="13">
        <v>0.24460288532519195</v>
      </c>
      <c r="X354" s="13">
        <v>0</v>
      </c>
      <c r="Y354" s="13">
        <v>0</v>
      </c>
      <c r="Z354" s="13">
        <v>0</v>
      </c>
      <c r="AA354" s="13">
        <v>0</v>
      </c>
      <c r="AB354" s="13">
        <v>0</v>
      </c>
      <c r="AC354" s="13">
        <v>0</v>
      </c>
    </row>
    <row r="355" spans="1:29" x14ac:dyDescent="0.25">
      <c r="A355" s="3">
        <v>1.2376614659863301E+18</v>
      </c>
      <c r="B355" s="3">
        <v>236.37747999999999</v>
      </c>
      <c r="C355" s="3">
        <v>35.666274000000001</v>
      </c>
      <c r="D355" s="16">
        <v>0.55253479999999999</v>
      </c>
      <c r="E355" s="3">
        <v>2.3498200000000011</v>
      </c>
      <c r="F355" s="3">
        <v>3.88795</v>
      </c>
      <c r="G355" s="3">
        <v>4.9644500000000029</v>
      </c>
      <c r="H355" s="3">
        <v>5.2017699999999998</v>
      </c>
      <c r="I355" s="3">
        <v>1.5381299999999989</v>
      </c>
      <c r="J355" s="3">
        <v>2.6146300000000018</v>
      </c>
      <c r="K355" s="3">
        <v>2.8519499999999987</v>
      </c>
      <c r="L355" s="3">
        <v>1.0765000000000029</v>
      </c>
      <c r="M355" s="3">
        <v>1.3138199999999998</v>
      </c>
      <c r="N355" s="3">
        <v>0.23731999999999687</v>
      </c>
      <c r="Q355" s="13">
        <v>-0.9937093378838705</v>
      </c>
      <c r="R355" s="13">
        <v>1.5274880097154879</v>
      </c>
      <c r="S355" s="13">
        <v>1.76580929713904</v>
      </c>
      <c r="T355" s="13">
        <v>0.38644246469094223</v>
      </c>
      <c r="U355" s="13">
        <v>-0.41562741104446332</v>
      </c>
      <c r="V355" s="13">
        <v>0.45100687234125569</v>
      </c>
      <c r="W355" s="13">
        <v>4.2195922154361715E-2</v>
      </c>
      <c r="X355" s="13">
        <v>0</v>
      </c>
      <c r="Y355" s="13">
        <v>0</v>
      </c>
      <c r="Z355" s="13">
        <v>0</v>
      </c>
      <c r="AA355" s="13">
        <v>0</v>
      </c>
      <c r="AB355" s="13">
        <v>0</v>
      </c>
      <c r="AC355" s="13">
        <v>0</v>
      </c>
    </row>
    <row r="356" spans="1:29" x14ac:dyDescent="0.25">
      <c r="A356" s="3">
        <v>1.2376614659861299E+18</v>
      </c>
      <c r="B356" s="3">
        <v>235.92670000000001</v>
      </c>
      <c r="C356" s="3">
        <v>35.834781</v>
      </c>
      <c r="D356" s="16">
        <v>0.55517689999999997</v>
      </c>
      <c r="E356" s="3">
        <v>0.99632999999999683</v>
      </c>
      <c r="F356" s="3">
        <v>2.5353599999999972</v>
      </c>
      <c r="G356" s="3">
        <v>3.5350399999999986</v>
      </c>
      <c r="H356" s="3">
        <v>4.0209699999999984</v>
      </c>
      <c r="I356" s="3">
        <v>1.5390300000000003</v>
      </c>
      <c r="J356" s="3">
        <v>2.5387100000000018</v>
      </c>
      <c r="K356" s="3">
        <v>3.0246400000000015</v>
      </c>
      <c r="L356" s="3">
        <v>0.99968000000000146</v>
      </c>
      <c r="M356" s="3">
        <v>1.4856100000000012</v>
      </c>
      <c r="N356" s="3">
        <v>0.48592999999999975</v>
      </c>
      <c r="Q356" s="13">
        <v>-3.0063880202629067</v>
      </c>
      <c r="R356" s="13">
        <v>-4.5438323528119953E-2</v>
      </c>
      <c r="S356" s="13">
        <v>-1.0119487860283818</v>
      </c>
      <c r="T356" s="13">
        <v>0.77489153119389687</v>
      </c>
      <c r="U356" s="13">
        <v>0.53492301840837797</v>
      </c>
      <c r="V356" s="13">
        <v>-0.42412521284412913</v>
      </c>
      <c r="W356" s="13">
        <v>0.13155090433147876</v>
      </c>
      <c r="X356" s="13">
        <v>0</v>
      </c>
      <c r="Y356" s="13">
        <v>0</v>
      </c>
      <c r="Z356" s="13">
        <v>0</v>
      </c>
      <c r="AA356" s="13">
        <v>0</v>
      </c>
      <c r="AB356" s="13">
        <v>0</v>
      </c>
      <c r="AC356" s="13">
        <v>0</v>
      </c>
    </row>
    <row r="357" spans="1:29" x14ac:dyDescent="0.25">
      <c r="A357" s="3">
        <v>1.2376614659861299E+18</v>
      </c>
      <c r="B357" s="3">
        <v>235.81912</v>
      </c>
      <c r="C357" s="3">
        <v>35.868046</v>
      </c>
      <c r="D357" s="16">
        <v>0.55590569999999995</v>
      </c>
      <c r="E357" s="3">
        <v>1.3466799999999992</v>
      </c>
      <c r="F357" s="3">
        <v>3.0365299999999991</v>
      </c>
      <c r="G357" s="3">
        <v>4.0319900000000004</v>
      </c>
      <c r="H357" s="3">
        <v>4.4812899999999978</v>
      </c>
      <c r="I357" s="3">
        <v>1.6898499999999999</v>
      </c>
      <c r="J357" s="3">
        <v>2.6853100000000012</v>
      </c>
      <c r="K357" s="3">
        <v>3.1346099999999986</v>
      </c>
      <c r="L357" s="3">
        <v>0.99546000000000134</v>
      </c>
      <c r="M357" s="3">
        <v>1.4447599999999987</v>
      </c>
      <c r="N357" s="3">
        <v>0.44929999999999737</v>
      </c>
      <c r="Q357" s="13">
        <v>-1.1157077991107094</v>
      </c>
      <c r="R357" s="13">
        <v>0.823081239326382</v>
      </c>
      <c r="S357" s="13">
        <v>-0.84721136353427895</v>
      </c>
      <c r="T357" s="13">
        <v>0.90145317834430938</v>
      </c>
      <c r="U357" s="13">
        <v>-0.5901462714219845</v>
      </c>
      <c r="V357" s="13">
        <v>0.30235295200969864</v>
      </c>
      <c r="W357" s="13">
        <v>-0.18423282756442835</v>
      </c>
      <c r="X357" s="13">
        <v>0</v>
      </c>
      <c r="Y357" s="13">
        <v>0</v>
      </c>
      <c r="Z357" s="13">
        <v>0</v>
      </c>
      <c r="AA357" s="13">
        <v>0</v>
      </c>
      <c r="AB357" s="13">
        <v>0</v>
      </c>
      <c r="AC357" s="13">
        <v>0</v>
      </c>
    </row>
    <row r="358" spans="1:29" x14ac:dyDescent="0.25">
      <c r="A358" s="3">
        <v>1.2376623378635799E+18</v>
      </c>
      <c r="B358" s="3">
        <v>235.88399000000001</v>
      </c>
      <c r="C358" s="3">
        <v>35.804220999999998</v>
      </c>
      <c r="D358" s="16">
        <v>0.55748390000000003</v>
      </c>
      <c r="E358" s="3">
        <v>0.83626000000000289</v>
      </c>
      <c r="F358" s="3">
        <v>2.4074300000000015</v>
      </c>
      <c r="G358" s="3">
        <v>3.2617100000000008</v>
      </c>
      <c r="H358" s="3">
        <v>3.5693300000000008</v>
      </c>
      <c r="I358" s="3">
        <v>1.5711699999999986</v>
      </c>
      <c r="J358" s="3">
        <v>2.4254499999999979</v>
      </c>
      <c r="K358" s="3">
        <v>2.7330699999999979</v>
      </c>
      <c r="L358" s="3">
        <v>0.85427999999999926</v>
      </c>
      <c r="M358" s="3">
        <v>1.1618999999999993</v>
      </c>
      <c r="N358" s="3">
        <v>0.30762</v>
      </c>
      <c r="Q358" s="13">
        <v>-3.3275948835221199</v>
      </c>
      <c r="R358" s="13">
        <v>-1.2127601311715941</v>
      </c>
      <c r="S358" s="13">
        <v>0.7874589544488102</v>
      </c>
      <c r="T358" s="13">
        <v>-0.83609092720853928</v>
      </c>
      <c r="U358" s="13">
        <v>-0.42724750530807787</v>
      </c>
      <c r="V358" s="13">
        <v>0.7474659813797071</v>
      </c>
      <c r="W358" s="13">
        <v>0.55584996570643785</v>
      </c>
      <c r="X358" s="13">
        <v>0</v>
      </c>
      <c r="Y358" s="13">
        <v>0</v>
      </c>
      <c r="Z358" s="13">
        <v>0</v>
      </c>
      <c r="AA358" s="13">
        <v>0</v>
      </c>
      <c r="AB358" s="13">
        <v>0</v>
      </c>
      <c r="AC358" s="13">
        <v>0</v>
      </c>
    </row>
    <row r="359" spans="1:29" x14ac:dyDescent="0.25">
      <c r="A359" s="3">
        <v>1.2376623378635799E+18</v>
      </c>
      <c r="B359" s="3">
        <v>235.88399000000001</v>
      </c>
      <c r="C359" s="3">
        <v>35.804220999999998</v>
      </c>
      <c r="D359" s="16">
        <v>0.55753070000000005</v>
      </c>
      <c r="E359" s="3">
        <v>0.83626000000000289</v>
      </c>
      <c r="F359" s="3">
        <v>2.4074300000000015</v>
      </c>
      <c r="G359" s="3">
        <v>3.2617100000000008</v>
      </c>
      <c r="H359" s="3">
        <v>3.5693300000000008</v>
      </c>
      <c r="I359" s="3">
        <v>1.5711699999999986</v>
      </c>
      <c r="J359" s="3">
        <v>2.4254499999999979</v>
      </c>
      <c r="K359" s="3">
        <v>2.7330699999999979</v>
      </c>
      <c r="L359" s="3">
        <v>0.85427999999999926</v>
      </c>
      <c r="M359" s="3">
        <v>1.1618999999999993</v>
      </c>
      <c r="N359" s="3">
        <v>0.30762</v>
      </c>
      <c r="Q359" s="13">
        <v>-2.3211183060847698</v>
      </c>
      <c r="R359" s="13">
        <v>0.7035024320460187</v>
      </c>
      <c r="S359" s="13">
        <v>-0.46275827933638874</v>
      </c>
      <c r="T359" s="13">
        <v>-1.3654682357290608</v>
      </c>
      <c r="U359" s="13">
        <v>0.875020364876268</v>
      </c>
      <c r="V359" s="13">
        <v>-0.24316743579418262</v>
      </c>
      <c r="W359" s="13">
        <v>0.15129325655264261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</row>
    <row r="360" spans="1:29" x14ac:dyDescent="0.25">
      <c r="A360" s="3">
        <v>1.2376624736911301E+18</v>
      </c>
      <c r="B360" s="3">
        <v>236.75480999999999</v>
      </c>
      <c r="C360" s="3">
        <v>35.893577000000001</v>
      </c>
      <c r="D360" s="16">
        <v>0.55971649999999995</v>
      </c>
      <c r="E360" s="3">
        <v>1.6011400000000009</v>
      </c>
      <c r="F360" s="3">
        <v>4.2295300000000005</v>
      </c>
      <c r="G360" s="3">
        <v>5.3381800000000013</v>
      </c>
      <c r="H360" s="3">
        <v>5.91629</v>
      </c>
      <c r="I360" s="3">
        <v>2.6283899999999996</v>
      </c>
      <c r="J360" s="3">
        <v>3.7370400000000004</v>
      </c>
      <c r="K360" s="3">
        <v>4.3151499999999992</v>
      </c>
      <c r="L360" s="3">
        <v>1.1086500000000008</v>
      </c>
      <c r="M360" s="3">
        <v>1.6867599999999996</v>
      </c>
      <c r="N360" s="3">
        <v>0.57810999999999879</v>
      </c>
      <c r="Q360" s="13">
        <v>-1.7826247263324131</v>
      </c>
      <c r="R360" s="13">
        <v>1.1895370185489365</v>
      </c>
      <c r="S360" s="13">
        <v>-1.9920261285580618</v>
      </c>
      <c r="T360" s="13">
        <v>-0.29900101956020314</v>
      </c>
      <c r="U360" s="13">
        <v>0.13156410493350279</v>
      </c>
      <c r="V360" s="13">
        <v>-7.3310845710597303E-2</v>
      </c>
      <c r="W360" s="13">
        <v>6.5476501529651815E-2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</row>
    <row r="361" spans="1:29" x14ac:dyDescent="0.25">
      <c r="A361" s="3">
        <v>1.2376623378636401E+18</v>
      </c>
      <c r="B361" s="3">
        <v>235.96710999999999</v>
      </c>
      <c r="C361" s="3">
        <v>35.660018000000001</v>
      </c>
      <c r="D361" s="16">
        <v>0.56007799999999996</v>
      </c>
      <c r="E361" s="3">
        <v>0.6490399999999994</v>
      </c>
      <c r="F361" s="3">
        <v>2.0432699999999997</v>
      </c>
      <c r="G361" s="3">
        <v>2.9311500000000024</v>
      </c>
      <c r="H361" s="3">
        <v>3.5090199999999996</v>
      </c>
      <c r="I361" s="3">
        <v>1.3942300000000003</v>
      </c>
      <c r="J361" s="3">
        <v>2.282110000000003</v>
      </c>
      <c r="K361" s="3">
        <v>2.8599800000000002</v>
      </c>
      <c r="L361" s="3">
        <v>0.88788000000000267</v>
      </c>
      <c r="M361" s="3">
        <v>1.4657499999999999</v>
      </c>
      <c r="N361" s="3">
        <v>0.57786999999999722</v>
      </c>
      <c r="Q361" s="13">
        <v>-1.7828907689065572</v>
      </c>
      <c r="R361" s="13">
        <v>1.1896919392739531</v>
      </c>
      <c r="S361" s="13">
        <v>-1.9920437998111717</v>
      </c>
      <c r="T361" s="13">
        <v>-0.29898848875342959</v>
      </c>
      <c r="U361" s="13">
        <v>0.13169682932370413</v>
      </c>
      <c r="V361" s="13">
        <v>-7.2852827569357917E-2</v>
      </c>
      <c r="W361" s="13">
        <v>6.4884695030621831E-2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</row>
    <row r="362" spans="1:29" x14ac:dyDescent="0.25">
      <c r="A362" s="3">
        <v>1.23766250375584E+18</v>
      </c>
      <c r="B362" s="3">
        <v>236.7901</v>
      </c>
      <c r="C362" s="3">
        <v>36.223827999999997</v>
      </c>
      <c r="D362" s="16">
        <v>0.56812600000000002</v>
      </c>
      <c r="E362" s="3">
        <v>0.5154999999999994</v>
      </c>
      <c r="F362" s="3">
        <v>1.6514200000000017</v>
      </c>
      <c r="G362" s="3">
        <v>2.4845000000000006</v>
      </c>
      <c r="H362" s="3">
        <v>2.6333200000000012</v>
      </c>
      <c r="I362" s="3">
        <v>1.1359200000000023</v>
      </c>
      <c r="J362" s="3">
        <v>1.9690000000000012</v>
      </c>
      <c r="K362" s="3">
        <v>2.1178200000000018</v>
      </c>
      <c r="L362" s="3">
        <v>0.83307999999999893</v>
      </c>
      <c r="M362" s="3">
        <v>0.98189999999999955</v>
      </c>
      <c r="N362" s="3">
        <v>0.14882000000000062</v>
      </c>
      <c r="Q362" s="13">
        <v>-2.6304488235280816</v>
      </c>
      <c r="R362" s="13">
        <v>-1.1057861255918442</v>
      </c>
      <c r="S362" s="13">
        <v>-1.1634239707922118</v>
      </c>
      <c r="T362" s="13">
        <v>-0.35912621422106916</v>
      </c>
      <c r="U362" s="13">
        <v>0.46888056401025807</v>
      </c>
      <c r="V362" s="13">
        <v>-0.18145305440839285</v>
      </c>
      <c r="W362" s="13">
        <v>-0.19330225548968422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</row>
    <row r="363" spans="1:29" x14ac:dyDescent="0.25">
      <c r="A363" s="3">
        <v>1.2376625037557701E+18</v>
      </c>
      <c r="B363" s="3">
        <v>236.65296000000001</v>
      </c>
      <c r="C363" s="3">
        <v>36.262743</v>
      </c>
      <c r="D363" s="16">
        <v>0.5693281</v>
      </c>
      <c r="E363" s="3">
        <v>3.7239199999999997</v>
      </c>
      <c r="F363" s="3">
        <v>5.6038999999999994</v>
      </c>
      <c r="G363" s="3">
        <v>6.5047700000000006</v>
      </c>
      <c r="H363" s="3">
        <v>7.0387199999999979</v>
      </c>
      <c r="I363" s="3">
        <v>1.8799799999999998</v>
      </c>
      <c r="J363" s="3">
        <v>2.7808500000000009</v>
      </c>
      <c r="K363" s="3">
        <v>3.3147999999999982</v>
      </c>
      <c r="L363" s="3">
        <v>0.90087000000000117</v>
      </c>
      <c r="M363" s="3">
        <v>1.4348199999999984</v>
      </c>
      <c r="N363" s="3">
        <v>0.53394999999999726</v>
      </c>
      <c r="Q363" s="13">
        <v>-3.5989141717758977</v>
      </c>
      <c r="R363" s="13">
        <v>-3.5555012819848195</v>
      </c>
      <c r="S363" s="13">
        <v>-1.219310664364702</v>
      </c>
      <c r="T363" s="13">
        <v>-4.7371538517257977E-2</v>
      </c>
      <c r="U363" s="13">
        <v>0.86458576010414012</v>
      </c>
      <c r="V363" s="13">
        <v>0.38678698730362832</v>
      </c>
      <c r="W363" s="13">
        <v>0.13688309396695422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</row>
    <row r="364" spans="1:29" x14ac:dyDescent="0.25">
      <c r="A364" s="3">
        <v>1.23766250375584E+18</v>
      </c>
      <c r="B364" s="3">
        <v>236.76983000000001</v>
      </c>
      <c r="C364" s="3">
        <v>36.157921999999999</v>
      </c>
      <c r="D364" s="16">
        <v>0.57193450000000001</v>
      </c>
      <c r="E364" s="3">
        <v>2.922349999999998</v>
      </c>
      <c r="F364" s="3">
        <v>4.6615399999999987</v>
      </c>
      <c r="G364" s="3">
        <v>5.6639799999999987</v>
      </c>
      <c r="H364" s="3">
        <v>6.2942800000000005</v>
      </c>
      <c r="I364" s="3">
        <v>1.7391900000000007</v>
      </c>
      <c r="J364" s="3">
        <v>2.7416300000000007</v>
      </c>
      <c r="K364" s="3">
        <v>3.3719300000000025</v>
      </c>
      <c r="L364" s="3">
        <v>1.00244</v>
      </c>
      <c r="M364" s="3">
        <v>1.6327400000000019</v>
      </c>
      <c r="N364" s="3">
        <v>0.63030000000000186</v>
      </c>
      <c r="Q364" s="13">
        <v>-3.5992399849092429</v>
      </c>
      <c r="R364" s="13">
        <v>-3.555311555934396</v>
      </c>
      <c r="S364" s="13">
        <v>-1.2193323057368175</v>
      </c>
      <c r="T364" s="13">
        <v>-4.7356192471868272E-2</v>
      </c>
      <c r="U364" s="13">
        <v>0.86474830307148975</v>
      </c>
      <c r="V364" s="13">
        <v>0.38734790627009857</v>
      </c>
      <c r="W364" s="13">
        <v>0.1361583290288497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</row>
    <row r="365" spans="1:29" x14ac:dyDescent="0.25">
      <c r="A365" s="3">
        <v>1.2376624736909399E+18</v>
      </c>
      <c r="B365" s="3">
        <v>236.42551</v>
      </c>
      <c r="C365" s="3">
        <v>36.336641999999998</v>
      </c>
      <c r="D365" s="16">
        <v>0.57215170000000004</v>
      </c>
      <c r="E365" s="3">
        <v>3.6820800000000027</v>
      </c>
      <c r="F365" s="3">
        <v>5.3453900000000019</v>
      </c>
      <c r="G365" s="3">
        <v>6.3961900000000007</v>
      </c>
      <c r="H365" s="3">
        <v>7.0280000000000022</v>
      </c>
      <c r="I365" s="3">
        <v>1.6633099999999992</v>
      </c>
      <c r="J365" s="3">
        <v>2.714109999999998</v>
      </c>
      <c r="K365" s="3">
        <v>3.3459199999999996</v>
      </c>
      <c r="L365" s="3">
        <v>1.0507999999999988</v>
      </c>
      <c r="M365" s="3">
        <v>1.6826100000000004</v>
      </c>
      <c r="N365" s="3">
        <v>0.63181000000000154</v>
      </c>
      <c r="Q365" s="13">
        <v>-0.9700581516635115</v>
      </c>
      <c r="R365" s="13">
        <v>1.4941451710491553</v>
      </c>
      <c r="S365" s="13">
        <v>-0.68496657159912444</v>
      </c>
      <c r="T365" s="13">
        <v>-1.1312953955531926</v>
      </c>
      <c r="U365" s="13">
        <v>0.85613580472301898</v>
      </c>
      <c r="V365" s="13">
        <v>0.27775607263632701</v>
      </c>
      <c r="W365" s="13">
        <v>0.14950296658971199</v>
      </c>
      <c r="X365" s="13">
        <v>0</v>
      </c>
      <c r="Y365" s="13">
        <v>0</v>
      </c>
      <c r="Z365" s="13">
        <v>0</v>
      </c>
      <c r="AA365" s="13">
        <v>0</v>
      </c>
      <c r="AB365" s="13">
        <v>0</v>
      </c>
      <c r="AC365" s="13">
        <v>0</v>
      </c>
    </row>
    <row r="366" spans="1:29" x14ac:dyDescent="0.25">
      <c r="A366" s="3">
        <v>1.2376624736911301E+18</v>
      </c>
      <c r="B366" s="3">
        <v>236.74807999999999</v>
      </c>
      <c r="C366" s="3">
        <v>36.076872000000002</v>
      </c>
      <c r="D366" s="16">
        <v>0.57257769999999997</v>
      </c>
      <c r="E366" s="3">
        <v>2.3820399999999999</v>
      </c>
      <c r="F366" s="3">
        <v>3.863430000000001</v>
      </c>
      <c r="G366" s="3">
        <v>4.9128900000000009</v>
      </c>
      <c r="H366" s="3">
        <v>5.64405</v>
      </c>
      <c r="I366" s="3">
        <v>1.4813900000000011</v>
      </c>
      <c r="J366" s="3">
        <v>2.5308500000000009</v>
      </c>
      <c r="K366" s="3">
        <v>3.2620100000000001</v>
      </c>
      <c r="L366" s="3">
        <v>1.0494599999999998</v>
      </c>
      <c r="M366" s="3">
        <v>1.780619999999999</v>
      </c>
      <c r="N366" s="3">
        <v>0.73115999999999914</v>
      </c>
      <c r="Q366" s="13">
        <v>-2.9899246315496084</v>
      </c>
      <c r="R366" s="13">
        <v>-2.9426606845801295</v>
      </c>
      <c r="S366" s="13">
        <v>-1.7021325133560419</v>
      </c>
      <c r="T366" s="13">
        <v>0.31005386720077027</v>
      </c>
      <c r="U366" s="13">
        <v>0.24297615859220156</v>
      </c>
      <c r="V366" s="13">
        <v>0.9021686350611019</v>
      </c>
      <c r="W366" s="13">
        <v>0.29701272418723779</v>
      </c>
      <c r="X366" s="13">
        <v>0</v>
      </c>
      <c r="Y366" s="13">
        <v>0</v>
      </c>
      <c r="Z366" s="13">
        <v>0</v>
      </c>
      <c r="AA366" s="13">
        <v>0</v>
      </c>
      <c r="AB366" s="13">
        <v>0</v>
      </c>
      <c r="AC366" s="13">
        <v>0</v>
      </c>
    </row>
    <row r="367" spans="1:29" x14ac:dyDescent="0.25">
      <c r="A367" s="3">
        <v>1.2376625037557701E+18</v>
      </c>
      <c r="B367" s="3">
        <v>236.55561</v>
      </c>
      <c r="C367" s="3">
        <v>36.29954</v>
      </c>
      <c r="D367" s="16">
        <v>0.57280359999999997</v>
      </c>
      <c r="E367" s="3">
        <v>-0.59562000000000026</v>
      </c>
      <c r="F367" s="3">
        <v>1.2538099999999979</v>
      </c>
      <c r="G367" s="3">
        <v>2.3265600000000006</v>
      </c>
      <c r="H367" s="3">
        <v>3.1030499999999996</v>
      </c>
      <c r="I367" s="3">
        <v>1.8494299999999981</v>
      </c>
      <c r="J367" s="3">
        <v>2.9221800000000009</v>
      </c>
      <c r="K367" s="3">
        <v>3.6986699999999999</v>
      </c>
      <c r="L367" s="3">
        <v>1.0727500000000028</v>
      </c>
      <c r="M367" s="3">
        <v>1.8492400000000018</v>
      </c>
      <c r="N367" s="3">
        <v>0.77648999999999901</v>
      </c>
      <c r="Q367" s="13">
        <v>-0.66888261510796065</v>
      </c>
      <c r="R367" s="13">
        <v>1.4694969815709349</v>
      </c>
      <c r="S367" s="13">
        <v>-2.5578964060173055</v>
      </c>
      <c r="T367" s="13">
        <v>9.7637463908443065E-2</v>
      </c>
      <c r="U367" s="13">
        <v>0.5978461581440917</v>
      </c>
      <c r="V367" s="13">
        <v>-0.26568592774349203</v>
      </c>
      <c r="W367" s="13">
        <v>-0.39541203614768466</v>
      </c>
      <c r="X367" s="13">
        <v>0</v>
      </c>
      <c r="Y367" s="13">
        <v>0</v>
      </c>
      <c r="Z367" s="13">
        <v>0</v>
      </c>
      <c r="AA367" s="13">
        <v>0</v>
      </c>
      <c r="AB367" s="13">
        <v>0</v>
      </c>
      <c r="AC367" s="13">
        <v>0</v>
      </c>
    </row>
    <row r="368" spans="1:29" x14ac:dyDescent="0.25">
      <c r="A368" s="3">
        <v>1.2376625037557701E+18</v>
      </c>
      <c r="B368" s="3">
        <v>236.55592999999999</v>
      </c>
      <c r="C368" s="3">
        <v>36.315261</v>
      </c>
      <c r="D368" s="16">
        <v>0.57286389999999998</v>
      </c>
      <c r="E368" s="3">
        <v>3.8868900000000011</v>
      </c>
      <c r="F368" s="3">
        <v>5.0514499999999991</v>
      </c>
      <c r="G368" s="3">
        <v>6.1054500000000012</v>
      </c>
      <c r="H368" s="3">
        <v>6.5373800000000024</v>
      </c>
      <c r="I368" s="3">
        <v>1.164559999999998</v>
      </c>
      <c r="J368" s="3">
        <v>2.2185600000000001</v>
      </c>
      <c r="K368" s="3">
        <v>2.6504900000000013</v>
      </c>
      <c r="L368" s="3">
        <v>1.054000000000002</v>
      </c>
      <c r="M368" s="3">
        <v>1.4859300000000033</v>
      </c>
      <c r="N368" s="3">
        <v>0.43193000000000126</v>
      </c>
      <c r="Q368" s="13">
        <v>-3.2120247359553242</v>
      </c>
      <c r="R368" s="13">
        <v>-2.4418415147744863</v>
      </c>
      <c r="S368" s="13">
        <v>-0.72116569053857094</v>
      </c>
      <c r="T368" s="13">
        <v>-0.17360307093775262</v>
      </c>
      <c r="U368" s="13">
        <v>1.0659908906657365</v>
      </c>
      <c r="V368" s="13">
        <v>0.20265652256221336</v>
      </c>
      <c r="W368" s="13">
        <v>0.12784607047714044</v>
      </c>
      <c r="X368" s="13">
        <v>0</v>
      </c>
      <c r="Y368" s="13">
        <v>0</v>
      </c>
      <c r="Z368" s="13">
        <v>0</v>
      </c>
      <c r="AA368" s="13">
        <v>0</v>
      </c>
      <c r="AB368" s="13">
        <v>0</v>
      </c>
      <c r="AC368" s="13">
        <v>0</v>
      </c>
    </row>
    <row r="369" spans="1:29" x14ac:dyDescent="0.25">
      <c r="A369" s="3">
        <v>1.2376625037557701E+18</v>
      </c>
      <c r="B369" s="3">
        <v>236.55592999999999</v>
      </c>
      <c r="C369" s="3">
        <v>36.315261</v>
      </c>
      <c r="D369" s="16">
        <v>0.57297379999999998</v>
      </c>
      <c r="E369" s="3">
        <v>3.8868900000000011</v>
      </c>
      <c r="F369" s="3">
        <v>5.0514499999999991</v>
      </c>
      <c r="G369" s="3">
        <v>6.1054500000000012</v>
      </c>
      <c r="H369" s="3">
        <v>6.5373800000000024</v>
      </c>
      <c r="I369" s="3">
        <v>1.164559999999998</v>
      </c>
      <c r="J369" s="3">
        <v>2.2185600000000001</v>
      </c>
      <c r="K369" s="3">
        <v>2.6504900000000013</v>
      </c>
      <c r="L369" s="3">
        <v>1.054000000000002</v>
      </c>
      <c r="M369" s="3">
        <v>1.4859300000000033</v>
      </c>
      <c r="N369" s="3">
        <v>0.43193000000000126</v>
      </c>
      <c r="Q369" s="13">
        <v>-1.9914893767234505</v>
      </c>
      <c r="R369" s="13">
        <v>-0.72735854970508729</v>
      </c>
      <c r="S369" s="13">
        <v>0.68665279530272738</v>
      </c>
      <c r="T369" s="13">
        <v>0.26738058765961464</v>
      </c>
      <c r="U369" s="13">
        <v>-0.22190778929968571</v>
      </c>
      <c r="V369" s="13">
        <v>0.36671159079301974</v>
      </c>
      <c r="W369" s="13">
        <v>-0.18383204274750134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</row>
    <row r="370" spans="1:29" x14ac:dyDescent="0.25">
      <c r="A370" s="3">
        <v>1.2376625032189701E+18</v>
      </c>
      <c r="B370" s="3">
        <v>236.48553999999999</v>
      </c>
      <c r="C370" s="3">
        <v>36.019148000000001</v>
      </c>
      <c r="D370" s="16">
        <v>0.57327910000000004</v>
      </c>
      <c r="E370" s="3">
        <v>0.50534000000000034</v>
      </c>
      <c r="F370" s="3">
        <v>2.337530000000001</v>
      </c>
      <c r="G370" s="3">
        <v>3.397120000000001</v>
      </c>
      <c r="H370" s="3">
        <v>4.036719999999999</v>
      </c>
      <c r="I370" s="3">
        <v>1.8321900000000007</v>
      </c>
      <c r="J370" s="3">
        <v>2.8917800000000007</v>
      </c>
      <c r="K370" s="3">
        <v>3.5313799999999986</v>
      </c>
      <c r="L370" s="3">
        <v>1.05959</v>
      </c>
      <c r="M370" s="3">
        <v>1.699189999999998</v>
      </c>
      <c r="N370" s="3">
        <v>0.63959999999999795</v>
      </c>
      <c r="Q370" s="13">
        <v>-2.3957685513428992</v>
      </c>
      <c r="R370" s="13">
        <v>0.14789061616260757</v>
      </c>
      <c r="S370" s="13">
        <v>1.6026135194041824</v>
      </c>
      <c r="T370" s="13">
        <v>0.21655160767576662</v>
      </c>
      <c r="U370" s="13">
        <v>-0.64390747477009114</v>
      </c>
      <c r="V370" s="13">
        <v>5.3268893692531363E-2</v>
      </c>
      <c r="W370" s="13">
        <v>-0.14000594064115418</v>
      </c>
      <c r="X370" s="13">
        <v>0</v>
      </c>
      <c r="Y370" s="13">
        <v>0</v>
      </c>
      <c r="Z370" s="13">
        <v>0</v>
      </c>
      <c r="AA370" s="13">
        <v>0</v>
      </c>
      <c r="AB370" s="13">
        <v>0</v>
      </c>
      <c r="AC370" s="13">
        <v>0</v>
      </c>
    </row>
    <row r="371" spans="1:29" x14ac:dyDescent="0.25">
      <c r="A371" s="3">
        <v>1.23766247422787E+18</v>
      </c>
      <c r="B371" s="3">
        <v>236.81554</v>
      </c>
      <c r="C371" s="3">
        <v>36.612485999999997</v>
      </c>
      <c r="D371" s="16">
        <v>0.5733279</v>
      </c>
      <c r="E371" s="3">
        <v>3.4845499999999987</v>
      </c>
      <c r="F371" s="3">
        <v>5.445529999999998</v>
      </c>
      <c r="G371" s="3">
        <v>6.4363399999999977</v>
      </c>
      <c r="H371" s="3">
        <v>7.1474399999999996</v>
      </c>
      <c r="I371" s="3">
        <v>1.9609799999999993</v>
      </c>
      <c r="J371" s="3">
        <v>2.951789999999999</v>
      </c>
      <c r="K371" s="3">
        <v>3.6628900000000009</v>
      </c>
      <c r="L371" s="3">
        <v>0.99080999999999975</v>
      </c>
      <c r="M371" s="3">
        <v>1.7019100000000016</v>
      </c>
      <c r="N371" s="3">
        <v>0.71110000000000184</v>
      </c>
      <c r="Q371" s="13">
        <v>0.17087952599963027</v>
      </c>
      <c r="R371" s="13">
        <v>2.7199901861734901</v>
      </c>
      <c r="S371" s="13">
        <v>0.83110594129680149</v>
      </c>
      <c r="T371" s="13">
        <v>0.26200556326927676</v>
      </c>
      <c r="U371" s="13">
        <v>-0.45303904907926201</v>
      </c>
      <c r="V371" s="13">
        <v>0.36468918047424981</v>
      </c>
      <c r="W371" s="13">
        <v>-0.31452007480468952</v>
      </c>
      <c r="X371" s="13">
        <v>0</v>
      </c>
      <c r="Y371" s="13">
        <v>0</v>
      </c>
      <c r="Z371" s="13">
        <v>0</v>
      </c>
      <c r="AA371" s="13">
        <v>0</v>
      </c>
      <c r="AB371" s="13">
        <v>0</v>
      </c>
      <c r="AC371" s="13">
        <v>0</v>
      </c>
    </row>
    <row r="372" spans="1:29" x14ac:dyDescent="0.25">
      <c r="A372" s="3">
        <v>1.2376614659863301E+18</v>
      </c>
      <c r="B372" s="3">
        <v>236.34151</v>
      </c>
      <c r="C372" s="3">
        <v>35.652872000000002</v>
      </c>
      <c r="D372" s="16">
        <v>0.57405360000000005</v>
      </c>
      <c r="E372" s="3">
        <v>1.3901699999999977</v>
      </c>
      <c r="F372" s="3">
        <v>2.7086000000000006</v>
      </c>
      <c r="G372" s="3">
        <v>3.7061700000000002</v>
      </c>
      <c r="H372" s="3">
        <v>4.1977899999999977</v>
      </c>
      <c r="I372" s="3">
        <v>1.3184300000000029</v>
      </c>
      <c r="J372" s="3">
        <v>2.3160000000000025</v>
      </c>
      <c r="K372" s="3">
        <v>2.80762</v>
      </c>
      <c r="L372" s="3">
        <v>0.99756999999999962</v>
      </c>
      <c r="M372" s="3">
        <v>1.4891899999999971</v>
      </c>
      <c r="N372" s="3">
        <v>0.4916199999999975</v>
      </c>
      <c r="Q372" s="13">
        <v>0.17075171874006345</v>
      </c>
      <c r="R372" s="13">
        <v>2.7200646103267618</v>
      </c>
      <c r="S372" s="13">
        <v>0.83109745199977703</v>
      </c>
      <c r="T372" s="13">
        <v>0.26201158308801892</v>
      </c>
      <c r="U372" s="13">
        <v>-0.45297528807918874</v>
      </c>
      <c r="V372" s="13">
        <v>0.36490921308990287</v>
      </c>
      <c r="W372" s="13">
        <v>-0.31480437955207258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</row>
    <row r="373" spans="1:29" x14ac:dyDescent="0.25">
      <c r="A373" s="3">
        <v>1.2376614659863301E+18</v>
      </c>
      <c r="B373" s="3">
        <v>236.26297</v>
      </c>
      <c r="C373" s="3">
        <v>35.624699999999997</v>
      </c>
      <c r="D373" s="16">
        <v>0.57423290000000005</v>
      </c>
      <c r="E373" s="3">
        <v>0.79211000000000098</v>
      </c>
      <c r="F373" s="3">
        <v>2.6312700000000007</v>
      </c>
      <c r="G373" s="3">
        <v>3.6668900000000022</v>
      </c>
      <c r="H373" s="3">
        <v>4.3609299999999998</v>
      </c>
      <c r="I373" s="3">
        <v>1.8391599999999997</v>
      </c>
      <c r="J373" s="3">
        <v>2.8747800000000012</v>
      </c>
      <c r="K373" s="3">
        <v>3.5688199999999988</v>
      </c>
      <c r="L373" s="3">
        <v>1.0356200000000015</v>
      </c>
      <c r="M373" s="3">
        <v>1.7296599999999991</v>
      </c>
      <c r="N373" s="3">
        <v>0.69403999999999755</v>
      </c>
      <c r="Q373" s="13">
        <v>-3.6674890703917682</v>
      </c>
      <c r="R373" s="13">
        <v>-4.4541938782226591</v>
      </c>
      <c r="S373" s="13">
        <v>-8.6356493095760545E-2</v>
      </c>
      <c r="T373" s="13">
        <v>-1.535616966213744</v>
      </c>
      <c r="U373" s="13">
        <v>0.57245096982024424</v>
      </c>
      <c r="V373" s="13">
        <v>0.89589493447499291</v>
      </c>
      <c r="W373" s="13">
        <v>0.16181937760473472</v>
      </c>
      <c r="X373" s="13">
        <v>0</v>
      </c>
      <c r="Y373" s="13">
        <v>0</v>
      </c>
      <c r="Z373" s="13">
        <v>0</v>
      </c>
      <c r="AA373" s="13">
        <v>0</v>
      </c>
      <c r="AB373" s="13">
        <v>0</v>
      </c>
      <c r="AC373" s="13">
        <v>0</v>
      </c>
    </row>
    <row r="374" spans="1:29" x14ac:dyDescent="0.25">
      <c r="A374" s="3">
        <v>1.2376625037556401E+18</v>
      </c>
      <c r="B374" s="3">
        <v>236.37797</v>
      </c>
      <c r="C374" s="3">
        <v>36.483097999999998</v>
      </c>
      <c r="D374" s="16">
        <v>0.57434810000000003</v>
      </c>
      <c r="E374" s="3">
        <v>0.46713000000000093</v>
      </c>
      <c r="F374" s="3">
        <v>2.5321899999999999</v>
      </c>
      <c r="G374" s="3">
        <v>3.5280099999999983</v>
      </c>
      <c r="H374" s="3">
        <v>4.1841399999999993</v>
      </c>
      <c r="I374" s="3">
        <v>2.065059999999999</v>
      </c>
      <c r="J374" s="3">
        <v>3.0608799999999974</v>
      </c>
      <c r="K374" s="3">
        <v>3.7170099999999984</v>
      </c>
      <c r="L374" s="3">
        <v>0.99581999999999837</v>
      </c>
      <c r="M374" s="3">
        <v>1.6519499999999994</v>
      </c>
      <c r="N374" s="3">
        <v>0.65613000000000099</v>
      </c>
      <c r="Q374" s="13">
        <v>-2.4735901350198346</v>
      </c>
      <c r="R374" s="13">
        <v>0.57988010538324852</v>
      </c>
      <c r="S374" s="13">
        <v>2.0015242074267188</v>
      </c>
      <c r="T374" s="13">
        <v>-0.41348590862890067</v>
      </c>
      <c r="U374" s="13">
        <v>0.8965653342823533</v>
      </c>
      <c r="V374" s="13">
        <v>-0.21609085865078836</v>
      </c>
      <c r="W374" s="13">
        <v>0.11620353026932198</v>
      </c>
      <c r="X374" s="13">
        <v>0</v>
      </c>
      <c r="Y374" s="13">
        <v>0</v>
      </c>
      <c r="Z374" s="13">
        <v>0</v>
      </c>
      <c r="AA374" s="13">
        <v>0</v>
      </c>
      <c r="AB374" s="13">
        <v>0</v>
      </c>
      <c r="AC374" s="13">
        <v>0</v>
      </c>
    </row>
    <row r="375" spans="1:29" x14ac:dyDescent="0.25">
      <c r="A375" s="3">
        <v>1.2376624736909399E+18</v>
      </c>
      <c r="B375" s="3">
        <v>236.43976000000001</v>
      </c>
      <c r="C375" s="3">
        <v>36.321854000000002</v>
      </c>
      <c r="D375" s="16">
        <v>0.57486490000000001</v>
      </c>
      <c r="E375" s="3">
        <v>2.8939199999999978</v>
      </c>
      <c r="F375" s="3">
        <v>4.9783099999999969</v>
      </c>
      <c r="G375" s="3">
        <v>6.2745999999999995</v>
      </c>
      <c r="H375" s="3">
        <v>6.8351299999999995</v>
      </c>
      <c r="I375" s="3">
        <v>2.0843899999999991</v>
      </c>
      <c r="J375" s="3">
        <v>3.3806800000000017</v>
      </c>
      <c r="K375" s="3">
        <v>3.9412100000000017</v>
      </c>
      <c r="L375" s="3">
        <v>1.2962900000000026</v>
      </c>
      <c r="M375" s="3">
        <v>1.8568200000000026</v>
      </c>
      <c r="N375" s="3">
        <v>0.56052999999999997</v>
      </c>
      <c r="Q375" s="13">
        <v>-2.401638971165402</v>
      </c>
      <c r="R375" s="13">
        <v>-1.3275926209154287</v>
      </c>
      <c r="S375" s="13">
        <v>-0.9207913280079858</v>
      </c>
      <c r="T375" s="13">
        <v>-1.1212993594857843</v>
      </c>
      <c r="U375" s="13">
        <v>0.29597152900408868</v>
      </c>
      <c r="V375" s="13">
        <v>0.75094286931541032</v>
      </c>
      <c r="W375" s="13">
        <v>0.25760195147232001</v>
      </c>
      <c r="X375" s="13">
        <v>0</v>
      </c>
      <c r="Y375" s="13">
        <v>0</v>
      </c>
      <c r="Z375" s="13">
        <v>0</v>
      </c>
      <c r="AA375" s="13">
        <v>0</v>
      </c>
      <c r="AB375" s="13">
        <v>0</v>
      </c>
      <c r="AC375" s="13">
        <v>0</v>
      </c>
    </row>
    <row r="376" spans="1:29" x14ac:dyDescent="0.25">
      <c r="A376" s="3">
        <v>1.23766250375571E+18</v>
      </c>
      <c r="B376" s="3">
        <v>236.51935</v>
      </c>
      <c r="C376" s="3">
        <v>36.546565999999999</v>
      </c>
      <c r="D376" s="16">
        <v>0.57981760000000004</v>
      </c>
      <c r="E376" s="3">
        <v>3.2913199999999989</v>
      </c>
      <c r="F376" s="3">
        <v>4.9806300000000014</v>
      </c>
      <c r="G376" s="3">
        <v>6.0606200000000001</v>
      </c>
      <c r="H376" s="3">
        <v>6.6753</v>
      </c>
      <c r="I376" s="3">
        <v>1.6893100000000025</v>
      </c>
      <c r="J376" s="3">
        <v>2.7693000000000012</v>
      </c>
      <c r="K376" s="3">
        <v>3.3839800000000011</v>
      </c>
      <c r="L376" s="3">
        <v>1.0799899999999987</v>
      </c>
      <c r="M376" s="3">
        <v>1.6946699999999986</v>
      </c>
      <c r="N376" s="3">
        <v>0.61467999999999989</v>
      </c>
      <c r="Q376" s="13">
        <v>-1.6342466031186977</v>
      </c>
      <c r="R376" s="13">
        <v>-0.98131737969624477</v>
      </c>
      <c r="S376" s="13">
        <v>-0.95611186732373155</v>
      </c>
      <c r="T376" s="13">
        <v>-1.1554570583630399</v>
      </c>
      <c r="U376" s="13">
        <v>-0.31709546088353352</v>
      </c>
      <c r="V376" s="13">
        <v>1.4511572910542618</v>
      </c>
      <c r="W376" s="13">
        <v>0.39907967080911144</v>
      </c>
      <c r="X376" s="13">
        <v>0</v>
      </c>
      <c r="Y376" s="13">
        <v>0</v>
      </c>
      <c r="Z376" s="13">
        <v>0</v>
      </c>
      <c r="AA376" s="13">
        <v>0</v>
      </c>
      <c r="AB376" s="13">
        <v>0</v>
      </c>
      <c r="AC376" s="13">
        <v>0</v>
      </c>
    </row>
    <row r="377" spans="1:29" x14ac:dyDescent="0.25">
      <c r="A377" s="3">
        <v>1.2376625037557701E+18</v>
      </c>
      <c r="B377" s="3">
        <v>236.49377000000001</v>
      </c>
      <c r="C377" s="3">
        <v>36.316184</v>
      </c>
      <c r="D377" s="16">
        <v>0.58962110000000001</v>
      </c>
      <c r="E377" s="3">
        <v>1.0610899999999965</v>
      </c>
      <c r="F377" s="3">
        <v>2.2819299999999991</v>
      </c>
      <c r="G377" s="3">
        <v>3.4177999999999997</v>
      </c>
      <c r="H377" s="3">
        <v>4.06494</v>
      </c>
      <c r="I377" s="3">
        <v>1.2208400000000026</v>
      </c>
      <c r="J377" s="3">
        <v>2.3567100000000032</v>
      </c>
      <c r="K377" s="3">
        <v>3.0038500000000035</v>
      </c>
      <c r="L377" s="3">
        <v>1.1358700000000006</v>
      </c>
      <c r="M377" s="3">
        <v>1.7830100000000009</v>
      </c>
      <c r="N377" s="3">
        <v>0.64714000000000027</v>
      </c>
      <c r="Q377" s="13">
        <v>-1.1502178375440457</v>
      </c>
      <c r="R377" s="13">
        <v>1.4969878022221117</v>
      </c>
      <c r="S377" s="13">
        <v>-1.5173548482854899</v>
      </c>
      <c r="T377" s="13">
        <v>5.5939821809794739E-2</v>
      </c>
      <c r="U377" s="13">
        <v>0.16488420733516135</v>
      </c>
      <c r="V377" s="13">
        <v>0.31166677950367722</v>
      </c>
      <c r="W377" s="13">
        <v>8.4502513111896313E-2</v>
      </c>
      <c r="X377" s="13">
        <v>0</v>
      </c>
      <c r="Y377" s="13">
        <v>0</v>
      </c>
      <c r="Z377" s="13">
        <v>0</v>
      </c>
      <c r="AA377" s="13">
        <v>0</v>
      </c>
      <c r="AB377" s="13">
        <v>0</v>
      </c>
      <c r="AC377" s="13">
        <v>0</v>
      </c>
    </row>
    <row r="378" spans="1:29" x14ac:dyDescent="0.25">
      <c r="A378" s="3">
        <v>1.23766247369074E+18</v>
      </c>
      <c r="B378" s="3">
        <v>235.86815000000001</v>
      </c>
      <c r="C378" s="3">
        <v>36.585321</v>
      </c>
      <c r="D378" s="16">
        <v>0.59100940000000002</v>
      </c>
      <c r="E378" s="3">
        <v>0.99209000000000103</v>
      </c>
      <c r="F378" s="3">
        <v>2.7683</v>
      </c>
      <c r="G378" s="3">
        <v>3.8323800000000006</v>
      </c>
      <c r="H378" s="3">
        <v>4.3556400000000011</v>
      </c>
      <c r="I378" s="3">
        <v>1.776209999999999</v>
      </c>
      <c r="J378" s="3">
        <v>2.8402899999999995</v>
      </c>
      <c r="K378" s="3">
        <v>3.36355</v>
      </c>
      <c r="L378" s="3">
        <v>1.0640800000000006</v>
      </c>
      <c r="M378" s="3">
        <v>1.5873400000000011</v>
      </c>
      <c r="N378" s="3">
        <v>0.5232600000000005</v>
      </c>
      <c r="Q378" s="13">
        <v>-1.5706437568823284</v>
      </c>
      <c r="R378" s="13">
        <v>0.8085269665892677</v>
      </c>
      <c r="S378" s="13">
        <v>-1.6957834413229462</v>
      </c>
      <c r="T378" s="13">
        <v>0.43911783057126635</v>
      </c>
      <c r="U378" s="13">
        <v>-0.12025096022726392</v>
      </c>
      <c r="V378" s="13">
        <v>0.37333159970799346</v>
      </c>
      <c r="W378" s="13">
        <v>8.6536962737892548E-2</v>
      </c>
      <c r="X378" s="13">
        <v>0</v>
      </c>
      <c r="Y378" s="13">
        <v>0</v>
      </c>
      <c r="Z378" s="13">
        <v>0</v>
      </c>
      <c r="AA378" s="13">
        <v>0</v>
      </c>
      <c r="AB378" s="13">
        <v>0</v>
      </c>
      <c r="AC378" s="13">
        <v>0</v>
      </c>
    </row>
    <row r="379" spans="1:29" x14ac:dyDescent="0.25">
      <c r="A379" s="3">
        <v>1.23766247369074E+18</v>
      </c>
      <c r="B379" s="3">
        <v>235.99646999999999</v>
      </c>
      <c r="C379" s="3">
        <v>36.586255000000001</v>
      </c>
      <c r="D379" s="16">
        <v>0.59242760000000005</v>
      </c>
      <c r="E379" s="3">
        <v>0.4826599999999992</v>
      </c>
      <c r="F379" s="3">
        <v>2.2841299999999976</v>
      </c>
      <c r="G379" s="3">
        <v>3.2886299999999977</v>
      </c>
      <c r="H379" s="3">
        <v>3.7980299999999971</v>
      </c>
      <c r="I379" s="3">
        <v>1.8014699999999984</v>
      </c>
      <c r="J379" s="3">
        <v>2.8059699999999985</v>
      </c>
      <c r="K379" s="3">
        <v>3.3153699999999979</v>
      </c>
      <c r="L379" s="3">
        <v>1.0045000000000002</v>
      </c>
      <c r="M379" s="3">
        <v>1.5138999999999996</v>
      </c>
      <c r="N379" s="3">
        <v>0.50939999999999941</v>
      </c>
      <c r="Q379" s="13">
        <v>-0.1359419774839111</v>
      </c>
      <c r="R379" s="13">
        <v>1.3949860144491943</v>
      </c>
      <c r="S379" s="13">
        <v>-1.7322539161880259</v>
      </c>
      <c r="T379" s="13">
        <v>7.0591729887536342E-2</v>
      </c>
      <c r="U379" s="13">
        <v>-0.56814429389617671</v>
      </c>
      <c r="V379" s="13">
        <v>0.8386889326456326</v>
      </c>
      <c r="W379" s="13">
        <v>-0.16048803973575548</v>
      </c>
      <c r="X379" s="13">
        <v>0</v>
      </c>
      <c r="Y379" s="13">
        <v>0</v>
      </c>
      <c r="Z379" s="13">
        <v>0</v>
      </c>
      <c r="AA379" s="13">
        <v>0</v>
      </c>
      <c r="AB379" s="13">
        <v>0</v>
      </c>
      <c r="AC379" s="13">
        <v>0</v>
      </c>
    </row>
    <row r="380" spans="1:29" x14ac:dyDescent="0.25">
      <c r="A380" s="3">
        <v>1.23766247369074E+18</v>
      </c>
      <c r="B380" s="3">
        <v>235.953</v>
      </c>
      <c r="C380" s="3">
        <v>36.593406999999999</v>
      </c>
      <c r="D380" s="16">
        <v>0.59282840000000003</v>
      </c>
      <c r="E380" s="3">
        <v>1.0743800000000014</v>
      </c>
      <c r="F380" s="3">
        <v>2.4218800000000016</v>
      </c>
      <c r="G380" s="3">
        <v>3.3967700000000001</v>
      </c>
      <c r="H380" s="3">
        <v>3.8523700000000005</v>
      </c>
      <c r="I380" s="3">
        <v>1.3475000000000001</v>
      </c>
      <c r="J380" s="3">
        <v>2.3223899999999986</v>
      </c>
      <c r="K380" s="3">
        <v>2.7779899999999991</v>
      </c>
      <c r="L380" s="3">
        <v>0.97488999999999848</v>
      </c>
      <c r="M380" s="3">
        <v>1.4304899999999989</v>
      </c>
      <c r="N380" s="3">
        <v>0.45560000000000045</v>
      </c>
      <c r="Q380" s="13">
        <v>-0.13600149370030629</v>
      </c>
      <c r="R380" s="13">
        <v>1.3950206716668339</v>
      </c>
      <c r="S380" s="13">
        <v>-1.73225786941291</v>
      </c>
      <c r="T380" s="13">
        <v>7.0594533146412966E-2</v>
      </c>
      <c r="U380" s="13">
        <v>-0.56811460220659082</v>
      </c>
      <c r="V380" s="13">
        <v>0.83879139559501159</v>
      </c>
      <c r="W380" s="13">
        <v>-0.16062043239423857</v>
      </c>
      <c r="X380" s="13">
        <v>0</v>
      </c>
      <c r="Y380" s="13">
        <v>0</v>
      </c>
      <c r="Z380" s="13">
        <v>0</v>
      </c>
      <c r="AA380" s="13">
        <v>0</v>
      </c>
      <c r="AB380" s="13">
        <v>0</v>
      </c>
      <c r="AC380" s="13">
        <v>0</v>
      </c>
    </row>
    <row r="381" spans="1:29" x14ac:dyDescent="0.25">
      <c r="A381" s="3">
        <v>1.2376625032189E+18</v>
      </c>
      <c r="B381" s="3">
        <v>236.2705</v>
      </c>
      <c r="C381" s="3">
        <v>35.976362999999999</v>
      </c>
      <c r="D381" s="16">
        <v>0.59927739999999996</v>
      </c>
      <c r="E381" s="3">
        <v>2.1902499999999989</v>
      </c>
      <c r="F381" s="3">
        <v>3.688839999999999</v>
      </c>
      <c r="G381" s="3">
        <v>4.7508400000000002</v>
      </c>
      <c r="H381" s="3">
        <v>5.4160600000000017</v>
      </c>
      <c r="I381" s="3">
        <v>1.4985900000000001</v>
      </c>
      <c r="J381" s="3">
        <v>2.5605900000000013</v>
      </c>
      <c r="K381" s="3">
        <v>3.2258100000000027</v>
      </c>
      <c r="L381" s="3">
        <v>1.0620000000000012</v>
      </c>
      <c r="M381" s="3">
        <v>1.7272200000000026</v>
      </c>
      <c r="N381" s="3">
        <v>0.66522000000000148</v>
      </c>
      <c r="Q381" s="13">
        <v>-4.6397722615864136</v>
      </c>
      <c r="R381" s="13">
        <v>-2.4773321485132442E-2</v>
      </c>
      <c r="S381" s="13">
        <v>7.5605900118030617E-2</v>
      </c>
      <c r="T381" s="13">
        <v>-1.4325054569160367</v>
      </c>
      <c r="U381" s="13">
        <v>-1.5766695921831313</v>
      </c>
      <c r="V381" s="13">
        <v>-0.45785689797115936</v>
      </c>
      <c r="W381" s="13">
        <v>0.16495590667076299</v>
      </c>
      <c r="X381" s="13">
        <v>0</v>
      </c>
      <c r="Y381" s="13">
        <v>0</v>
      </c>
      <c r="Z381" s="13">
        <v>0</v>
      </c>
      <c r="AA381" s="13">
        <v>0</v>
      </c>
      <c r="AB381" s="13">
        <v>0</v>
      </c>
      <c r="AC381" s="13">
        <v>0</v>
      </c>
    </row>
    <row r="382" spans="1:29" x14ac:dyDescent="0.25">
      <c r="A382" s="3">
        <v>1.2376625037556401E+18</v>
      </c>
      <c r="B382" s="3">
        <v>236.38063</v>
      </c>
      <c r="C382" s="3">
        <v>36.562551999999997</v>
      </c>
      <c r="D382" s="16">
        <v>0.6001263</v>
      </c>
      <c r="E382" s="3">
        <v>-1.5900000000002024E-3</v>
      </c>
      <c r="F382" s="3">
        <v>1.4370399999999997</v>
      </c>
      <c r="G382" s="3">
        <v>2.2947699999999998</v>
      </c>
      <c r="H382" s="3">
        <v>2.6332599999999999</v>
      </c>
      <c r="I382" s="3">
        <v>1.4386299999999999</v>
      </c>
      <c r="J382" s="3">
        <v>2.29636</v>
      </c>
      <c r="K382" s="3">
        <v>2.6348500000000001</v>
      </c>
      <c r="L382" s="3">
        <v>0.8577300000000001</v>
      </c>
      <c r="M382" s="3">
        <v>1.1962200000000003</v>
      </c>
      <c r="N382" s="3">
        <v>0.33849000000000018</v>
      </c>
      <c r="Q382" s="13">
        <v>-0.54164049472632803</v>
      </c>
      <c r="R382" s="13">
        <v>2.1439979674826346</v>
      </c>
      <c r="S382" s="13">
        <v>-1.8105103738586934</v>
      </c>
      <c r="T382" s="13">
        <v>-0.53328395128658168</v>
      </c>
      <c r="U382" s="13">
        <v>0.60861794133237934</v>
      </c>
      <c r="V382" s="13">
        <v>-8.6363106609360765E-2</v>
      </c>
      <c r="W382" s="13">
        <v>-0.25859940757858857</v>
      </c>
      <c r="X382" s="13">
        <v>0</v>
      </c>
      <c r="Y382" s="13">
        <v>0</v>
      </c>
      <c r="Z382" s="13">
        <v>0</v>
      </c>
      <c r="AA382" s="13">
        <v>0</v>
      </c>
      <c r="AB382" s="13">
        <v>0</v>
      </c>
      <c r="AC382" s="13">
        <v>0</v>
      </c>
    </row>
    <row r="383" spans="1:29" x14ac:dyDescent="0.25">
      <c r="A383" s="3">
        <v>1.23766233786351E+18</v>
      </c>
      <c r="B383" s="3">
        <v>235.73212000000001</v>
      </c>
      <c r="C383" s="3">
        <v>35.856115000000003</v>
      </c>
      <c r="D383" s="16">
        <v>0.6017247</v>
      </c>
      <c r="E383" s="3">
        <v>0.7410899999999998</v>
      </c>
      <c r="F383" s="3">
        <v>1.7513000000000005</v>
      </c>
      <c r="G383" s="3">
        <v>2.457259999999998</v>
      </c>
      <c r="H383" s="3">
        <v>3.1222899999999996</v>
      </c>
      <c r="I383" s="3">
        <v>1.0102100000000007</v>
      </c>
      <c r="J383" s="3">
        <v>1.7161699999999982</v>
      </c>
      <c r="K383" s="3">
        <v>2.3811999999999998</v>
      </c>
      <c r="L383" s="3">
        <v>0.70595999999999748</v>
      </c>
      <c r="M383" s="3">
        <v>1.370989999999999</v>
      </c>
      <c r="N383" s="3">
        <v>0.66503000000000156</v>
      </c>
      <c r="Q383" s="13">
        <v>1.3174840339162248</v>
      </c>
      <c r="R383" s="13">
        <v>2.0651520700231401</v>
      </c>
      <c r="S383" s="13">
        <v>1.3277684300027526</v>
      </c>
      <c r="T383" s="13">
        <v>-0.96565054345181767</v>
      </c>
      <c r="U383" s="13">
        <v>-0.77354364818217358</v>
      </c>
      <c r="V383" s="13">
        <v>1.7651491239226291</v>
      </c>
      <c r="W383" s="13">
        <v>-0.1386322392316072</v>
      </c>
      <c r="X383" s="13">
        <v>0</v>
      </c>
      <c r="Y383" s="13">
        <v>0</v>
      </c>
      <c r="Z383" s="13">
        <v>0</v>
      </c>
      <c r="AA383" s="13">
        <v>0</v>
      </c>
      <c r="AB383" s="13">
        <v>0</v>
      </c>
      <c r="AC383" s="13">
        <v>0</v>
      </c>
    </row>
    <row r="384" spans="1:29" x14ac:dyDescent="0.25">
      <c r="A384" s="3">
        <v>1.2376624736909399E+18</v>
      </c>
      <c r="B384" s="3">
        <v>236.33093</v>
      </c>
      <c r="C384" s="3">
        <v>36.296190000000003</v>
      </c>
      <c r="D384" s="16">
        <v>0.60239480000000001</v>
      </c>
      <c r="E384" s="3">
        <v>1.9173299999999998</v>
      </c>
      <c r="F384" s="3">
        <v>3.7025500000000022</v>
      </c>
      <c r="G384" s="3">
        <v>4.72879</v>
      </c>
      <c r="H384" s="3">
        <v>5.3237900000000025</v>
      </c>
      <c r="I384" s="3">
        <v>1.7852200000000025</v>
      </c>
      <c r="J384" s="3">
        <v>2.8114600000000003</v>
      </c>
      <c r="K384" s="3">
        <v>3.4064600000000027</v>
      </c>
      <c r="L384" s="3">
        <v>1.0262399999999978</v>
      </c>
      <c r="M384" s="3">
        <v>1.6212400000000002</v>
      </c>
      <c r="N384" s="3">
        <v>0.59500000000000242</v>
      </c>
      <c r="Q384" s="13">
        <v>-3.7685012824240069</v>
      </c>
      <c r="R384" s="13">
        <v>-2.9036019996981617</v>
      </c>
      <c r="S384" s="13">
        <v>1.2020061839609124</v>
      </c>
      <c r="T384" s="13">
        <v>-0.10795626037652127</v>
      </c>
      <c r="U384" s="13">
        <v>-4.6978923417191835E-2</v>
      </c>
      <c r="V384" s="13">
        <v>1.1781973011519155E-2</v>
      </c>
      <c r="W384" s="13">
        <v>-0.33162094088517019</v>
      </c>
      <c r="X384" s="13">
        <v>0</v>
      </c>
      <c r="Y384" s="13">
        <v>0</v>
      </c>
      <c r="Z384" s="13">
        <v>0</v>
      </c>
      <c r="AA384" s="13">
        <v>0</v>
      </c>
      <c r="AB384" s="13">
        <v>0</v>
      </c>
      <c r="AC384" s="13">
        <v>0</v>
      </c>
    </row>
    <row r="385" spans="1:29" x14ac:dyDescent="0.25">
      <c r="A385" s="3">
        <v>1.2376624736909399E+18</v>
      </c>
      <c r="B385" s="3">
        <v>236.33093</v>
      </c>
      <c r="C385" s="3">
        <v>36.296190000000003</v>
      </c>
      <c r="D385" s="16">
        <v>0.60253420000000002</v>
      </c>
      <c r="E385" s="3">
        <v>1.9173299999999998</v>
      </c>
      <c r="F385" s="3">
        <v>3.7025500000000022</v>
      </c>
      <c r="G385" s="3">
        <v>4.72879</v>
      </c>
      <c r="H385" s="3">
        <v>5.3237900000000025</v>
      </c>
      <c r="I385" s="3">
        <v>1.7852200000000025</v>
      </c>
      <c r="J385" s="3">
        <v>2.8114600000000003</v>
      </c>
      <c r="K385" s="3">
        <v>3.4064600000000027</v>
      </c>
      <c r="L385" s="3">
        <v>1.0262399999999978</v>
      </c>
      <c r="M385" s="3">
        <v>1.6212400000000002</v>
      </c>
      <c r="N385" s="3">
        <v>0.59500000000000242</v>
      </c>
      <c r="Q385" s="13">
        <v>-3.5316188114456195</v>
      </c>
      <c r="R385" s="13">
        <v>-1.3952869740737559</v>
      </c>
      <c r="S385" s="13">
        <v>1.1869798449826361</v>
      </c>
      <c r="T385" s="13">
        <v>-0.74768376784459711</v>
      </c>
      <c r="U385" s="13">
        <v>0.38389049920094398</v>
      </c>
      <c r="V385" s="13">
        <v>-0.19697035920981118</v>
      </c>
      <c r="W385" s="13">
        <v>-0.13546077859881189</v>
      </c>
      <c r="X385" s="13">
        <v>0</v>
      </c>
      <c r="Y385" s="13">
        <v>0</v>
      </c>
      <c r="Z385" s="13">
        <v>0</v>
      </c>
      <c r="AA385" s="13">
        <v>0</v>
      </c>
      <c r="AB385" s="13">
        <v>0</v>
      </c>
      <c r="AC385" s="13">
        <v>0</v>
      </c>
    </row>
    <row r="386" spans="1:29" x14ac:dyDescent="0.25">
      <c r="A386" s="3">
        <v>1.2376625032190999E+18</v>
      </c>
      <c r="B386" s="3">
        <v>236.73903999999999</v>
      </c>
      <c r="C386" s="3">
        <v>35.691412</v>
      </c>
      <c r="D386" s="16">
        <v>0.60596910000000004</v>
      </c>
      <c r="E386" s="3">
        <v>1.6847299999999983</v>
      </c>
      <c r="F386" s="3">
        <v>3.0898699999999977</v>
      </c>
      <c r="G386" s="3">
        <v>4.0293899999999994</v>
      </c>
      <c r="H386" s="3">
        <v>4.5044800000000009</v>
      </c>
      <c r="I386" s="3">
        <v>1.4051399999999994</v>
      </c>
      <c r="J386" s="3">
        <v>2.3446600000000011</v>
      </c>
      <c r="K386" s="3">
        <v>2.8197500000000026</v>
      </c>
      <c r="L386" s="3">
        <v>0.93952000000000169</v>
      </c>
      <c r="M386" s="3">
        <v>1.4146100000000033</v>
      </c>
      <c r="N386" s="3">
        <v>0.47509000000000157</v>
      </c>
      <c r="Q386" s="13">
        <v>-3.988398833158675</v>
      </c>
      <c r="R386" s="13">
        <v>-2.433724893106779</v>
      </c>
      <c r="S386" s="13">
        <v>0.9788219985050971</v>
      </c>
      <c r="T386" s="13">
        <v>0.54037512678885891</v>
      </c>
      <c r="U386" s="13">
        <v>0.79213172400216791</v>
      </c>
      <c r="V386" s="13">
        <v>-0.10539939837586518</v>
      </c>
      <c r="W386" s="13">
        <v>-7.2223723060243702E-3</v>
      </c>
      <c r="X386" s="13">
        <v>0</v>
      </c>
      <c r="Y386" s="13">
        <v>0</v>
      </c>
      <c r="Z386" s="13">
        <v>0</v>
      </c>
      <c r="AA386" s="13">
        <v>0</v>
      </c>
      <c r="AB386" s="13">
        <v>0</v>
      </c>
      <c r="AC386" s="13">
        <v>0</v>
      </c>
    </row>
    <row r="387" spans="1:29" x14ac:dyDescent="0.25">
      <c r="A387" s="3">
        <v>1.2376614659862001E+18</v>
      </c>
      <c r="B387" s="3">
        <v>235.99653000000001</v>
      </c>
      <c r="C387" s="3">
        <v>35.808416000000001</v>
      </c>
      <c r="D387" s="16">
        <v>0.61062159999999999</v>
      </c>
      <c r="E387" s="3">
        <v>2.6701100000000011</v>
      </c>
      <c r="F387" s="3">
        <v>4.2054200000000002</v>
      </c>
      <c r="G387" s="3">
        <v>5.4019399999999997</v>
      </c>
      <c r="H387" s="3">
        <v>6.0510200000000012</v>
      </c>
      <c r="I387" s="3">
        <v>1.5353099999999991</v>
      </c>
      <c r="J387" s="3">
        <v>2.7318299999999986</v>
      </c>
      <c r="K387" s="3">
        <v>3.3809100000000001</v>
      </c>
      <c r="L387" s="3">
        <v>1.1965199999999996</v>
      </c>
      <c r="M387" s="3">
        <v>1.845600000000001</v>
      </c>
      <c r="N387" s="3">
        <v>0.64908000000000143</v>
      </c>
      <c r="Q387" s="13">
        <v>-3.0471444370390146</v>
      </c>
      <c r="R387" s="13">
        <v>-0.23181544373932705</v>
      </c>
      <c r="S387" s="13">
        <v>1.003376533081703</v>
      </c>
      <c r="T387" s="13">
        <v>-1.0044078416384874</v>
      </c>
      <c r="U387" s="13">
        <v>1.104027151629263</v>
      </c>
      <c r="V387" s="13">
        <v>-0.41979195962908994</v>
      </c>
      <c r="W387" s="13">
        <v>-6.3077100014827331E-2</v>
      </c>
      <c r="X387" s="13">
        <v>0</v>
      </c>
      <c r="Y387" s="13">
        <v>0</v>
      </c>
      <c r="Z387" s="13">
        <v>0</v>
      </c>
      <c r="AA387" s="13">
        <v>0</v>
      </c>
      <c r="AB387" s="13">
        <v>0</v>
      </c>
      <c r="AC387" s="13">
        <v>0</v>
      </c>
    </row>
    <row r="388" spans="1:29" x14ac:dyDescent="0.25">
      <c r="A388" s="3">
        <v>1.23766250375571E+18</v>
      </c>
      <c r="B388" s="3">
        <v>236.41127</v>
      </c>
      <c r="C388" s="3">
        <v>36.389094</v>
      </c>
      <c r="D388" s="16">
        <v>0.61104910000000001</v>
      </c>
      <c r="E388" s="3">
        <v>-8.481000000000094E-2</v>
      </c>
      <c r="F388" s="3">
        <v>1.4992300000000007</v>
      </c>
      <c r="G388" s="3">
        <v>3.0704399999999978</v>
      </c>
      <c r="H388" s="3">
        <v>3.9557199999999995</v>
      </c>
      <c r="I388" s="3">
        <v>1.5840400000000017</v>
      </c>
      <c r="J388" s="3">
        <v>3.1552499999999988</v>
      </c>
      <c r="K388" s="3">
        <v>4.0405300000000004</v>
      </c>
      <c r="L388" s="3">
        <v>1.5712099999999971</v>
      </c>
      <c r="M388" s="3">
        <v>2.4564899999999987</v>
      </c>
      <c r="N388" s="3">
        <v>0.88528000000000162</v>
      </c>
      <c r="Q388" s="13">
        <v>-1.9842873195705126</v>
      </c>
      <c r="R388" s="13">
        <v>4.3357206438945006</v>
      </c>
      <c r="S388" s="13">
        <v>0.82494455384343346</v>
      </c>
      <c r="T388" s="13">
        <v>-0.37735877286544556</v>
      </c>
      <c r="U388" s="13">
        <v>-0.15920947107165498</v>
      </c>
      <c r="V388" s="13">
        <v>-0.90663015329282859</v>
      </c>
      <c r="W388" s="13">
        <v>1.2085435319198323E-2</v>
      </c>
      <c r="X388" s="13">
        <v>0</v>
      </c>
      <c r="Y388" s="13">
        <v>0</v>
      </c>
      <c r="Z388" s="13">
        <v>0</v>
      </c>
      <c r="AA388" s="13">
        <v>0</v>
      </c>
      <c r="AB388" s="13">
        <v>0</v>
      </c>
      <c r="AC388" s="13">
        <v>0</v>
      </c>
    </row>
    <row r="389" spans="1:29" x14ac:dyDescent="0.25">
      <c r="A389" s="3">
        <v>1.2376624736910001E+18</v>
      </c>
      <c r="B389" s="3">
        <v>236.40432999999999</v>
      </c>
      <c r="C389" s="3">
        <v>36.202257000000003</v>
      </c>
      <c r="D389" s="16">
        <v>0.61435850000000003</v>
      </c>
      <c r="E389" s="3">
        <v>0.54938999999999893</v>
      </c>
      <c r="F389" s="3">
        <v>2.540379999999999</v>
      </c>
      <c r="G389" s="3">
        <v>3.6705499999999986</v>
      </c>
      <c r="H389" s="3">
        <v>4.3325500000000012</v>
      </c>
      <c r="I389" s="3">
        <v>1.99099</v>
      </c>
      <c r="J389" s="3">
        <v>3.1211599999999997</v>
      </c>
      <c r="K389" s="3">
        <v>3.7831600000000023</v>
      </c>
      <c r="L389" s="3">
        <v>1.1301699999999997</v>
      </c>
      <c r="M389" s="3">
        <v>1.7921700000000023</v>
      </c>
      <c r="N389" s="3">
        <v>0.66200000000000259</v>
      </c>
      <c r="Q389" s="13">
        <v>-2.5130688317709042</v>
      </c>
      <c r="R389" s="13">
        <v>-2.6888375848912425</v>
      </c>
      <c r="S389" s="13">
        <v>1.3337528817349571</v>
      </c>
      <c r="T389" s="13">
        <v>0.19001806139494057</v>
      </c>
      <c r="U389" s="13">
        <v>1.0910196144142894</v>
      </c>
      <c r="V389" s="13">
        <v>0.98591119658785886</v>
      </c>
      <c r="W389" s="13">
        <v>0.15251539447988305</v>
      </c>
      <c r="X389" s="13">
        <v>0</v>
      </c>
      <c r="Y389" s="13">
        <v>0</v>
      </c>
      <c r="Z389" s="13">
        <v>0</v>
      </c>
      <c r="AA389" s="13">
        <v>0</v>
      </c>
      <c r="AB389" s="13">
        <v>0</v>
      </c>
      <c r="AC389" s="13">
        <v>0</v>
      </c>
    </row>
    <row r="390" spans="1:29" x14ac:dyDescent="0.25">
      <c r="A390" s="3">
        <v>1.2376624736910001E+18</v>
      </c>
      <c r="B390" s="3">
        <v>236.40432999999999</v>
      </c>
      <c r="C390" s="3">
        <v>36.202257000000003</v>
      </c>
      <c r="D390" s="16">
        <v>0.61459019999999998</v>
      </c>
      <c r="E390" s="3">
        <v>0.54938999999999893</v>
      </c>
      <c r="F390" s="3">
        <v>2.540379999999999</v>
      </c>
      <c r="G390" s="3">
        <v>3.6705499999999986</v>
      </c>
      <c r="H390" s="3">
        <v>4.3325500000000012</v>
      </c>
      <c r="I390" s="3">
        <v>1.99099</v>
      </c>
      <c r="J390" s="3">
        <v>3.1211599999999997</v>
      </c>
      <c r="K390" s="3">
        <v>3.7831600000000023</v>
      </c>
      <c r="L390" s="3">
        <v>1.1301699999999997</v>
      </c>
      <c r="M390" s="3">
        <v>1.7921700000000023</v>
      </c>
      <c r="N390" s="3">
        <v>0.66200000000000259</v>
      </c>
      <c r="Q390" s="13">
        <v>-2.5132085931423158</v>
      </c>
      <c r="R390" s="13">
        <v>-2.688756199672889</v>
      </c>
      <c r="S390" s="13">
        <v>1.3337435984141313</v>
      </c>
      <c r="T390" s="13">
        <v>0.19002464426140561</v>
      </c>
      <c r="U390" s="13">
        <v>1.0910893391297904</v>
      </c>
      <c r="V390" s="13">
        <v>0.98615180936855784</v>
      </c>
      <c r="W390" s="13">
        <v>0.15220449804468453</v>
      </c>
      <c r="X390" s="13">
        <v>0</v>
      </c>
      <c r="Y390" s="13">
        <v>0</v>
      </c>
      <c r="Z390" s="13">
        <v>0</v>
      </c>
      <c r="AA390" s="13">
        <v>0</v>
      </c>
      <c r="AB390" s="13">
        <v>0</v>
      </c>
      <c r="AC390" s="13">
        <v>0</v>
      </c>
    </row>
    <row r="391" spans="1:29" x14ac:dyDescent="0.25">
      <c r="A391" s="3">
        <v>1.2376624736910001E+18</v>
      </c>
      <c r="B391" s="3">
        <v>236.40675999999999</v>
      </c>
      <c r="C391" s="3">
        <v>36.208255000000001</v>
      </c>
      <c r="D391" s="16">
        <v>0.61752399999999996</v>
      </c>
      <c r="E391" s="3">
        <v>0.48648000000000025</v>
      </c>
      <c r="F391" s="3">
        <v>2.0130499999999998</v>
      </c>
      <c r="G391" s="3">
        <v>3.1407299999999978</v>
      </c>
      <c r="H391" s="3">
        <v>3.6592599999999997</v>
      </c>
      <c r="I391" s="3">
        <v>1.5265699999999995</v>
      </c>
      <c r="J391" s="3">
        <v>2.6542499999999976</v>
      </c>
      <c r="K391" s="3">
        <v>3.1727799999999995</v>
      </c>
      <c r="L391" s="3">
        <v>1.127679999999998</v>
      </c>
      <c r="M391" s="3">
        <v>1.64621</v>
      </c>
      <c r="N391" s="3">
        <v>0.51853000000000193</v>
      </c>
      <c r="Q391" s="13">
        <v>-2.2169059307030694</v>
      </c>
      <c r="R391" s="13">
        <v>2.3504299823989947</v>
      </c>
      <c r="S391" s="13">
        <v>2.6104497592816866E-2</v>
      </c>
      <c r="T391" s="13">
        <v>-0.76269878939942859</v>
      </c>
      <c r="U391" s="13">
        <v>-0.18380996397029797</v>
      </c>
      <c r="V391" s="13">
        <v>-0.3340139581106355</v>
      </c>
      <c r="W391" s="13">
        <v>4.7714937095376532E-2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</row>
    <row r="392" spans="1:29" x14ac:dyDescent="0.25">
      <c r="A392" s="3">
        <v>1.23766247369087E+18</v>
      </c>
      <c r="B392" s="3">
        <v>236.17</v>
      </c>
      <c r="C392" s="3">
        <v>36.290598000000003</v>
      </c>
      <c r="D392" s="16">
        <v>0.61812180000000005</v>
      </c>
      <c r="E392" s="3">
        <v>0.78533999999999793</v>
      </c>
      <c r="F392" s="3">
        <v>2.5051399999999973</v>
      </c>
      <c r="G392" s="3">
        <v>3.6074199999999976</v>
      </c>
      <c r="H392" s="3">
        <v>4.2607299999999988</v>
      </c>
      <c r="I392" s="3">
        <v>1.7197999999999993</v>
      </c>
      <c r="J392" s="3">
        <v>2.8220799999999997</v>
      </c>
      <c r="K392" s="3">
        <v>3.4753900000000009</v>
      </c>
      <c r="L392" s="3">
        <v>1.1022800000000004</v>
      </c>
      <c r="M392" s="3">
        <v>1.7555900000000015</v>
      </c>
      <c r="N392" s="3">
        <v>0.65331000000000117</v>
      </c>
      <c r="Q392" s="13">
        <v>-4.637585249424693</v>
      </c>
      <c r="R392" s="13">
        <v>-2.1927784506073213</v>
      </c>
      <c r="S392" s="13">
        <v>2.411470670129702</v>
      </c>
      <c r="T392" s="13">
        <v>0.35997372514284987</v>
      </c>
      <c r="U392" s="13">
        <v>0.20405733604878112</v>
      </c>
      <c r="V392" s="13">
        <v>-0.62558068159870461</v>
      </c>
      <c r="W392" s="13">
        <v>-0.23977457979055716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</row>
    <row r="393" spans="1:29" x14ac:dyDescent="0.25">
      <c r="A393" s="3">
        <v>1.2376625032188401E+18</v>
      </c>
      <c r="B393" s="3">
        <v>236.20054999999999</v>
      </c>
      <c r="C393" s="3">
        <v>36.196964000000001</v>
      </c>
      <c r="D393" s="16">
        <v>0.62161840000000002</v>
      </c>
      <c r="E393" s="3">
        <v>3.30715</v>
      </c>
      <c r="F393" s="3">
        <v>5.1374500000000012</v>
      </c>
      <c r="G393" s="3">
        <v>6.2598100000000017</v>
      </c>
      <c r="H393" s="3">
        <v>6.9848099999999995</v>
      </c>
      <c r="I393" s="3">
        <v>1.8303000000000011</v>
      </c>
      <c r="J393" s="3">
        <v>2.9526600000000016</v>
      </c>
      <c r="K393" s="3">
        <v>3.6776599999999995</v>
      </c>
      <c r="L393" s="3">
        <v>1.1223600000000005</v>
      </c>
      <c r="M393" s="3">
        <v>1.8473599999999983</v>
      </c>
      <c r="N393" s="3">
        <v>0.72499999999999787</v>
      </c>
      <c r="Q393" s="13">
        <v>-1.0493922940974234</v>
      </c>
      <c r="R393" s="13">
        <v>0.97721969490744143</v>
      </c>
      <c r="S393" s="13">
        <v>-0.99155942984949019</v>
      </c>
      <c r="T393" s="13">
        <v>-1.2782054218826684</v>
      </c>
      <c r="U393" s="13">
        <v>0.62759435644150097</v>
      </c>
      <c r="V393" s="13">
        <v>0.4979643274155523</v>
      </c>
      <c r="W393" s="13">
        <v>4.5247614783750075E-3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</row>
    <row r="394" spans="1:29" x14ac:dyDescent="0.25">
      <c r="A394" s="3">
        <v>1.23766247369074E+18</v>
      </c>
      <c r="B394" s="3">
        <v>235.80663000000001</v>
      </c>
      <c r="C394" s="3">
        <v>36.589880000000001</v>
      </c>
      <c r="D394" s="16">
        <v>0.62682689999999996</v>
      </c>
      <c r="E394" s="3">
        <v>-0.18815999999999988</v>
      </c>
      <c r="F394" s="3">
        <v>1.4453700000000005</v>
      </c>
      <c r="G394" s="3">
        <v>2.5507199999999983</v>
      </c>
      <c r="H394" s="3">
        <v>2.8666799999999988</v>
      </c>
      <c r="I394" s="3">
        <v>1.6335300000000004</v>
      </c>
      <c r="J394" s="3">
        <v>2.7388799999999982</v>
      </c>
      <c r="K394" s="3">
        <v>3.0548399999999987</v>
      </c>
      <c r="L394" s="3">
        <v>1.1053499999999978</v>
      </c>
      <c r="M394" s="3">
        <v>1.4213099999999983</v>
      </c>
      <c r="N394" s="3">
        <v>0.31596000000000046</v>
      </c>
      <c r="Q394" s="13">
        <v>-2.4418088223462995</v>
      </c>
      <c r="R394" s="13">
        <v>1.8458486403205689</v>
      </c>
      <c r="S394" s="13">
        <v>-1.4009129210194655</v>
      </c>
      <c r="T394" s="13">
        <v>-1.2115015914673548</v>
      </c>
      <c r="U394" s="13">
        <v>0.22771919722292366</v>
      </c>
      <c r="V394" s="13">
        <v>-0.58113485429800982</v>
      </c>
      <c r="W394" s="13">
        <v>-5.4306209118486486E-2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</row>
    <row r="395" spans="1:29" x14ac:dyDescent="0.25">
      <c r="A395" s="3">
        <v>1.2376625032186399E+18</v>
      </c>
      <c r="B395" s="3">
        <v>235.72863000000001</v>
      </c>
      <c r="C395" s="3">
        <v>36.440753000000001</v>
      </c>
      <c r="D395" s="16">
        <v>0.62733669999999997</v>
      </c>
      <c r="E395" s="3">
        <v>-1.1891500000000015</v>
      </c>
      <c r="F395" s="3">
        <v>1.7695399999999992</v>
      </c>
      <c r="G395" s="3">
        <v>2.8894999999999982</v>
      </c>
      <c r="H395" s="3">
        <v>3.7974899999999998</v>
      </c>
      <c r="I395" s="3">
        <v>2.9586900000000007</v>
      </c>
      <c r="J395" s="3">
        <v>4.0786499999999997</v>
      </c>
      <c r="K395" s="3">
        <v>4.9866400000000013</v>
      </c>
      <c r="L395" s="3">
        <v>1.119959999999999</v>
      </c>
      <c r="M395" s="3">
        <v>2.0279500000000006</v>
      </c>
      <c r="N395" s="3">
        <v>0.90799000000000163</v>
      </c>
      <c r="Q395" s="13">
        <v>-2.561152510307108</v>
      </c>
      <c r="R395" s="13">
        <v>2.3792252422437516</v>
      </c>
      <c r="S395" s="13">
        <v>0.89300278959086932</v>
      </c>
      <c r="T395" s="13">
        <v>0.63441569679210874</v>
      </c>
      <c r="U395" s="13">
        <v>-0.72662261237696024</v>
      </c>
      <c r="V395" s="13">
        <v>-0.60504875929164981</v>
      </c>
      <c r="W395" s="13">
        <v>-0.12360573807197371</v>
      </c>
      <c r="X395" s="13">
        <v>0</v>
      </c>
      <c r="Y395" s="13">
        <v>0</v>
      </c>
      <c r="Z395" s="13">
        <v>0</v>
      </c>
      <c r="AA395" s="13">
        <v>0</v>
      </c>
      <c r="AB395" s="13">
        <v>0</v>
      </c>
      <c r="AC395" s="13">
        <v>0</v>
      </c>
    </row>
    <row r="396" spans="1:29" x14ac:dyDescent="0.25">
      <c r="A396" s="3">
        <v>1.23766247315406E+18</v>
      </c>
      <c r="B396" s="3">
        <v>236.05430000000001</v>
      </c>
      <c r="C396" s="3">
        <v>36.013688999999999</v>
      </c>
      <c r="D396" s="16">
        <v>0.62873049999999997</v>
      </c>
      <c r="E396" s="3">
        <v>3.6886200000000002</v>
      </c>
      <c r="F396" s="3">
        <v>5.2229400000000012</v>
      </c>
      <c r="G396" s="3">
        <v>6.5292400000000015</v>
      </c>
      <c r="H396" s="3">
        <v>6.9950299999999999</v>
      </c>
      <c r="I396" s="3">
        <v>1.534320000000001</v>
      </c>
      <c r="J396" s="3">
        <v>2.8406200000000013</v>
      </c>
      <c r="K396" s="3">
        <v>3.3064099999999996</v>
      </c>
      <c r="L396" s="3">
        <v>1.3063000000000002</v>
      </c>
      <c r="M396" s="3">
        <v>1.7720899999999986</v>
      </c>
      <c r="N396" s="3">
        <v>0.46578999999999837</v>
      </c>
      <c r="Q396" s="13">
        <v>-4.8762358829033179</v>
      </c>
      <c r="R396" s="13">
        <v>-1.4343482534080936</v>
      </c>
      <c r="S396" s="13">
        <v>0.7264441266983066</v>
      </c>
      <c r="T396" s="13">
        <v>0.42815662346981875</v>
      </c>
      <c r="U396" s="13">
        <v>-0.2326077083543491</v>
      </c>
      <c r="V396" s="13">
        <v>0.1748188064067322</v>
      </c>
      <c r="W396" s="13">
        <v>0.63097695042236712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</row>
    <row r="397" spans="1:29" x14ac:dyDescent="0.25">
      <c r="A397" s="3">
        <v>1.23766247315406E+18</v>
      </c>
      <c r="B397" s="3">
        <v>236.05430000000001</v>
      </c>
      <c r="C397" s="3">
        <v>36.013688999999999</v>
      </c>
      <c r="D397" s="16">
        <v>0.6288996</v>
      </c>
      <c r="E397" s="3">
        <v>3.6886200000000002</v>
      </c>
      <c r="F397" s="3">
        <v>5.2229400000000012</v>
      </c>
      <c r="G397" s="3">
        <v>6.5292400000000015</v>
      </c>
      <c r="H397" s="3">
        <v>6.9950299999999999</v>
      </c>
      <c r="I397" s="3">
        <v>1.534320000000001</v>
      </c>
      <c r="J397" s="3">
        <v>2.8406200000000013</v>
      </c>
      <c r="K397" s="3">
        <v>3.3064099999999996</v>
      </c>
      <c r="L397" s="3">
        <v>1.3063000000000002</v>
      </c>
      <c r="M397" s="3">
        <v>1.7720899999999986</v>
      </c>
      <c r="N397" s="3">
        <v>0.46578999999999837</v>
      </c>
      <c r="Q397" s="13">
        <v>-3.8595883543197607</v>
      </c>
      <c r="R397" s="13">
        <v>-1.7791896855900509</v>
      </c>
      <c r="S397" s="13">
        <v>1.6591781547142801</v>
      </c>
      <c r="T397" s="13">
        <v>0.80589731151199751</v>
      </c>
      <c r="U397" s="13">
        <v>0.52093039046903267</v>
      </c>
      <c r="V397" s="13">
        <v>-1.2782179867277792E-2</v>
      </c>
      <c r="W397" s="13">
        <v>6.0713464818679064E-2</v>
      </c>
      <c r="X397" s="13">
        <v>0</v>
      </c>
      <c r="Y397" s="13">
        <v>0</v>
      </c>
      <c r="Z397" s="13">
        <v>0</v>
      </c>
      <c r="AA397" s="13">
        <v>0</v>
      </c>
      <c r="AB397" s="13">
        <v>0</v>
      </c>
      <c r="AC397" s="13">
        <v>0</v>
      </c>
    </row>
    <row r="398" spans="1:29" x14ac:dyDescent="0.25">
      <c r="A398" s="3">
        <v>1.23766247369087E+18</v>
      </c>
      <c r="B398" s="3">
        <v>236.16084000000001</v>
      </c>
      <c r="C398" s="3">
        <v>36.439591</v>
      </c>
      <c r="D398" s="16">
        <v>0.63015180000000004</v>
      </c>
      <c r="E398" s="3">
        <v>0.3759200000000007</v>
      </c>
      <c r="F398" s="3">
        <v>2.0870499999999979</v>
      </c>
      <c r="G398" s="3">
        <v>3.3371999999999993</v>
      </c>
      <c r="H398" s="3">
        <v>4.0568500000000007</v>
      </c>
      <c r="I398" s="3">
        <v>1.7111299999999972</v>
      </c>
      <c r="J398" s="3">
        <v>2.9612799999999986</v>
      </c>
      <c r="K398" s="3">
        <v>3.68093</v>
      </c>
      <c r="L398" s="3">
        <v>1.2501500000000014</v>
      </c>
      <c r="M398" s="3">
        <v>1.9698000000000029</v>
      </c>
      <c r="N398" s="3">
        <v>0.71965000000000146</v>
      </c>
      <c r="Q398" s="13">
        <v>-1.599579312574358</v>
      </c>
      <c r="R398" s="13">
        <v>2.0550360495433155</v>
      </c>
      <c r="S398" s="13">
        <v>1.0232344365850841</v>
      </c>
      <c r="T398" s="13">
        <v>-4.2878397977062811E-2</v>
      </c>
      <c r="U398" s="13">
        <v>1.0534203546947987</v>
      </c>
      <c r="V398" s="13">
        <v>0.11875413337408505</v>
      </c>
      <c r="W398" s="13">
        <v>0.21740745022388369</v>
      </c>
      <c r="X398" s="13">
        <v>0</v>
      </c>
      <c r="Y398" s="13">
        <v>0</v>
      </c>
      <c r="Z398" s="13">
        <v>0</v>
      </c>
      <c r="AA398" s="13">
        <v>0</v>
      </c>
      <c r="AB398" s="13">
        <v>0</v>
      </c>
      <c r="AC398" s="13">
        <v>0</v>
      </c>
    </row>
    <row r="399" spans="1:29" x14ac:dyDescent="0.25">
      <c r="A399" s="3">
        <v>1.23766146598607E+18</v>
      </c>
      <c r="B399" s="3">
        <v>235.78863999999999</v>
      </c>
      <c r="C399" s="3">
        <v>36.057056000000003</v>
      </c>
      <c r="D399" s="16">
        <v>0.63020189999999998</v>
      </c>
      <c r="E399" s="3">
        <v>-0.87587999999999866</v>
      </c>
      <c r="F399" s="3">
        <v>1.1196999999999981</v>
      </c>
      <c r="G399" s="3">
        <v>2.3041699999999992</v>
      </c>
      <c r="H399" s="3">
        <v>2.7668199999999992</v>
      </c>
      <c r="I399" s="3">
        <v>1.9955799999999968</v>
      </c>
      <c r="J399" s="3">
        <v>3.1800499999999978</v>
      </c>
      <c r="K399" s="3">
        <v>3.6426999999999978</v>
      </c>
      <c r="L399" s="3">
        <v>1.184470000000001</v>
      </c>
      <c r="M399" s="3">
        <v>1.647120000000001</v>
      </c>
      <c r="N399" s="3">
        <v>0.46265000000000001</v>
      </c>
      <c r="Q399" s="13">
        <v>-2.0517422932243816</v>
      </c>
      <c r="R399" s="13">
        <v>1.6849792607704355</v>
      </c>
      <c r="S399" s="13">
        <v>0.15935163594640919</v>
      </c>
      <c r="T399" s="13">
        <v>2.0582612813225309</v>
      </c>
      <c r="U399" s="13">
        <v>-0.31407409635776684</v>
      </c>
      <c r="V399" s="13">
        <v>0.17245429783229108</v>
      </c>
      <c r="W399" s="13">
        <v>0.12141391171725249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</row>
    <row r="400" spans="1:29" x14ac:dyDescent="0.25">
      <c r="A400" s="3">
        <v>1.23766247369087E+18</v>
      </c>
      <c r="B400" s="3">
        <v>236.16084000000001</v>
      </c>
      <c r="C400" s="3">
        <v>36.439591</v>
      </c>
      <c r="D400" s="16">
        <v>0.63024000000000002</v>
      </c>
      <c r="E400" s="3">
        <v>0.3759200000000007</v>
      </c>
      <c r="F400" s="3">
        <v>2.0870499999999979</v>
      </c>
      <c r="G400" s="3">
        <v>3.3371999999999993</v>
      </c>
      <c r="H400" s="3">
        <v>4.0568500000000007</v>
      </c>
      <c r="I400" s="3">
        <v>1.7111299999999972</v>
      </c>
      <c r="J400" s="3">
        <v>2.9612799999999986</v>
      </c>
      <c r="K400" s="3">
        <v>3.68093</v>
      </c>
      <c r="L400" s="3">
        <v>1.2501500000000014</v>
      </c>
      <c r="M400" s="3">
        <v>1.9698000000000029</v>
      </c>
      <c r="N400" s="3">
        <v>0.71965000000000146</v>
      </c>
      <c r="Q400" s="13">
        <v>-1.5640260641025061</v>
      </c>
      <c r="R400" s="13">
        <v>2.4073455992976092</v>
      </c>
      <c r="S400" s="13">
        <v>0.39291903067124828</v>
      </c>
      <c r="T400" s="13">
        <v>1.7156910697818573</v>
      </c>
      <c r="U400" s="13">
        <v>-0.60713678223029144</v>
      </c>
      <c r="V400" s="13">
        <v>0.14332403441546271</v>
      </c>
      <c r="W400" s="13">
        <v>-1.8943092731283168E-2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</row>
    <row r="401" spans="1:29" x14ac:dyDescent="0.25">
      <c r="A401" s="3">
        <v>1.2376625037555799E+18</v>
      </c>
      <c r="B401" s="3">
        <v>236.15545</v>
      </c>
      <c r="C401" s="3">
        <v>36.553722999999998</v>
      </c>
      <c r="D401" s="16">
        <v>0.63042010000000004</v>
      </c>
      <c r="E401" s="3">
        <v>1.5155100000000026</v>
      </c>
      <c r="F401" s="3">
        <v>2.9701100000000018</v>
      </c>
      <c r="G401" s="3">
        <v>4.175690000000003</v>
      </c>
      <c r="H401" s="3">
        <v>4.7441100000000027</v>
      </c>
      <c r="I401" s="3">
        <v>1.4545999999999992</v>
      </c>
      <c r="J401" s="3">
        <v>2.6601800000000004</v>
      </c>
      <c r="K401" s="3">
        <v>3.2286000000000001</v>
      </c>
      <c r="L401" s="3">
        <v>1.2055800000000012</v>
      </c>
      <c r="M401" s="3">
        <v>1.7740000000000009</v>
      </c>
      <c r="N401" s="3">
        <v>0.5684199999999997</v>
      </c>
      <c r="Q401" s="13">
        <v>-0.74986735709135921</v>
      </c>
      <c r="R401" s="13">
        <v>1.7051685289022851</v>
      </c>
      <c r="S401" s="13">
        <v>0.50310831548913015</v>
      </c>
      <c r="T401" s="13">
        <v>1.8596543584901075</v>
      </c>
      <c r="U401" s="13">
        <v>0.18882934148877936</v>
      </c>
      <c r="V401" s="13">
        <v>0.60001643548919725</v>
      </c>
      <c r="W401" s="13">
        <v>-3.9215753759170094E-2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</row>
    <row r="402" spans="1:29" x14ac:dyDescent="0.25">
      <c r="A402" s="3">
        <v>1.23766233786351E+18</v>
      </c>
      <c r="B402" s="3">
        <v>235.71995999999999</v>
      </c>
      <c r="C402" s="3">
        <v>35.916905999999997</v>
      </c>
      <c r="D402" s="16">
        <v>0.63062130000000005</v>
      </c>
      <c r="E402" s="3">
        <v>2.3513200000000012</v>
      </c>
      <c r="F402" s="3">
        <v>3.9729299999999981</v>
      </c>
      <c r="G402" s="3">
        <v>5.1124699999999983</v>
      </c>
      <c r="H402" s="3">
        <v>5.7416499999999999</v>
      </c>
      <c r="I402" s="3">
        <v>1.6216099999999969</v>
      </c>
      <c r="J402" s="3">
        <v>2.7611499999999971</v>
      </c>
      <c r="K402" s="3">
        <v>3.3903299999999987</v>
      </c>
      <c r="L402" s="3">
        <v>1.1395400000000002</v>
      </c>
      <c r="M402" s="3">
        <v>1.7687200000000018</v>
      </c>
      <c r="N402" s="3">
        <v>0.62918000000000163</v>
      </c>
      <c r="Q402" s="13">
        <v>-2.7300004828611031</v>
      </c>
      <c r="R402" s="13">
        <v>-1.1666775663905759E-2</v>
      </c>
      <c r="S402" s="13">
        <v>-0.30140599326395867</v>
      </c>
      <c r="T402" s="13">
        <v>-0.21554264794693281</v>
      </c>
      <c r="U402" s="13">
        <v>1.0191327271034485</v>
      </c>
      <c r="V402" s="13">
        <v>-0.13999213342626901</v>
      </c>
      <c r="W402" s="13">
        <v>-3.9958305269112468E-2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</row>
    <row r="403" spans="1:29" x14ac:dyDescent="0.25">
      <c r="A403" s="3">
        <v>1.2376625032186399E+18</v>
      </c>
      <c r="B403" s="3">
        <v>235.74715</v>
      </c>
      <c r="C403" s="3">
        <v>36.449482000000003</v>
      </c>
      <c r="D403" s="16">
        <v>0.63072620000000001</v>
      </c>
      <c r="E403" s="3">
        <v>3.0398199999999989</v>
      </c>
      <c r="F403" s="3">
        <v>4.4746699999999997</v>
      </c>
      <c r="G403" s="3">
        <v>5.6852300000000007</v>
      </c>
      <c r="H403" s="3">
        <v>6.3260100000000001</v>
      </c>
      <c r="I403" s="3">
        <v>1.4348500000000008</v>
      </c>
      <c r="J403" s="3">
        <v>2.6454100000000018</v>
      </c>
      <c r="K403" s="3">
        <v>3.2861900000000013</v>
      </c>
      <c r="L403" s="3">
        <v>1.210560000000001</v>
      </c>
      <c r="M403" s="3">
        <v>1.8513400000000004</v>
      </c>
      <c r="N403" s="3">
        <v>0.64077999999999946</v>
      </c>
      <c r="Q403" s="13">
        <v>0.40158354195586271</v>
      </c>
      <c r="R403" s="13">
        <v>3.0798422640732608</v>
      </c>
      <c r="S403" s="13">
        <v>1.210880871861183</v>
      </c>
      <c r="T403" s="13">
        <v>0.72257576171842741</v>
      </c>
      <c r="U403" s="13">
        <v>-0.80484404700280687</v>
      </c>
      <c r="V403" s="13">
        <v>0.89344589190449608</v>
      </c>
      <c r="W403" s="13">
        <v>-0.27761665525873302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</row>
    <row r="404" spans="1:29" x14ac:dyDescent="0.25">
      <c r="A404" s="3">
        <v>1.2376625032186399E+18</v>
      </c>
      <c r="B404" s="3">
        <v>235.74715</v>
      </c>
      <c r="C404" s="3">
        <v>36.449482000000003</v>
      </c>
      <c r="D404" s="16">
        <v>0.63086900000000001</v>
      </c>
      <c r="E404" s="3">
        <v>3.0398199999999989</v>
      </c>
      <c r="F404" s="3">
        <v>4.4746699999999997</v>
      </c>
      <c r="G404" s="3">
        <v>5.6852300000000007</v>
      </c>
      <c r="H404" s="3">
        <v>6.3260100000000001</v>
      </c>
      <c r="I404" s="3">
        <v>1.4348500000000008</v>
      </c>
      <c r="J404" s="3">
        <v>2.6454100000000018</v>
      </c>
      <c r="K404" s="3">
        <v>3.2861900000000013</v>
      </c>
      <c r="L404" s="3">
        <v>1.210560000000001</v>
      </c>
      <c r="M404" s="3">
        <v>1.8513400000000004</v>
      </c>
      <c r="N404" s="3">
        <v>0.64077999999999946</v>
      </c>
      <c r="Q404" s="13">
        <v>0.47409651190328428</v>
      </c>
      <c r="R404" s="13">
        <v>2.3679935480417629</v>
      </c>
      <c r="S404" s="13">
        <v>-1.6419731834438591</v>
      </c>
      <c r="T404" s="13">
        <v>0.4286901095897418</v>
      </c>
      <c r="U404" s="13">
        <v>1.5211260400115076</v>
      </c>
      <c r="V404" s="13">
        <v>-0.32810383057527776</v>
      </c>
      <c r="W404" s="13">
        <v>-0.85003501856575459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</row>
    <row r="405" spans="1:29" x14ac:dyDescent="0.25">
      <c r="A405" s="3">
        <v>1.23766247422781E+18</v>
      </c>
      <c r="B405" s="3">
        <v>236.56397000000001</v>
      </c>
      <c r="C405" s="3">
        <v>36.598655999999998</v>
      </c>
      <c r="D405" s="16">
        <v>0.63153570000000003</v>
      </c>
      <c r="E405" s="3">
        <v>-0.17698999999999998</v>
      </c>
      <c r="F405" s="3">
        <v>1.4757299999999987</v>
      </c>
      <c r="G405" s="3">
        <v>2.5270099999999971</v>
      </c>
      <c r="H405" s="3">
        <v>3.2111099999999979</v>
      </c>
      <c r="I405" s="3">
        <v>1.6527199999999986</v>
      </c>
      <c r="J405" s="3">
        <v>2.7039999999999971</v>
      </c>
      <c r="K405" s="3">
        <v>3.3880999999999979</v>
      </c>
      <c r="L405" s="3">
        <v>1.0512799999999984</v>
      </c>
      <c r="M405" s="3">
        <v>1.7353799999999993</v>
      </c>
      <c r="N405" s="3">
        <v>0.68410000000000082</v>
      </c>
      <c r="Q405" s="13">
        <v>-2.8781521545515059</v>
      </c>
      <c r="R405" s="13">
        <v>0.20075625481400791</v>
      </c>
      <c r="S405" s="13">
        <v>0.50083119211618932</v>
      </c>
      <c r="T405" s="13">
        <v>0.44068892046982938</v>
      </c>
      <c r="U405" s="13">
        <v>6.2210944274449634E-2</v>
      </c>
      <c r="V405" s="13">
        <v>-6.1788434193652424E-2</v>
      </c>
      <c r="W405" s="13">
        <v>-9.8837562632179896E-2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</row>
    <row r="406" spans="1:29" x14ac:dyDescent="0.25">
      <c r="A406" s="3">
        <v>1.2376625032188301E+18</v>
      </c>
      <c r="B406" s="3">
        <v>236.20272</v>
      </c>
      <c r="C406" s="3">
        <v>36.101491000000003</v>
      </c>
      <c r="D406" s="16">
        <v>0.63277079999999997</v>
      </c>
      <c r="E406" s="3">
        <v>0.78077000000000041</v>
      </c>
      <c r="F406" s="3">
        <v>2.4181899999999992</v>
      </c>
      <c r="G406" s="3">
        <v>3.4537999999999975</v>
      </c>
      <c r="H406" s="3">
        <v>3.9785299999999992</v>
      </c>
      <c r="I406" s="3">
        <v>1.6374199999999988</v>
      </c>
      <c r="J406" s="3">
        <v>2.6730299999999971</v>
      </c>
      <c r="K406" s="3">
        <v>3.1977599999999988</v>
      </c>
      <c r="L406" s="3">
        <v>1.0356099999999984</v>
      </c>
      <c r="M406" s="3">
        <v>1.5603400000000001</v>
      </c>
      <c r="N406" s="3">
        <v>0.5247300000000017</v>
      </c>
      <c r="Q406" s="13">
        <v>-2.8783294314866668</v>
      </c>
      <c r="R406" s="13">
        <v>0.20085948592809613</v>
      </c>
      <c r="S406" s="13">
        <v>0.50081941691215748</v>
      </c>
      <c r="T406" s="13">
        <v>0.44069727034776573</v>
      </c>
      <c r="U406" s="13">
        <v>6.2299384905396486E-2</v>
      </c>
      <c r="V406" s="13">
        <v>-6.1483234724776611E-2</v>
      </c>
      <c r="W406" s="13">
        <v>-9.9231911704669565E-2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</row>
    <row r="407" spans="1:29" x14ac:dyDescent="0.25">
      <c r="A407" s="3">
        <v>1.2376624736910001E+18</v>
      </c>
      <c r="B407" s="3">
        <v>236.48539</v>
      </c>
      <c r="C407" s="3">
        <v>36.315657000000002</v>
      </c>
      <c r="D407" s="16">
        <v>0.6336775</v>
      </c>
      <c r="E407" s="3">
        <v>-0.23215000000000074</v>
      </c>
      <c r="F407" s="3">
        <v>1.4701400000000007</v>
      </c>
      <c r="G407" s="3">
        <v>2.6447199999999995</v>
      </c>
      <c r="H407" s="3">
        <v>3.2927</v>
      </c>
      <c r="I407" s="3">
        <v>1.7022900000000014</v>
      </c>
      <c r="J407" s="3">
        <v>2.8768700000000003</v>
      </c>
      <c r="K407" s="3">
        <v>3.5248500000000007</v>
      </c>
      <c r="L407" s="3">
        <v>1.1745799999999988</v>
      </c>
      <c r="M407" s="3">
        <v>1.8225599999999993</v>
      </c>
      <c r="N407" s="3">
        <v>0.64798000000000044</v>
      </c>
      <c r="Q407" s="13">
        <v>-1.3297027206918661</v>
      </c>
      <c r="R407" s="13">
        <v>0.41588651474066546</v>
      </c>
      <c r="S407" s="13">
        <v>-5.8662650682508505E-2</v>
      </c>
      <c r="T407" s="13">
        <v>-2.0091510450315275</v>
      </c>
      <c r="U407" s="13">
        <v>0.33934930385395939</v>
      </c>
      <c r="V407" s="13">
        <v>0.56287243051345004</v>
      </c>
      <c r="W407" s="13">
        <v>-0.24760975871265803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</row>
    <row r="408" spans="1:29" x14ac:dyDescent="0.25">
      <c r="A408" s="3">
        <v>1.2376614659859999E+18</v>
      </c>
      <c r="B408" s="3">
        <v>235.67941999999999</v>
      </c>
      <c r="C408" s="3">
        <v>36.139108</v>
      </c>
      <c r="D408" s="16">
        <v>0.63405750000000005</v>
      </c>
      <c r="E408" s="3">
        <v>1.1124000000000009</v>
      </c>
      <c r="F408" s="3">
        <v>2.7790099999999995</v>
      </c>
      <c r="G408" s="3">
        <v>3.9434100000000001</v>
      </c>
      <c r="H408" s="3">
        <v>4.4520699999999991</v>
      </c>
      <c r="I408" s="3">
        <v>1.6666099999999986</v>
      </c>
      <c r="J408" s="3">
        <v>2.8310099999999991</v>
      </c>
      <c r="K408" s="3">
        <v>3.3396699999999981</v>
      </c>
      <c r="L408" s="3">
        <v>1.1644000000000005</v>
      </c>
      <c r="M408" s="3">
        <v>1.6730599999999995</v>
      </c>
      <c r="N408" s="3">
        <v>0.508659999999999</v>
      </c>
      <c r="Q408" s="13">
        <v>-3.4400965817388061</v>
      </c>
      <c r="R408" s="13">
        <v>-0.75849705577213899</v>
      </c>
      <c r="S408" s="13">
        <v>-1.3034766797754638</v>
      </c>
      <c r="T408" s="13">
        <v>4.4147320160258796E-2</v>
      </c>
      <c r="U408" s="13">
        <v>1.2530122563496937</v>
      </c>
      <c r="V408" s="13">
        <v>6.7823927983556062E-2</v>
      </c>
      <c r="W408" s="13">
        <v>0.27081110475867193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</row>
    <row r="409" spans="1:29" x14ac:dyDescent="0.25">
      <c r="A409" s="3">
        <v>1.23766250375571E+18</v>
      </c>
      <c r="B409" s="3">
        <v>236.57463000000001</v>
      </c>
      <c r="C409" s="3">
        <v>36.423673000000001</v>
      </c>
      <c r="D409" s="16">
        <v>0.63505820000000002</v>
      </c>
      <c r="E409" s="3">
        <v>0.78532000000000224</v>
      </c>
      <c r="F409" s="3">
        <v>2.4095300000000002</v>
      </c>
      <c r="G409" s="3">
        <v>3.5254500000000029</v>
      </c>
      <c r="H409" s="3">
        <v>4.0446200000000019</v>
      </c>
      <c r="I409" s="3">
        <v>1.6242099999999979</v>
      </c>
      <c r="J409" s="3">
        <v>2.7401300000000006</v>
      </c>
      <c r="K409" s="3">
        <v>3.2592999999999996</v>
      </c>
      <c r="L409" s="3">
        <v>1.1159200000000027</v>
      </c>
      <c r="M409" s="3">
        <v>1.6350900000000017</v>
      </c>
      <c r="N409" s="3">
        <v>0.51916999999999902</v>
      </c>
      <c r="Q409" s="13">
        <v>-3.6211823488583272</v>
      </c>
      <c r="R409" s="13">
        <v>4.2263292331437983</v>
      </c>
      <c r="S409" s="13">
        <v>0.8291800727759957</v>
      </c>
      <c r="T409" s="13">
        <v>0.19961178661976473</v>
      </c>
      <c r="U409" s="13">
        <v>1.1611437588309503</v>
      </c>
      <c r="V409" s="13">
        <v>-0.5669321678807544</v>
      </c>
      <c r="W409" s="13">
        <v>1.08255071661818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</row>
    <row r="410" spans="1:29" x14ac:dyDescent="0.25">
      <c r="A410" s="3">
        <v>1.23766250375571E+18</v>
      </c>
      <c r="B410" s="3">
        <v>236.57463000000001</v>
      </c>
      <c r="C410" s="3">
        <v>36.423673000000001</v>
      </c>
      <c r="D410" s="16">
        <v>0.63524349999999996</v>
      </c>
      <c r="E410" s="3">
        <v>0.78532000000000224</v>
      </c>
      <c r="F410" s="3">
        <v>2.4095300000000002</v>
      </c>
      <c r="G410" s="3">
        <v>3.5254500000000029</v>
      </c>
      <c r="H410" s="3">
        <v>4.0446200000000019</v>
      </c>
      <c r="I410" s="3">
        <v>1.6242099999999979</v>
      </c>
      <c r="J410" s="3">
        <v>2.7401300000000006</v>
      </c>
      <c r="K410" s="3">
        <v>3.2592999999999996</v>
      </c>
      <c r="L410" s="3">
        <v>1.1159200000000027</v>
      </c>
      <c r="M410" s="3">
        <v>1.6350900000000017</v>
      </c>
      <c r="N410" s="3">
        <v>0.51916999999999902</v>
      </c>
      <c r="Q410" s="13">
        <v>-2.9143208859803225</v>
      </c>
      <c r="R410" s="13">
        <v>2.3345491736906103</v>
      </c>
      <c r="S410" s="13">
        <v>0.25636338460237901</v>
      </c>
      <c r="T410" s="13">
        <v>-0.10830459073455359</v>
      </c>
      <c r="U410" s="13">
        <v>-0.35488052126401898</v>
      </c>
      <c r="V410" s="13">
        <v>-0.35175928692716935</v>
      </c>
      <c r="W410" s="13">
        <v>8.8692009257393345E-2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</row>
    <row r="411" spans="1:29" x14ac:dyDescent="0.25">
      <c r="A411" s="3">
        <v>1.2376624731539999E+18</v>
      </c>
      <c r="B411" s="3">
        <v>235.9084</v>
      </c>
      <c r="C411" s="3">
        <v>36.087780000000002</v>
      </c>
      <c r="D411" s="16">
        <v>0.63723180000000001</v>
      </c>
      <c r="E411" s="3">
        <v>1.2085600000000021</v>
      </c>
      <c r="F411" s="3">
        <v>2.4418000000000006</v>
      </c>
      <c r="G411" s="3">
        <v>3.5644500000000008</v>
      </c>
      <c r="H411" s="3">
        <v>4.1427399999999999</v>
      </c>
      <c r="I411" s="3">
        <v>1.2332399999999986</v>
      </c>
      <c r="J411" s="3">
        <v>2.3558899999999987</v>
      </c>
      <c r="K411" s="3">
        <v>2.9341799999999978</v>
      </c>
      <c r="L411" s="3">
        <v>1.1226500000000001</v>
      </c>
      <c r="M411" s="3">
        <v>1.7009399999999992</v>
      </c>
      <c r="N411" s="3">
        <v>0.57828999999999908</v>
      </c>
      <c r="Q411" s="13">
        <v>-2.9146155421200395</v>
      </c>
      <c r="R411" s="13">
        <v>2.3347207565394932</v>
      </c>
      <c r="S411" s="13">
        <v>0.25634381276038298</v>
      </c>
      <c r="T411" s="13">
        <v>-0.10829071220716564</v>
      </c>
      <c r="U411" s="13">
        <v>-0.35473352202305541</v>
      </c>
      <c r="V411" s="13">
        <v>-0.35125200775257504</v>
      </c>
      <c r="W411" s="13">
        <v>8.8036552441785432E-2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</row>
    <row r="412" spans="1:29" x14ac:dyDescent="0.25">
      <c r="A412" s="3">
        <v>1.2376624731539999E+18</v>
      </c>
      <c r="B412" s="3">
        <v>235.9084</v>
      </c>
      <c r="C412" s="3">
        <v>36.087780000000002</v>
      </c>
      <c r="D412" s="16">
        <v>0.63753910000000003</v>
      </c>
      <c r="E412" s="3">
        <v>1.2085600000000021</v>
      </c>
      <c r="F412" s="3">
        <v>2.4418000000000006</v>
      </c>
      <c r="G412" s="3">
        <v>3.5644500000000008</v>
      </c>
      <c r="H412" s="3">
        <v>4.1427399999999999</v>
      </c>
      <c r="I412" s="3">
        <v>1.2332399999999986</v>
      </c>
      <c r="J412" s="3">
        <v>2.3558899999999987</v>
      </c>
      <c r="K412" s="3">
        <v>2.9341799999999978</v>
      </c>
      <c r="L412" s="3">
        <v>1.1226500000000001</v>
      </c>
      <c r="M412" s="3">
        <v>1.7009399999999992</v>
      </c>
      <c r="N412" s="3">
        <v>0.57828999999999908</v>
      </c>
      <c r="Q412" s="13">
        <v>-1.4602025422279463</v>
      </c>
      <c r="R412" s="13">
        <v>2.5630610036567902</v>
      </c>
      <c r="S412" s="13">
        <v>0.39199379733588202</v>
      </c>
      <c r="T412" s="13">
        <v>-0.14484260602943103</v>
      </c>
      <c r="U412" s="13">
        <v>2.1048124662983149E-2</v>
      </c>
      <c r="V412" s="13">
        <v>0.47780734649095308</v>
      </c>
      <c r="W412" s="13">
        <v>0.19913189338347018</v>
      </c>
      <c r="X412" s="13">
        <v>0</v>
      </c>
      <c r="Y412" s="13">
        <v>0</v>
      </c>
      <c r="Z412" s="13">
        <v>0</v>
      </c>
      <c r="AA412" s="13">
        <v>0</v>
      </c>
      <c r="AB412" s="13">
        <v>0</v>
      </c>
      <c r="AC412" s="13">
        <v>0</v>
      </c>
    </row>
    <row r="413" spans="1:29" x14ac:dyDescent="0.25">
      <c r="A413" s="3">
        <v>1.2376625032189701E+18</v>
      </c>
      <c r="B413" s="3">
        <v>236.46351000000001</v>
      </c>
      <c r="C413" s="3">
        <v>35.956130999999999</v>
      </c>
      <c r="D413" s="16">
        <v>0.63840030000000003</v>
      </c>
      <c r="E413" s="3">
        <v>1.9139400000000002</v>
      </c>
      <c r="F413" s="3">
        <v>3.7738700000000023</v>
      </c>
      <c r="G413" s="3">
        <v>5.0765700000000002</v>
      </c>
      <c r="H413" s="3">
        <v>5.7396899999999995</v>
      </c>
      <c r="I413" s="3">
        <v>1.8599300000000021</v>
      </c>
      <c r="J413" s="3">
        <v>3.1626300000000001</v>
      </c>
      <c r="K413" s="3">
        <v>3.8257499999999993</v>
      </c>
      <c r="L413" s="3">
        <v>1.302699999999998</v>
      </c>
      <c r="M413" s="3">
        <v>1.9658199999999972</v>
      </c>
      <c r="N413" s="3">
        <v>0.66311999999999927</v>
      </c>
      <c r="Q413" s="13">
        <v>-2.3584630369529127</v>
      </c>
      <c r="R413" s="13">
        <v>2.1616371045737286</v>
      </c>
      <c r="S413" s="13">
        <v>8.9214635900596306E-2</v>
      </c>
      <c r="T413" s="13">
        <v>0.62641089087576751</v>
      </c>
      <c r="U413" s="13">
        <v>0.19660312098601929</v>
      </c>
      <c r="V413" s="13">
        <v>-0.19411461743581615</v>
      </c>
      <c r="W413" s="13">
        <v>3.9327565671896568E-2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</row>
    <row r="414" spans="1:29" x14ac:dyDescent="0.25">
      <c r="A414" s="3">
        <v>1.2376625032189701E+18</v>
      </c>
      <c r="B414" s="3">
        <v>236.38307</v>
      </c>
      <c r="C414" s="3">
        <v>35.919638999999997</v>
      </c>
      <c r="D414" s="16">
        <v>0.63867180000000001</v>
      </c>
      <c r="E414" s="3">
        <v>0.67327999999999832</v>
      </c>
      <c r="F414" s="3">
        <v>3.9604299999999988</v>
      </c>
      <c r="G414" s="3">
        <v>5.3558299999999974</v>
      </c>
      <c r="H414" s="3">
        <v>5.8882499999999993</v>
      </c>
      <c r="I414" s="3">
        <v>3.2871500000000005</v>
      </c>
      <c r="J414" s="3">
        <v>4.6825499999999991</v>
      </c>
      <c r="K414" s="3">
        <v>5.214970000000001</v>
      </c>
      <c r="L414" s="3">
        <v>1.3953999999999986</v>
      </c>
      <c r="M414" s="3">
        <v>1.9278200000000005</v>
      </c>
      <c r="N414" s="3">
        <v>0.53242000000000189</v>
      </c>
      <c r="Q414" s="13">
        <v>-4.586305458079341</v>
      </c>
      <c r="R414" s="13">
        <v>-1.7879294542496504</v>
      </c>
      <c r="S414" s="13">
        <v>7.8146928358340181E-2</v>
      </c>
      <c r="T414" s="13">
        <v>0.65807444091725953</v>
      </c>
      <c r="U414" s="13">
        <v>0.8815202546723977</v>
      </c>
      <c r="V414" s="13">
        <v>-0.41344971599034669</v>
      </c>
      <c r="W414" s="13">
        <v>-2.7209873515347791E-2</v>
      </c>
      <c r="X414" s="13">
        <v>0</v>
      </c>
      <c r="Y414" s="13">
        <v>0</v>
      </c>
      <c r="Z414" s="13">
        <v>0</v>
      </c>
      <c r="AA414" s="13">
        <v>0</v>
      </c>
      <c r="AB414" s="13">
        <v>0</v>
      </c>
      <c r="AC414" s="13">
        <v>0</v>
      </c>
    </row>
    <row r="415" spans="1:29" x14ac:dyDescent="0.25">
      <c r="A415" s="3">
        <v>1.23766146598626E+18</v>
      </c>
      <c r="B415" s="3">
        <v>236.13403</v>
      </c>
      <c r="C415" s="3">
        <v>35.749065000000002</v>
      </c>
      <c r="D415" s="16">
        <v>0.64022860000000004</v>
      </c>
      <c r="E415" s="3">
        <v>1.2862600000000022</v>
      </c>
      <c r="F415" s="3">
        <v>2.4418700000000015</v>
      </c>
      <c r="G415" s="3">
        <v>3.4232200000000006</v>
      </c>
      <c r="H415" s="3">
        <v>3.8572400000000009</v>
      </c>
      <c r="I415" s="3">
        <v>1.1556099999999994</v>
      </c>
      <c r="J415" s="3">
        <v>2.1369599999999984</v>
      </c>
      <c r="K415" s="3">
        <v>2.5709799999999987</v>
      </c>
      <c r="L415" s="3">
        <v>0.98134999999999906</v>
      </c>
      <c r="M415" s="3">
        <v>1.4153699999999994</v>
      </c>
      <c r="N415" s="3">
        <v>0.43402000000000029</v>
      </c>
      <c r="Q415" s="13">
        <v>-0.48981513885593886</v>
      </c>
      <c r="R415" s="13">
        <v>3.4138122248409526</v>
      </c>
      <c r="S415" s="13">
        <v>-5.5705280298584715E-2</v>
      </c>
      <c r="T415" s="13">
        <v>2.0590421537322907</v>
      </c>
      <c r="U415" s="13">
        <v>-0.93373581352117785</v>
      </c>
      <c r="V415" s="13">
        <v>1.1433139800026402</v>
      </c>
      <c r="W415" s="13">
        <v>0.2960068805964941</v>
      </c>
      <c r="X415" s="13">
        <v>0</v>
      </c>
      <c r="Y415" s="13">
        <v>0</v>
      </c>
      <c r="Z415" s="13">
        <v>0</v>
      </c>
      <c r="AA415" s="13">
        <v>0</v>
      </c>
      <c r="AB415" s="13">
        <v>0</v>
      </c>
      <c r="AC415" s="13">
        <v>0</v>
      </c>
    </row>
    <row r="416" spans="1:29" x14ac:dyDescent="0.25">
      <c r="A416" s="3">
        <v>1.23766146598627E+18</v>
      </c>
      <c r="B416" s="3">
        <v>236.17788999999999</v>
      </c>
      <c r="C416" s="3">
        <v>35.799301999999997</v>
      </c>
      <c r="D416" s="16">
        <v>0.64137339999999998</v>
      </c>
      <c r="E416" s="3">
        <v>1.1644900000000007</v>
      </c>
      <c r="F416" s="3">
        <v>2.3896699999999989</v>
      </c>
      <c r="G416" s="3">
        <v>3.801759999999998</v>
      </c>
      <c r="H416" s="3">
        <v>4.5852800000000009</v>
      </c>
      <c r="I416" s="3">
        <v>1.2251799999999982</v>
      </c>
      <c r="J416" s="3">
        <v>2.6372699999999973</v>
      </c>
      <c r="K416" s="3">
        <v>3.4207900000000002</v>
      </c>
      <c r="L416" s="3">
        <v>1.4120899999999992</v>
      </c>
      <c r="M416" s="3">
        <v>2.1956100000000021</v>
      </c>
      <c r="N416" s="3">
        <v>0.78352000000000288</v>
      </c>
      <c r="Q416" s="13">
        <v>-4.3852637129918497</v>
      </c>
      <c r="R416" s="13">
        <v>4.8307324935881963</v>
      </c>
      <c r="S416" s="13">
        <v>-0.96656234936708607</v>
      </c>
      <c r="T416" s="13">
        <v>1.8283868215589143</v>
      </c>
      <c r="U416" s="13">
        <v>-1.644931080423119</v>
      </c>
      <c r="V416" s="13">
        <v>-1.9641965485342445</v>
      </c>
      <c r="W416" s="13">
        <v>-0.12686398518182576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</row>
    <row r="417" spans="1:29" x14ac:dyDescent="0.25">
      <c r="A417" s="3">
        <v>1.2376624736910001E+18</v>
      </c>
      <c r="B417" s="3">
        <v>236.57861</v>
      </c>
      <c r="C417" s="3">
        <v>36.202573999999998</v>
      </c>
      <c r="D417" s="16">
        <v>0.64257410000000004</v>
      </c>
      <c r="E417" s="3">
        <v>2.4270100000000028</v>
      </c>
      <c r="F417" s="3">
        <v>3.7391900000000007</v>
      </c>
      <c r="G417" s="3">
        <v>4.836310000000001</v>
      </c>
      <c r="H417" s="3">
        <v>5.3374200000000016</v>
      </c>
      <c r="I417" s="3">
        <v>1.3121799999999979</v>
      </c>
      <c r="J417" s="3">
        <v>2.4092999999999982</v>
      </c>
      <c r="K417" s="3">
        <v>2.9104099999999988</v>
      </c>
      <c r="L417" s="3">
        <v>1.0971200000000003</v>
      </c>
      <c r="M417" s="3">
        <v>1.5982300000000009</v>
      </c>
      <c r="N417" s="3">
        <v>0.50111000000000061</v>
      </c>
      <c r="Q417" s="13">
        <v>-3.9712241914192283</v>
      </c>
      <c r="R417" s="13">
        <v>-2.4590524972877001</v>
      </c>
      <c r="S417" s="13">
        <v>-0.65262869145650781</v>
      </c>
      <c r="T417" s="13">
        <v>0.57172634970150771</v>
      </c>
      <c r="U417" s="13">
        <v>0.92595481790266032</v>
      </c>
      <c r="V417" s="13">
        <v>0.9886876150855709</v>
      </c>
      <c r="W417" s="13">
        <v>0.59706387964335039</v>
      </c>
      <c r="X417" s="13">
        <v>0</v>
      </c>
      <c r="Y417" s="13">
        <v>0</v>
      </c>
      <c r="Z417" s="13">
        <v>0</v>
      </c>
      <c r="AA417" s="13">
        <v>0</v>
      </c>
      <c r="AB417" s="13">
        <v>0</v>
      </c>
      <c r="AC417" s="13">
        <v>0</v>
      </c>
    </row>
    <row r="418" spans="1:29" x14ac:dyDescent="0.25">
      <c r="A418" s="3">
        <v>1.2376624736910001E+18</v>
      </c>
      <c r="B418" s="3">
        <v>236.57861</v>
      </c>
      <c r="C418" s="3">
        <v>36.202573999999998</v>
      </c>
      <c r="D418" s="16">
        <v>0.64261840000000003</v>
      </c>
      <c r="E418" s="3">
        <v>2.4270100000000028</v>
      </c>
      <c r="F418" s="3">
        <v>3.7391900000000007</v>
      </c>
      <c r="G418" s="3">
        <v>4.836310000000001</v>
      </c>
      <c r="H418" s="3">
        <v>5.3374200000000016</v>
      </c>
      <c r="I418" s="3">
        <v>1.3121799999999979</v>
      </c>
      <c r="J418" s="3">
        <v>2.4092999999999982</v>
      </c>
      <c r="K418" s="3">
        <v>2.9104099999999988</v>
      </c>
      <c r="L418" s="3">
        <v>1.0971200000000003</v>
      </c>
      <c r="M418" s="3">
        <v>1.5982300000000009</v>
      </c>
      <c r="N418" s="3">
        <v>0.50111000000000061</v>
      </c>
      <c r="Q418" s="13">
        <v>-3.9714392382609445</v>
      </c>
      <c r="R418" s="13">
        <v>-2.4589272721701079</v>
      </c>
      <c r="S418" s="13">
        <v>-0.6526429754378702</v>
      </c>
      <c r="T418" s="13">
        <v>0.57173647857065402</v>
      </c>
      <c r="U418" s="13">
        <v>0.92606210133661282</v>
      </c>
      <c r="V418" s="13">
        <v>0.98905783911847511</v>
      </c>
      <c r="W418" s="13">
        <v>0.59658551215297773</v>
      </c>
      <c r="X418" s="13">
        <v>0</v>
      </c>
      <c r="Y418" s="13">
        <v>0</v>
      </c>
      <c r="Z418" s="13">
        <v>0</v>
      </c>
      <c r="AA418" s="13">
        <v>0</v>
      </c>
      <c r="AB418" s="13">
        <v>0</v>
      </c>
      <c r="AC418" s="13">
        <v>0</v>
      </c>
    </row>
    <row r="419" spans="1:29" x14ac:dyDescent="0.25">
      <c r="A419" s="3">
        <v>1.2376624731541299E+18</v>
      </c>
      <c r="B419" s="3">
        <v>236.28894</v>
      </c>
      <c r="C419" s="3">
        <v>35.889907999999998</v>
      </c>
      <c r="D419" s="16">
        <v>0.64264690000000002</v>
      </c>
      <c r="E419" s="3">
        <v>3.847529999999999</v>
      </c>
      <c r="F419" s="3">
        <v>4.8888699999999972</v>
      </c>
      <c r="G419" s="3">
        <v>5.9206699999999977</v>
      </c>
      <c r="H419" s="3">
        <v>6.5477099999999986</v>
      </c>
      <c r="I419" s="3">
        <v>1.0413399999999982</v>
      </c>
      <c r="J419" s="3">
        <v>2.0731399999999987</v>
      </c>
      <c r="K419" s="3">
        <v>2.7001799999999996</v>
      </c>
      <c r="L419" s="3">
        <v>1.0318000000000005</v>
      </c>
      <c r="M419" s="3">
        <v>1.6588400000000014</v>
      </c>
      <c r="N419" s="3">
        <v>0.62704000000000093</v>
      </c>
      <c r="Q419" s="13">
        <v>-2.7286201608755944</v>
      </c>
      <c r="R419" s="13">
        <v>3.0419137683952489</v>
      </c>
      <c r="S419" s="13">
        <v>0.41352408413117109</v>
      </c>
      <c r="T419" s="13">
        <v>0.95775210843606018</v>
      </c>
      <c r="U419" s="13">
        <v>0.37973114441383388</v>
      </c>
      <c r="V419" s="13">
        <v>-0.28422546116333569</v>
      </c>
      <c r="W419" s="13">
        <v>0.33944428833415191</v>
      </c>
      <c r="X419" s="13">
        <v>0</v>
      </c>
      <c r="Y419" s="13">
        <v>0</v>
      </c>
      <c r="Z419" s="13">
        <v>0</v>
      </c>
      <c r="AA419" s="13">
        <v>0</v>
      </c>
      <c r="AB419" s="13">
        <v>0</v>
      </c>
      <c r="AC419" s="13">
        <v>0</v>
      </c>
    </row>
    <row r="420" spans="1:29" x14ac:dyDescent="0.25">
      <c r="A420" s="3">
        <v>1.23766247369107E+18</v>
      </c>
      <c r="B420" s="3">
        <v>236.74435</v>
      </c>
      <c r="C420" s="3">
        <v>36.149721999999997</v>
      </c>
      <c r="D420" s="16">
        <v>0.64500740000000001</v>
      </c>
      <c r="E420" s="3">
        <v>2.2473699999999965</v>
      </c>
      <c r="F420" s="3">
        <v>5.2153499999999973</v>
      </c>
      <c r="G420" s="3">
        <v>6.4538099999999972</v>
      </c>
      <c r="H420" s="3">
        <v>6.985479999999999</v>
      </c>
      <c r="I420" s="3">
        <v>2.9679800000000007</v>
      </c>
      <c r="J420" s="3">
        <v>4.2064400000000006</v>
      </c>
      <c r="K420" s="3">
        <v>4.7381100000000025</v>
      </c>
      <c r="L420" s="3">
        <v>1.2384599999999999</v>
      </c>
      <c r="M420" s="3">
        <v>1.7701300000000018</v>
      </c>
      <c r="N420" s="3">
        <v>0.53167000000000186</v>
      </c>
      <c r="Q420" s="13">
        <v>-1.4167083909286862</v>
      </c>
      <c r="R420" s="13">
        <v>4.3305060549361363</v>
      </c>
      <c r="S420" s="13">
        <v>-1.5747995502865366</v>
      </c>
      <c r="T420" s="13">
        <v>0.72683802466304115</v>
      </c>
      <c r="U420" s="13">
        <v>-1.0663449705454409</v>
      </c>
      <c r="V420" s="13">
        <v>0.42505116071387505</v>
      </c>
      <c r="W420" s="13">
        <v>0.36583592666119141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</row>
    <row r="421" spans="1:29" x14ac:dyDescent="0.25">
      <c r="A421" s="3">
        <v>1.2376625032189701E+18</v>
      </c>
      <c r="B421" s="3">
        <v>236.4477</v>
      </c>
      <c r="C421" s="3">
        <v>35.878366</v>
      </c>
      <c r="D421" s="16">
        <v>0.64634170000000002</v>
      </c>
      <c r="E421" s="3">
        <v>2.0907499999999999</v>
      </c>
      <c r="F421" s="3">
        <v>3.8350000000000009</v>
      </c>
      <c r="G421" s="3">
        <v>5.0138499999999979</v>
      </c>
      <c r="H421" s="3">
        <v>5.7064699999999995</v>
      </c>
      <c r="I421" s="3">
        <v>1.744250000000001</v>
      </c>
      <c r="J421" s="3">
        <v>2.923099999999998</v>
      </c>
      <c r="K421" s="3">
        <v>3.6157199999999996</v>
      </c>
      <c r="L421" s="3">
        <v>1.1788499999999971</v>
      </c>
      <c r="M421" s="3">
        <v>1.8714699999999986</v>
      </c>
      <c r="N421" s="3">
        <v>0.69262000000000157</v>
      </c>
      <c r="Q421" s="13">
        <v>-2.7287323260526479</v>
      </c>
      <c r="R421" s="13">
        <v>3.0419790839208036</v>
      </c>
      <c r="S421" s="13">
        <v>0.41351663382273784</v>
      </c>
      <c r="T421" s="13">
        <v>0.95775739150086603</v>
      </c>
      <c r="U421" s="13">
        <v>0.37978710182882341</v>
      </c>
      <c r="V421" s="13">
        <v>-0.28403235791258419</v>
      </c>
      <c r="W421" s="13">
        <v>0.33919477909316448</v>
      </c>
      <c r="X421" s="13">
        <v>0</v>
      </c>
      <c r="Y421" s="13">
        <v>0</v>
      </c>
      <c r="Z421" s="13">
        <v>0</v>
      </c>
      <c r="AA421" s="13">
        <v>0</v>
      </c>
      <c r="AB421" s="13">
        <v>0</v>
      </c>
      <c r="AC421" s="13">
        <v>0</v>
      </c>
    </row>
    <row r="422" spans="1:29" x14ac:dyDescent="0.25">
      <c r="A422" s="3">
        <v>1.2376624736910001E+18</v>
      </c>
      <c r="B422" s="3">
        <v>236.46382</v>
      </c>
      <c r="C422" s="3">
        <v>36.181080000000001</v>
      </c>
      <c r="D422" s="16">
        <v>0.64662640000000005</v>
      </c>
      <c r="E422" s="3">
        <v>1.6058200000000014</v>
      </c>
      <c r="F422" s="3">
        <v>3.0132499999999993</v>
      </c>
      <c r="G422" s="3">
        <v>3.8201499999999982</v>
      </c>
      <c r="H422" s="3">
        <v>4.1286300000000011</v>
      </c>
      <c r="I422" s="3">
        <v>1.407429999999998</v>
      </c>
      <c r="J422" s="3">
        <v>2.2143299999999968</v>
      </c>
      <c r="K422" s="3">
        <v>2.5228099999999998</v>
      </c>
      <c r="L422" s="3">
        <v>0.80689999999999884</v>
      </c>
      <c r="M422" s="3">
        <v>1.1153800000000018</v>
      </c>
      <c r="N422" s="3">
        <v>0.30848000000000297</v>
      </c>
      <c r="Q422" s="13">
        <v>-2.3887884106223005</v>
      </c>
      <c r="R422" s="13">
        <v>1.2372553937796207</v>
      </c>
      <c r="S422" s="13">
        <v>0.82443673119817862</v>
      </c>
      <c r="T422" s="13">
        <v>1.3810680073963064</v>
      </c>
      <c r="U422" s="13">
        <v>0.5863618590632852</v>
      </c>
      <c r="V422" s="13">
        <v>0.45226821478982504</v>
      </c>
      <c r="W422" s="13">
        <v>0.32583152738542326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</row>
    <row r="423" spans="1:29" x14ac:dyDescent="0.25">
      <c r="A423" s="3">
        <v>1.2376624736910001E+18</v>
      </c>
      <c r="B423" s="3">
        <v>236.46382</v>
      </c>
      <c r="C423" s="3">
        <v>36.181080000000001</v>
      </c>
      <c r="D423" s="16">
        <v>0.64669359999999998</v>
      </c>
      <c r="E423" s="3">
        <v>1.6058200000000014</v>
      </c>
      <c r="F423" s="3">
        <v>3.0132499999999993</v>
      </c>
      <c r="G423" s="3">
        <v>3.8201499999999982</v>
      </c>
      <c r="H423" s="3">
        <v>4.1286300000000011</v>
      </c>
      <c r="I423" s="3">
        <v>1.407429999999998</v>
      </c>
      <c r="J423" s="3">
        <v>2.2143299999999968</v>
      </c>
      <c r="K423" s="3">
        <v>2.5228099999999998</v>
      </c>
      <c r="L423" s="3">
        <v>0.80689999999999884</v>
      </c>
      <c r="M423" s="3">
        <v>1.1153800000000018</v>
      </c>
      <c r="N423" s="3">
        <v>0.30848000000000297</v>
      </c>
      <c r="Q423" s="13">
        <v>-3.1571762176957932</v>
      </c>
      <c r="R423" s="13">
        <v>-0.31888315683994262</v>
      </c>
      <c r="S423" s="13">
        <v>-1.6692449000539287</v>
      </c>
      <c r="T423" s="13">
        <v>0.89063763473456381</v>
      </c>
      <c r="U423" s="13">
        <v>0.97710372642211507</v>
      </c>
      <c r="V423" s="13">
        <v>4.8948580621440897E-2</v>
      </c>
      <c r="W423" s="13">
        <v>0.10236805955597211</v>
      </c>
      <c r="X423" s="13">
        <v>0</v>
      </c>
      <c r="Y423" s="13">
        <v>0</v>
      </c>
      <c r="Z423" s="13">
        <v>0</v>
      </c>
      <c r="AA423" s="13">
        <v>0</v>
      </c>
      <c r="AB423" s="13">
        <v>0</v>
      </c>
      <c r="AC423" s="13">
        <v>0</v>
      </c>
    </row>
    <row r="424" spans="1:29" x14ac:dyDescent="0.25">
      <c r="A424" s="3">
        <v>1.23766247422787E+18</v>
      </c>
      <c r="B424" s="3">
        <v>236.73444000000001</v>
      </c>
      <c r="C424" s="3">
        <v>36.491458999999999</v>
      </c>
      <c r="D424" s="16">
        <v>0.64683619999999997</v>
      </c>
      <c r="E424" s="3">
        <v>2.3045599999999986</v>
      </c>
      <c r="F424" s="3">
        <v>3.9476200000000006</v>
      </c>
      <c r="G424" s="3">
        <v>4.9762400000000007</v>
      </c>
      <c r="H424" s="3">
        <v>5.2503099999999989</v>
      </c>
      <c r="I424" s="3">
        <v>1.643060000000002</v>
      </c>
      <c r="J424" s="3">
        <v>2.6716800000000021</v>
      </c>
      <c r="K424" s="3">
        <v>2.9457500000000003</v>
      </c>
      <c r="L424" s="3">
        <v>1.0286200000000001</v>
      </c>
      <c r="M424" s="3">
        <v>1.3026899999999983</v>
      </c>
      <c r="N424" s="3">
        <v>0.27406999999999826</v>
      </c>
      <c r="Q424" s="13">
        <v>-3.5288888551135198</v>
      </c>
      <c r="R424" s="13">
        <v>-1.0529767528867653</v>
      </c>
      <c r="S424" s="13">
        <v>-0.17021141341111426</v>
      </c>
      <c r="T424" s="13">
        <v>2.2103941595556025</v>
      </c>
      <c r="U424" s="13">
        <v>1.3886424667930899</v>
      </c>
      <c r="V424" s="13">
        <v>0.21136252874415265</v>
      </c>
      <c r="W424" s="13">
        <v>0.27790727210729893</v>
      </c>
      <c r="X424" s="13">
        <v>0</v>
      </c>
      <c r="Y424" s="13">
        <v>0</v>
      </c>
      <c r="Z424" s="13">
        <v>0</v>
      </c>
      <c r="AA424" s="13">
        <v>0</v>
      </c>
      <c r="AB424" s="13">
        <v>0</v>
      </c>
      <c r="AC424" s="13">
        <v>0</v>
      </c>
    </row>
    <row r="425" spans="1:29" x14ac:dyDescent="0.25">
      <c r="A425" s="3">
        <v>1.2376624731541299E+18</v>
      </c>
      <c r="B425" s="3">
        <v>236.29131000000001</v>
      </c>
      <c r="C425" s="3">
        <v>35.892977999999999</v>
      </c>
      <c r="D425" s="16">
        <v>0.64851650000000005</v>
      </c>
      <c r="E425" s="3">
        <v>0.78732000000000113</v>
      </c>
      <c r="F425" s="3">
        <v>2.5596999999999994</v>
      </c>
      <c r="G425" s="3">
        <v>3.8198399999999992</v>
      </c>
      <c r="H425" s="3">
        <v>4.4039999999999999</v>
      </c>
      <c r="I425" s="3">
        <v>1.7723799999999983</v>
      </c>
      <c r="J425" s="3">
        <v>3.0325199999999981</v>
      </c>
      <c r="K425" s="3">
        <v>3.6166799999999988</v>
      </c>
      <c r="L425" s="3">
        <v>1.2601399999999998</v>
      </c>
      <c r="M425" s="3">
        <v>1.8443000000000005</v>
      </c>
      <c r="N425" s="3">
        <v>0.58416000000000068</v>
      </c>
      <c r="Q425" s="13">
        <v>-3.5290704558763681</v>
      </c>
      <c r="R425" s="13">
        <v>-1.0528710039406268</v>
      </c>
      <c r="S425" s="13">
        <v>-0.17022347581524494</v>
      </c>
      <c r="T425" s="13">
        <v>2.2104027130890982</v>
      </c>
      <c r="U425" s="13">
        <v>1.3887330645125968</v>
      </c>
      <c r="V425" s="13">
        <v>0.21167517210251263</v>
      </c>
      <c r="W425" s="13">
        <v>0.27750330476474866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</row>
    <row r="426" spans="1:29" x14ac:dyDescent="0.25">
      <c r="A426" s="3">
        <v>1.2376614659861299E+18</v>
      </c>
      <c r="B426" s="3">
        <v>235.85878</v>
      </c>
      <c r="C426" s="3">
        <v>35.840904999999999</v>
      </c>
      <c r="D426" s="16">
        <v>0.65060560000000001</v>
      </c>
      <c r="E426" s="3">
        <v>1.77149</v>
      </c>
      <c r="F426" s="3">
        <v>3.9548800000000028</v>
      </c>
      <c r="G426" s="3">
        <v>5.2367200000000018</v>
      </c>
      <c r="H426" s="3">
        <v>5.8765999999999998</v>
      </c>
      <c r="I426" s="3">
        <v>2.1833900000000028</v>
      </c>
      <c r="J426" s="3">
        <v>3.4652300000000018</v>
      </c>
      <c r="K426" s="3">
        <v>4.1051099999999998</v>
      </c>
      <c r="L426" s="3">
        <v>1.281839999999999</v>
      </c>
      <c r="M426" s="3">
        <v>1.921719999999997</v>
      </c>
      <c r="N426" s="3">
        <v>0.63987999999999801</v>
      </c>
      <c r="Q426" s="13">
        <v>-1.6160974012977001</v>
      </c>
      <c r="R426" s="13">
        <v>3.8111887233592059</v>
      </c>
      <c r="S426" s="13">
        <v>1.6637457307632975</v>
      </c>
      <c r="T426" s="13">
        <v>0.38414272548186718</v>
      </c>
      <c r="U426" s="13">
        <v>-6.6324587051207445E-2</v>
      </c>
      <c r="V426" s="13">
        <v>-0.30945785184263663</v>
      </c>
      <c r="W426" s="13">
        <v>-0.1358684343716963</v>
      </c>
      <c r="X426" s="13">
        <v>0</v>
      </c>
      <c r="Y426" s="13">
        <v>0</v>
      </c>
      <c r="Z426" s="13">
        <v>0</v>
      </c>
      <c r="AA426" s="13">
        <v>0</v>
      </c>
      <c r="AB426" s="13">
        <v>0</v>
      </c>
      <c r="AC426" s="13">
        <v>0</v>
      </c>
    </row>
    <row r="427" spans="1:29" x14ac:dyDescent="0.25">
      <c r="A427" s="3">
        <v>1.2376614659862001E+18</v>
      </c>
      <c r="B427" s="3">
        <v>235.98567</v>
      </c>
      <c r="C427" s="3">
        <v>35.785175000000002</v>
      </c>
      <c r="D427" s="16">
        <v>0.65082850000000003</v>
      </c>
      <c r="E427" s="3">
        <v>3.226899999999997</v>
      </c>
      <c r="F427" s="3">
        <v>5.3853799999999978</v>
      </c>
      <c r="G427" s="3">
        <v>6.6435699999999969</v>
      </c>
      <c r="H427" s="3">
        <v>7.0639699999999976</v>
      </c>
      <c r="I427" s="3">
        <v>2.1584800000000008</v>
      </c>
      <c r="J427" s="3">
        <v>3.4166699999999999</v>
      </c>
      <c r="K427" s="3">
        <v>3.8370700000000006</v>
      </c>
      <c r="L427" s="3">
        <v>1.258189999999999</v>
      </c>
      <c r="M427" s="3">
        <v>1.6785899999999998</v>
      </c>
      <c r="N427" s="3">
        <v>0.42040000000000077</v>
      </c>
      <c r="Q427" s="13">
        <v>-1.6084363540053035</v>
      </c>
      <c r="R427" s="13">
        <v>1.9662667477603479</v>
      </c>
      <c r="S427" s="13">
        <v>-0.31272090453214729</v>
      </c>
      <c r="T427" s="13">
        <v>8.9955003603945261E-2</v>
      </c>
      <c r="U427" s="13">
        <v>-4.3125108459874717E-2</v>
      </c>
      <c r="V427" s="13">
        <v>0.32309581386545466</v>
      </c>
      <c r="W427" s="13">
        <v>-8.14368234907802E-2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</row>
    <row r="428" spans="1:29" x14ac:dyDescent="0.25">
      <c r="A428" s="3">
        <v>1.2376614659862001E+18</v>
      </c>
      <c r="B428" s="3">
        <v>235.98567</v>
      </c>
      <c r="C428" s="3">
        <v>35.785175000000002</v>
      </c>
      <c r="D428" s="16">
        <v>0.65089680000000005</v>
      </c>
      <c r="E428" s="3">
        <v>3.226899999999997</v>
      </c>
      <c r="F428" s="3">
        <v>5.3853799999999978</v>
      </c>
      <c r="G428" s="3">
        <v>6.6435699999999969</v>
      </c>
      <c r="H428" s="3">
        <v>7.0639699999999976</v>
      </c>
      <c r="I428" s="3">
        <v>2.1584800000000008</v>
      </c>
      <c r="J428" s="3">
        <v>3.4166699999999999</v>
      </c>
      <c r="K428" s="3">
        <v>3.8370700000000006</v>
      </c>
      <c r="L428" s="3">
        <v>1.258189999999999</v>
      </c>
      <c r="M428" s="3">
        <v>1.6785899999999998</v>
      </c>
      <c r="N428" s="3">
        <v>0.42040000000000077</v>
      </c>
      <c r="Q428" s="13">
        <v>-1.9116936953536798</v>
      </c>
      <c r="R428" s="13">
        <v>3.8108931480758228</v>
      </c>
      <c r="S428" s="13">
        <v>0.74227916302273389</v>
      </c>
      <c r="T428" s="13">
        <v>-0.13585684081111601</v>
      </c>
      <c r="U428" s="13">
        <v>-8.5745254510937591E-2</v>
      </c>
      <c r="V428" s="13">
        <v>-6.781780861778168E-2</v>
      </c>
      <c r="W428" s="13">
        <v>0.18445892751862866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</row>
    <row r="429" spans="1:29" x14ac:dyDescent="0.25">
      <c r="A429" s="3">
        <v>1.2376614659863301E+18</v>
      </c>
      <c r="B429" s="3">
        <v>236.41499999999999</v>
      </c>
      <c r="C429" s="3">
        <v>35.778846999999999</v>
      </c>
      <c r="D429" s="16">
        <v>0.65719640000000001</v>
      </c>
      <c r="E429" s="3">
        <v>1.2567500000000003</v>
      </c>
      <c r="F429" s="3">
        <v>3.7281399999999998</v>
      </c>
      <c r="G429" s="3">
        <v>4.8813999999999993</v>
      </c>
      <c r="H429" s="3">
        <v>5.4522000000000013</v>
      </c>
      <c r="I429" s="3">
        <v>2.4713899999999995</v>
      </c>
      <c r="J429" s="3">
        <v>3.624649999999999</v>
      </c>
      <c r="K429" s="3">
        <v>4.195450000000001</v>
      </c>
      <c r="L429" s="3">
        <v>1.1532599999999995</v>
      </c>
      <c r="M429" s="3">
        <v>1.7240600000000015</v>
      </c>
      <c r="N429" s="3">
        <v>0.57080000000000197</v>
      </c>
      <c r="Q429" s="13">
        <v>-2.1415469283494213</v>
      </c>
      <c r="R429" s="13">
        <v>1.5192829350558059</v>
      </c>
      <c r="S429" s="13">
        <v>-1.3347858156644616</v>
      </c>
      <c r="T429" s="13">
        <v>1.3842642802524776</v>
      </c>
      <c r="U429" s="13">
        <v>0.16588153831047481</v>
      </c>
      <c r="V429" s="13">
        <v>0.48292132626353867</v>
      </c>
      <c r="W429" s="13">
        <v>0.26270881951018071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</row>
    <row r="430" spans="1:29" x14ac:dyDescent="0.25">
      <c r="A430" s="3">
        <v>1.2376624731539999E+18</v>
      </c>
      <c r="B430" s="3">
        <v>235.88373999999999</v>
      </c>
      <c r="C430" s="3">
        <v>36.154041999999997</v>
      </c>
      <c r="D430" s="16">
        <v>0.66040239999999995</v>
      </c>
      <c r="E430" s="3">
        <v>4.1206400000000016</v>
      </c>
      <c r="F430" s="3">
        <v>5.7731299999999983</v>
      </c>
      <c r="G430" s="3">
        <v>6.9352899999999984</v>
      </c>
      <c r="H430" s="3">
        <v>7.3555400000000013</v>
      </c>
      <c r="I430" s="3">
        <v>1.6524899999999967</v>
      </c>
      <c r="J430" s="3">
        <v>2.8146499999999968</v>
      </c>
      <c r="K430" s="3">
        <v>3.2348999999999997</v>
      </c>
      <c r="L430" s="3">
        <v>1.1621600000000001</v>
      </c>
      <c r="M430" s="3">
        <v>1.582410000000003</v>
      </c>
      <c r="N430" s="3">
        <v>0.4202500000000029</v>
      </c>
      <c r="Q430" s="13">
        <v>-1.9096111759978198</v>
      </c>
      <c r="R430" s="13">
        <v>2.0914701373111146</v>
      </c>
      <c r="S430" s="13">
        <v>1.2774823386883842</v>
      </c>
      <c r="T430" s="13">
        <v>6.5648831559383156E-2</v>
      </c>
      <c r="U430" s="13">
        <v>-0.19911666058064492</v>
      </c>
      <c r="V430" s="13">
        <v>0.46955874788748214</v>
      </c>
      <c r="W430" s="13">
        <v>0.10466787880448188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</row>
    <row r="431" spans="1:29" x14ac:dyDescent="0.25">
      <c r="A431" s="3">
        <v>1.2376614654493299E+18</v>
      </c>
      <c r="B431" s="3">
        <v>235.80443</v>
      </c>
      <c r="C431" s="3">
        <v>35.610607999999999</v>
      </c>
      <c r="D431" s="16">
        <v>0.66201560000000004</v>
      </c>
      <c r="E431" s="3">
        <v>0.6565700000000021</v>
      </c>
      <c r="F431" s="3">
        <v>1.7843900000000019</v>
      </c>
      <c r="G431" s="3">
        <v>2.7487500000000011</v>
      </c>
      <c r="H431" s="3">
        <v>3.1132500000000007</v>
      </c>
      <c r="I431" s="3">
        <v>1.1278199999999998</v>
      </c>
      <c r="J431" s="3">
        <v>2.092179999999999</v>
      </c>
      <c r="K431" s="3">
        <v>2.4566799999999986</v>
      </c>
      <c r="L431" s="3">
        <v>0.96435999999999922</v>
      </c>
      <c r="M431" s="3">
        <v>1.3288599999999988</v>
      </c>
      <c r="N431" s="3">
        <v>0.3644999999999996</v>
      </c>
      <c r="Q431" s="13">
        <v>-1.9098468246067535</v>
      </c>
      <c r="R431" s="13">
        <v>2.0916073591578885</v>
      </c>
      <c r="S431" s="13">
        <v>1.2774666862830255</v>
      </c>
      <c r="T431" s="13">
        <v>6.5659930787372242E-2</v>
      </c>
      <c r="U431" s="13">
        <v>-0.19899909925414255</v>
      </c>
      <c r="V431" s="13">
        <v>0.46996443986440201</v>
      </c>
      <c r="W431" s="13">
        <v>0.10414368308617283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</row>
    <row r="432" spans="1:29" x14ac:dyDescent="0.25">
      <c r="A432" s="3">
        <v>1.2376624731541299E+18</v>
      </c>
      <c r="B432" s="3">
        <v>236.28149999999999</v>
      </c>
      <c r="C432" s="3">
        <v>35.901161000000002</v>
      </c>
      <c r="D432" s="16">
        <v>0.66563930000000004</v>
      </c>
      <c r="E432" s="3">
        <v>0.84967999999999932</v>
      </c>
      <c r="F432" s="3">
        <v>2.0799900000000022</v>
      </c>
      <c r="G432" s="3">
        <v>3.1881599999999999</v>
      </c>
      <c r="H432" s="3">
        <v>3.5685000000000002</v>
      </c>
      <c r="I432" s="3">
        <v>1.2303100000000029</v>
      </c>
      <c r="J432" s="3">
        <v>2.3384800000000006</v>
      </c>
      <c r="K432" s="3">
        <v>2.7188200000000009</v>
      </c>
      <c r="L432" s="3">
        <v>1.1081699999999977</v>
      </c>
      <c r="M432" s="3">
        <v>1.488509999999998</v>
      </c>
      <c r="N432" s="3">
        <v>0.38034000000000034</v>
      </c>
      <c r="Q432" s="13">
        <v>-1.4126458520110565</v>
      </c>
      <c r="R432" s="13">
        <v>1.708820326713792</v>
      </c>
      <c r="S432" s="13">
        <v>-0.80427620059053473</v>
      </c>
      <c r="T432" s="13">
        <v>0.71237375705611539</v>
      </c>
      <c r="U432" s="13">
        <v>1.1226936066567321</v>
      </c>
      <c r="V432" s="13">
        <v>0.43616856306539742</v>
      </c>
      <c r="W432" s="13">
        <v>0.11573372502827126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</row>
    <row r="433" spans="1:29" x14ac:dyDescent="0.25">
      <c r="A433" s="3">
        <v>1.2376624736909399E+18</v>
      </c>
      <c r="B433" s="3">
        <v>236.27891</v>
      </c>
      <c r="C433" s="3">
        <v>36.204389999999997</v>
      </c>
      <c r="D433" s="16">
        <v>0.68821540000000003</v>
      </c>
      <c r="E433" s="3">
        <v>3.1287899999999986</v>
      </c>
      <c r="F433" s="3">
        <v>4.5872899999999994</v>
      </c>
      <c r="G433" s="3">
        <v>5.9400699999999986</v>
      </c>
      <c r="H433" s="3">
        <v>6.4416399999999996</v>
      </c>
      <c r="I433" s="3">
        <v>1.4585000000000008</v>
      </c>
      <c r="J433" s="3">
        <v>2.81128</v>
      </c>
      <c r="K433" s="3">
        <v>3.312850000000001</v>
      </c>
      <c r="L433" s="3">
        <v>1.3527799999999992</v>
      </c>
      <c r="M433" s="3">
        <v>1.8543500000000002</v>
      </c>
      <c r="N433" s="3">
        <v>0.50157000000000096</v>
      </c>
      <c r="Q433" s="13">
        <v>-1.4130366497311053</v>
      </c>
      <c r="R433" s="13">
        <v>1.7090478942988649</v>
      </c>
      <c r="S433" s="13">
        <v>-0.8043021584111878</v>
      </c>
      <c r="T433" s="13">
        <v>0.71239216392476545</v>
      </c>
      <c r="U433" s="13">
        <v>1.1228885693962587</v>
      </c>
      <c r="V433" s="13">
        <v>0.43684135931206508</v>
      </c>
      <c r="W433" s="13">
        <v>0.11486440314895985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</row>
    <row r="434" spans="1:29" x14ac:dyDescent="0.25">
      <c r="A434" s="3">
        <v>1.2376614659863301E+18</v>
      </c>
      <c r="B434" s="3">
        <v>236.36395999999999</v>
      </c>
      <c r="C434" s="3">
        <v>35.632443000000002</v>
      </c>
      <c r="D434" s="16">
        <v>0.69101109999999999</v>
      </c>
      <c r="E434" s="3">
        <v>1.167469999999998</v>
      </c>
      <c r="F434" s="3">
        <v>2.4545299999999983</v>
      </c>
      <c r="G434" s="3">
        <v>3.4506699999999988</v>
      </c>
      <c r="H434" s="3">
        <v>3.6990899999999982</v>
      </c>
      <c r="I434" s="3">
        <v>1.2870600000000003</v>
      </c>
      <c r="J434" s="3">
        <v>2.2832000000000008</v>
      </c>
      <c r="K434" s="3">
        <v>2.5316200000000002</v>
      </c>
      <c r="L434" s="3">
        <v>0.99614000000000047</v>
      </c>
      <c r="M434" s="3">
        <v>1.2445599999999999</v>
      </c>
      <c r="N434" s="3">
        <v>0.24841999999999942</v>
      </c>
      <c r="Q434" s="13">
        <v>-4.1103560333917581</v>
      </c>
      <c r="R434" s="13">
        <v>0.33221057989261193</v>
      </c>
      <c r="S434" s="13">
        <v>-0.11707177184237041</v>
      </c>
      <c r="T434" s="13">
        <v>-0.67955079585370504</v>
      </c>
      <c r="U434" s="13">
        <v>0.41629531828449756</v>
      </c>
      <c r="V434" s="13">
        <v>8.1626693763545283E-3</v>
      </c>
      <c r="W434" s="13">
        <v>0.42209318821004488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</row>
    <row r="435" spans="1:29" x14ac:dyDescent="0.25">
      <c r="A435" s="3">
        <v>1.2376623378636401E+18</v>
      </c>
      <c r="B435" s="3">
        <v>236.10209</v>
      </c>
      <c r="C435" s="3">
        <v>35.663753999999997</v>
      </c>
      <c r="D435" s="16">
        <v>0.69193020000000005</v>
      </c>
      <c r="E435" s="3">
        <v>0.51440999999999804</v>
      </c>
      <c r="F435" s="3">
        <v>2.8251399999999975</v>
      </c>
      <c r="G435" s="3">
        <v>4.1518899999999981</v>
      </c>
      <c r="H435" s="3">
        <v>4.9089099999999988</v>
      </c>
      <c r="I435" s="3">
        <v>2.3107299999999995</v>
      </c>
      <c r="J435" s="3">
        <v>3.63748</v>
      </c>
      <c r="K435" s="3">
        <v>4.3945000000000007</v>
      </c>
      <c r="L435" s="3">
        <v>1.3267500000000005</v>
      </c>
      <c r="M435" s="3">
        <v>2.0837700000000012</v>
      </c>
      <c r="N435" s="3">
        <v>0.75702000000000069</v>
      </c>
      <c r="Q435" s="13">
        <v>-6.1628546945615472</v>
      </c>
      <c r="R435" s="13">
        <v>1.1762787315855756</v>
      </c>
      <c r="S435" s="13">
        <v>-0.98796356789314932</v>
      </c>
      <c r="T435" s="13">
        <v>-0.58324205864113021</v>
      </c>
      <c r="U435" s="13">
        <v>-2.8100247144732196</v>
      </c>
      <c r="V435" s="13">
        <v>-0.23556742579814507</v>
      </c>
      <c r="W435" s="13">
        <v>0.68010796993678579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</row>
    <row r="436" spans="1:29" x14ac:dyDescent="0.25">
      <c r="A436" s="3">
        <v>1.23766146598627E+18</v>
      </c>
      <c r="B436" s="3">
        <v>236.38502</v>
      </c>
      <c r="C436" s="3">
        <v>35.790709999999997</v>
      </c>
      <c r="D436" s="16">
        <v>0.69201120000000005</v>
      </c>
      <c r="E436" s="3">
        <v>-0.34051999999999794</v>
      </c>
      <c r="F436" s="3">
        <v>0.81522000000000006</v>
      </c>
      <c r="G436" s="3">
        <v>1.7955500000000022</v>
      </c>
      <c r="H436" s="3">
        <v>2.261370000000003</v>
      </c>
      <c r="I436" s="3">
        <v>1.155739999999998</v>
      </c>
      <c r="J436" s="3">
        <v>2.1360700000000001</v>
      </c>
      <c r="K436" s="3">
        <v>2.6018900000000009</v>
      </c>
      <c r="L436" s="3">
        <v>0.98033000000000214</v>
      </c>
      <c r="M436" s="3">
        <v>1.4461500000000029</v>
      </c>
      <c r="N436" s="3">
        <v>0.46582000000000079</v>
      </c>
      <c r="Q436" s="13">
        <v>-0.46699916163929783</v>
      </c>
      <c r="R436" s="13">
        <v>1.2525435393119144</v>
      </c>
      <c r="S436" s="13">
        <v>-1.1612741836884239</v>
      </c>
      <c r="T436" s="13">
        <v>-0.60686983942251493</v>
      </c>
      <c r="U436" s="13">
        <v>0.77936160778864094</v>
      </c>
      <c r="V436" s="13">
        <v>0.9254628083409232</v>
      </c>
      <c r="W436" s="13">
        <v>-0.1606970319314352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</row>
    <row r="437" spans="1:29" x14ac:dyDescent="0.25">
      <c r="A437" s="3">
        <v>1.23766146598627E+18</v>
      </c>
      <c r="B437" s="3">
        <v>236.24475000000001</v>
      </c>
      <c r="C437" s="3">
        <v>35.791820999999999</v>
      </c>
      <c r="D437" s="16">
        <v>0.69334110000000004</v>
      </c>
      <c r="E437" s="3">
        <v>-0.48896999999999835</v>
      </c>
      <c r="F437" s="3">
        <v>1.8544000000000018</v>
      </c>
      <c r="G437" s="3">
        <v>3.0452300000000001</v>
      </c>
      <c r="H437" s="3">
        <v>3.6361899999999991</v>
      </c>
      <c r="I437" s="3">
        <v>2.3433700000000002</v>
      </c>
      <c r="J437" s="3">
        <v>3.5341999999999985</v>
      </c>
      <c r="K437" s="3">
        <v>4.1251599999999975</v>
      </c>
      <c r="L437" s="3">
        <v>1.1908299999999983</v>
      </c>
      <c r="M437" s="3">
        <v>1.7817899999999973</v>
      </c>
      <c r="N437" s="3">
        <v>0.59095999999999904</v>
      </c>
      <c r="Q437" s="13">
        <v>-2.8766068760223829</v>
      </c>
      <c r="R437" s="13">
        <v>2.1365161333579215</v>
      </c>
      <c r="S437" s="13">
        <v>-0.94314192141586572</v>
      </c>
      <c r="T437" s="13">
        <v>-0.61002244736174971</v>
      </c>
      <c r="U437" s="13">
        <v>1.9812464938256509</v>
      </c>
      <c r="V437" s="13">
        <v>-3.5174094273861561E-2</v>
      </c>
      <c r="W437" s="13">
        <v>0.66720510661602783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</row>
    <row r="438" spans="1:29" x14ac:dyDescent="0.25">
      <c r="A438" s="3">
        <v>1.23766247369107E+18</v>
      </c>
      <c r="B438" s="3">
        <v>236.71039999999999</v>
      </c>
      <c r="C438" s="3">
        <v>36.127265999999999</v>
      </c>
      <c r="D438" s="16">
        <v>0.69431100000000001</v>
      </c>
      <c r="E438" s="3">
        <v>-0.28641000000000005</v>
      </c>
      <c r="F438" s="3">
        <v>1.42089</v>
      </c>
      <c r="G438" s="3">
        <v>2.7821999999999996</v>
      </c>
      <c r="H438" s="3">
        <v>3.5128399999999971</v>
      </c>
      <c r="I438" s="3">
        <v>1.7073</v>
      </c>
      <c r="J438" s="3">
        <v>3.0686099999999996</v>
      </c>
      <c r="K438" s="3">
        <v>3.7992499999999971</v>
      </c>
      <c r="L438" s="3">
        <v>1.3613099999999996</v>
      </c>
      <c r="M438" s="3">
        <v>2.0919499999999971</v>
      </c>
      <c r="N438" s="3">
        <v>0.73063999999999751</v>
      </c>
      <c r="Q438" s="13">
        <v>-2.24899755537955</v>
      </c>
      <c r="R438" s="13">
        <v>-0.36578849491326493</v>
      </c>
      <c r="S438" s="13">
        <v>0.95072458711677121</v>
      </c>
      <c r="T438" s="13">
        <v>-0.30941854475883512</v>
      </c>
      <c r="U438" s="13">
        <v>0.78233874178536988</v>
      </c>
      <c r="V438" s="13">
        <v>0.77519692016664132</v>
      </c>
      <c r="W438" s="13">
        <v>3.1606327851434801E-2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</row>
    <row r="439" spans="1:29" x14ac:dyDescent="0.25">
      <c r="A439" s="3">
        <v>1.2376614659863301E+18</v>
      </c>
      <c r="B439" s="3">
        <v>236.44878</v>
      </c>
      <c r="C439" s="3">
        <v>35.648147999999999</v>
      </c>
      <c r="D439" s="16">
        <v>0.69724140000000001</v>
      </c>
      <c r="E439" s="3">
        <v>0.51691000000000287</v>
      </c>
      <c r="F439" s="3">
        <v>2.2605900000000005</v>
      </c>
      <c r="G439" s="3">
        <v>3.6416000000000004</v>
      </c>
      <c r="H439" s="3">
        <v>4.3151600000000023</v>
      </c>
      <c r="I439" s="3">
        <v>1.7436799999999977</v>
      </c>
      <c r="J439" s="3">
        <v>3.1246899999999975</v>
      </c>
      <c r="K439" s="3">
        <v>3.7982499999999995</v>
      </c>
      <c r="L439" s="3">
        <v>1.3810099999999998</v>
      </c>
      <c r="M439" s="3">
        <v>2.0545700000000018</v>
      </c>
      <c r="N439" s="3">
        <v>0.67356000000000193</v>
      </c>
      <c r="Q439" s="13">
        <v>-2.2490538923108829</v>
      </c>
      <c r="R439" s="13">
        <v>-0.3657556890427186</v>
      </c>
      <c r="S439" s="13">
        <v>0.95072084506843157</v>
      </c>
      <c r="T439" s="13">
        <v>-0.30941589124669283</v>
      </c>
      <c r="U439" s="13">
        <v>0.7823668473804265</v>
      </c>
      <c r="V439" s="13">
        <v>0.77529390966786982</v>
      </c>
      <c r="W439" s="13">
        <v>3.1481007450349194E-2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</row>
    <row r="440" spans="1:29" x14ac:dyDescent="0.25">
      <c r="A440" s="3">
        <v>1.2376624736910001E+18</v>
      </c>
      <c r="B440" s="3">
        <v>236.43575999999999</v>
      </c>
      <c r="C440" s="3">
        <v>36.223796999999998</v>
      </c>
      <c r="D440" s="16">
        <v>0.69747420000000004</v>
      </c>
      <c r="E440" s="3">
        <v>4.6349999999996783E-2</v>
      </c>
      <c r="F440" s="3">
        <v>1.6452599999999968</v>
      </c>
      <c r="G440" s="3">
        <v>2.7330199999999998</v>
      </c>
      <c r="H440" s="3">
        <v>3.4256699999999967</v>
      </c>
      <c r="I440" s="3">
        <v>1.5989100000000001</v>
      </c>
      <c r="J440" s="3">
        <v>2.686670000000003</v>
      </c>
      <c r="K440" s="3">
        <v>3.3793199999999999</v>
      </c>
      <c r="L440" s="3">
        <v>1.0877600000000029</v>
      </c>
      <c r="M440" s="3">
        <v>1.7804099999999998</v>
      </c>
      <c r="N440" s="3">
        <v>0.69264999999999688</v>
      </c>
      <c r="Q440" s="13">
        <v>-2.7381135150507134</v>
      </c>
      <c r="R440" s="13">
        <v>-2.3612369311089489</v>
      </c>
      <c r="S440" s="13">
        <v>-0.21674400050957326</v>
      </c>
      <c r="T440" s="13">
        <v>-0.30100441402958028</v>
      </c>
      <c r="U440" s="13">
        <v>2.1725645776593869</v>
      </c>
      <c r="V440" s="13">
        <v>0.39490260204346134</v>
      </c>
      <c r="W440" s="13">
        <v>-0.21876868218511114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</row>
    <row r="441" spans="1:29" x14ac:dyDescent="0.25">
      <c r="A441" s="3">
        <v>1.23766247369087E+18</v>
      </c>
      <c r="B441" s="3">
        <v>236.19971000000001</v>
      </c>
      <c r="C441" s="3">
        <v>36.282226999999999</v>
      </c>
      <c r="D441" s="16">
        <v>0.70578620000000003</v>
      </c>
      <c r="E441" s="3">
        <v>1.625980000000002</v>
      </c>
      <c r="F441" s="3">
        <v>2.8793100000000003</v>
      </c>
      <c r="G441" s="3">
        <v>3.7526800000000016</v>
      </c>
      <c r="H441" s="3">
        <v>4.0086500000000029</v>
      </c>
      <c r="I441" s="3">
        <v>1.2533299999999983</v>
      </c>
      <c r="J441" s="3">
        <v>2.1266999999999996</v>
      </c>
      <c r="K441" s="3">
        <v>2.382670000000001</v>
      </c>
      <c r="L441" s="3">
        <v>0.87337000000000131</v>
      </c>
      <c r="M441" s="3">
        <v>1.1293400000000027</v>
      </c>
      <c r="N441" s="3">
        <v>0.25597000000000136</v>
      </c>
      <c r="Q441" s="13">
        <v>-6.180951754588639</v>
      </c>
      <c r="R441" s="13">
        <v>-1.1125764267455132</v>
      </c>
      <c r="S441" s="13">
        <v>0.59413196503591015</v>
      </c>
      <c r="T441" s="13">
        <v>-0.64757741955903836</v>
      </c>
      <c r="U441" s="13">
        <v>-2.1247610938789521</v>
      </c>
      <c r="V441" s="13">
        <v>-0.11920099666501152</v>
      </c>
      <c r="W441" s="13">
        <v>0.24978276048480652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</row>
    <row r="442" spans="1:29" x14ac:dyDescent="0.25">
      <c r="A442" s="3">
        <v>1.23766247369087E+18</v>
      </c>
      <c r="B442" s="3">
        <v>236.22808000000001</v>
      </c>
      <c r="C442" s="3">
        <v>36.353242000000002</v>
      </c>
      <c r="D442" s="16">
        <v>0.70619920000000003</v>
      </c>
      <c r="E442" s="3">
        <v>2.1623300000000008</v>
      </c>
      <c r="F442" s="3">
        <v>4.7226500000000016</v>
      </c>
      <c r="G442" s="3">
        <v>5.8367200000000032</v>
      </c>
      <c r="H442" s="3">
        <v>6.5749700000000004</v>
      </c>
      <c r="I442" s="3">
        <v>2.5603200000000008</v>
      </c>
      <c r="J442" s="3">
        <v>3.6743900000000025</v>
      </c>
      <c r="K442" s="3">
        <v>4.4126399999999997</v>
      </c>
      <c r="L442" s="3">
        <v>1.1140700000000017</v>
      </c>
      <c r="M442" s="3">
        <v>1.8523199999999989</v>
      </c>
      <c r="N442" s="3">
        <v>0.73824999999999719</v>
      </c>
      <c r="Q442" s="13">
        <v>-3.7008604765698019</v>
      </c>
      <c r="R442" s="13">
        <v>8.1117587291189938E-2</v>
      </c>
      <c r="S442" s="13">
        <v>-0.27227873217186765</v>
      </c>
      <c r="T442" s="13">
        <v>-0.83047810560994706</v>
      </c>
      <c r="U442" s="13">
        <v>0.71820234234984726</v>
      </c>
      <c r="V442" s="13">
        <v>-0.1507985890081254</v>
      </c>
      <c r="W442" s="13">
        <v>7.523814666338835E-2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</row>
    <row r="443" spans="1:29" x14ac:dyDescent="0.25">
      <c r="A443" s="3">
        <v>1.2376624731539999E+18</v>
      </c>
      <c r="B443" s="3">
        <v>235.94709</v>
      </c>
      <c r="C443" s="3">
        <v>36.089579999999998</v>
      </c>
      <c r="D443" s="16">
        <v>0.70865409999999995</v>
      </c>
      <c r="E443" s="3">
        <v>-0.24632000000000076</v>
      </c>
      <c r="F443" s="3">
        <v>2.3516000000000012</v>
      </c>
      <c r="G443" s="3">
        <v>3.5901400000000017</v>
      </c>
      <c r="H443" s="3">
        <v>4.2366100000000024</v>
      </c>
      <c r="I443" s="3">
        <v>2.597920000000002</v>
      </c>
      <c r="J443" s="3">
        <v>3.8364600000000024</v>
      </c>
      <c r="K443" s="3">
        <v>4.4829300000000032</v>
      </c>
      <c r="L443" s="3">
        <v>1.2385400000000004</v>
      </c>
      <c r="M443" s="3">
        <v>1.8850100000000012</v>
      </c>
      <c r="N443" s="3">
        <v>0.64647000000000077</v>
      </c>
      <c r="Q443" s="13">
        <v>-0.42884631500343617</v>
      </c>
      <c r="R443" s="13">
        <v>0.42574999366893057</v>
      </c>
      <c r="S443" s="13">
        <v>0.55165284093967093</v>
      </c>
      <c r="T443" s="13">
        <v>-0.19290168658323056</v>
      </c>
      <c r="U443" s="13">
        <v>-0.34969530362492618</v>
      </c>
      <c r="V443" s="13">
        <v>1.1438748006011894</v>
      </c>
      <c r="W443" s="13">
        <v>-0.5556146920621472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</row>
    <row r="444" spans="1:29" x14ac:dyDescent="0.25">
      <c r="A444" s="3">
        <v>1.2376624736909399E+18</v>
      </c>
      <c r="B444" s="3">
        <v>236.27802</v>
      </c>
      <c r="C444" s="3">
        <v>36.232756999999999</v>
      </c>
      <c r="D444" s="16">
        <v>0.70894389999999996</v>
      </c>
      <c r="E444" s="3">
        <v>3.1269999999999243E-2</v>
      </c>
      <c r="F444" s="3">
        <v>2.2250600000000027</v>
      </c>
      <c r="G444" s="3">
        <v>3.6248299999999993</v>
      </c>
      <c r="H444" s="3">
        <v>4.2868999999999993</v>
      </c>
      <c r="I444" s="3">
        <v>2.1937900000000035</v>
      </c>
      <c r="J444" s="3">
        <v>3.5935600000000001</v>
      </c>
      <c r="K444" s="3">
        <v>4.25563</v>
      </c>
      <c r="L444" s="3">
        <v>1.3997699999999966</v>
      </c>
      <c r="M444" s="3">
        <v>2.0618399999999966</v>
      </c>
      <c r="N444" s="3">
        <v>0.66206999999999994</v>
      </c>
      <c r="Q444" s="13">
        <v>-0.42893177418595296</v>
      </c>
      <c r="R444" s="13">
        <v>0.4257997578788783</v>
      </c>
      <c r="S444" s="13">
        <v>0.55164716451419771</v>
      </c>
      <c r="T444" s="13">
        <v>-0.19289766139099709</v>
      </c>
      <c r="U444" s="13">
        <v>-0.34965266940398182</v>
      </c>
      <c r="V444" s="13">
        <v>1.1440219268874765</v>
      </c>
      <c r="W444" s="13">
        <v>-0.55580479434099495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</row>
    <row r="445" spans="1:29" x14ac:dyDescent="0.25">
      <c r="A445" s="3">
        <v>1.2376624736909399E+18</v>
      </c>
      <c r="B445" s="3">
        <v>236.27802</v>
      </c>
      <c r="C445" s="3">
        <v>36.232756999999999</v>
      </c>
      <c r="D445" s="16">
        <v>0.70897779999999999</v>
      </c>
      <c r="E445" s="3">
        <v>3.1269999999999243E-2</v>
      </c>
      <c r="F445" s="3">
        <v>2.2250600000000027</v>
      </c>
      <c r="G445" s="3">
        <v>3.6248299999999993</v>
      </c>
      <c r="H445" s="3">
        <v>4.2868999999999993</v>
      </c>
      <c r="I445" s="3">
        <v>2.1937900000000035</v>
      </c>
      <c r="J445" s="3">
        <v>3.5935600000000001</v>
      </c>
      <c r="K445" s="3">
        <v>4.25563</v>
      </c>
      <c r="L445" s="3">
        <v>1.3997699999999966</v>
      </c>
      <c r="M445" s="3">
        <v>2.0618399999999966</v>
      </c>
      <c r="N445" s="3">
        <v>0.66206999999999994</v>
      </c>
      <c r="Q445" s="13">
        <v>-2.0476672905714115</v>
      </c>
      <c r="R445" s="13">
        <v>-0.66066660945132272</v>
      </c>
      <c r="S445" s="13">
        <v>1.8395808816238581</v>
      </c>
      <c r="T445" s="13">
        <v>9.7676173053109105E-2</v>
      </c>
      <c r="U445" s="13">
        <v>-0.75333840854169598</v>
      </c>
      <c r="V445" s="13">
        <v>1.4270867649494416</v>
      </c>
      <c r="W445" s="13">
        <v>-1.706560937020097E-2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</row>
    <row r="446" spans="1:29" x14ac:dyDescent="0.25">
      <c r="A446" s="3">
        <v>1.23766247369087E+18</v>
      </c>
      <c r="B446" s="3">
        <v>236.1584</v>
      </c>
      <c r="C446" s="3">
        <v>36.329442</v>
      </c>
      <c r="D446" s="16">
        <v>0.71218060000000005</v>
      </c>
      <c r="E446" s="3">
        <v>1.7809600000000003</v>
      </c>
      <c r="F446" s="3">
        <v>4.0994299999999981</v>
      </c>
      <c r="G446" s="3">
        <v>5.3823599999999985</v>
      </c>
      <c r="H446" s="3">
        <v>5.9364399999999975</v>
      </c>
      <c r="I446" s="3">
        <v>2.3184699999999978</v>
      </c>
      <c r="J446" s="3">
        <v>3.6013999999999982</v>
      </c>
      <c r="K446" s="3">
        <v>4.1554799999999972</v>
      </c>
      <c r="L446" s="3">
        <v>1.2829300000000003</v>
      </c>
      <c r="M446" s="3">
        <v>1.8370099999999994</v>
      </c>
      <c r="N446" s="3">
        <v>0.55407999999999902</v>
      </c>
      <c r="Q446" s="13">
        <v>-2.7699622613617056</v>
      </c>
      <c r="R446" s="13">
        <v>2.024258948039793</v>
      </c>
      <c r="S446" s="13">
        <v>-0.70730360019741834</v>
      </c>
      <c r="T446" s="13">
        <v>-0.60311350682219955</v>
      </c>
      <c r="U446" s="13">
        <v>9.9223749905156325E-2</v>
      </c>
      <c r="V446" s="13">
        <v>0.29119647887019973</v>
      </c>
      <c r="W446" s="13">
        <v>0.37466691697832211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</row>
    <row r="447" spans="1:29" x14ac:dyDescent="0.25">
      <c r="A447" s="3">
        <v>1.23766233786371E+18</v>
      </c>
      <c r="B447" s="3">
        <v>236.16028</v>
      </c>
      <c r="C447" s="3">
        <v>35.609192</v>
      </c>
      <c r="D447" s="16">
        <v>0.71249799999999996</v>
      </c>
      <c r="E447" s="3">
        <v>-0.1311499999999981</v>
      </c>
      <c r="F447" s="3">
        <v>1.7674900000000022</v>
      </c>
      <c r="G447" s="3">
        <v>2.9219200000000001</v>
      </c>
      <c r="H447" s="3">
        <v>3.9656300000000009</v>
      </c>
      <c r="I447" s="3">
        <v>1.8986400000000003</v>
      </c>
      <c r="J447" s="3">
        <v>3.0530699999999982</v>
      </c>
      <c r="K447" s="3">
        <v>4.096779999999999</v>
      </c>
      <c r="L447" s="3">
        <v>1.1544299999999978</v>
      </c>
      <c r="M447" s="3">
        <v>2.1981399999999987</v>
      </c>
      <c r="N447" s="3">
        <v>1.0437100000000008</v>
      </c>
      <c r="Q447" s="13">
        <v>-4.4577426438565206</v>
      </c>
      <c r="R447" s="13">
        <v>0.29229667921482938</v>
      </c>
      <c r="S447" s="13">
        <v>-1.8113056603840545</v>
      </c>
      <c r="T447" s="13">
        <v>0.38744626726963027</v>
      </c>
      <c r="U447" s="13">
        <v>-6.8125030302950779E-2</v>
      </c>
      <c r="V447" s="13">
        <v>-0.12756048554619775</v>
      </c>
      <c r="W447" s="13">
        <v>0.36097524514979878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</row>
    <row r="448" spans="1:29" x14ac:dyDescent="0.25">
      <c r="A448" s="3">
        <v>1.2376624731542001E+18</v>
      </c>
      <c r="B448" s="3">
        <v>236.32946999999999</v>
      </c>
      <c r="C448" s="3">
        <v>35.882252999999999</v>
      </c>
      <c r="D448" s="16">
        <v>0.71256540000000002</v>
      </c>
      <c r="E448" s="3">
        <v>0.19510000000000005</v>
      </c>
      <c r="F448" s="3">
        <v>2.0782999999999987</v>
      </c>
      <c r="G448" s="3">
        <v>3.3173700000000004</v>
      </c>
      <c r="H448" s="3">
        <v>4.1758500000000005</v>
      </c>
      <c r="I448" s="3">
        <v>1.8831999999999987</v>
      </c>
      <c r="J448" s="3">
        <v>3.1222700000000003</v>
      </c>
      <c r="K448" s="3">
        <v>3.9807500000000005</v>
      </c>
      <c r="L448" s="3">
        <v>1.2390700000000017</v>
      </c>
      <c r="M448" s="3">
        <v>2.0975500000000018</v>
      </c>
      <c r="N448" s="3">
        <v>0.85848000000000013</v>
      </c>
      <c r="Q448" s="13">
        <v>-4.6956596775948229</v>
      </c>
      <c r="R448" s="13">
        <v>-2.3011986403631624</v>
      </c>
      <c r="S448" s="13">
        <v>-1.6195936460469484</v>
      </c>
      <c r="T448" s="13">
        <v>0.17314725587692201</v>
      </c>
      <c r="U448" s="13">
        <v>-0.39238289975682439</v>
      </c>
      <c r="V448" s="13">
        <v>0.79086203353955375</v>
      </c>
      <c r="W448" s="13">
        <v>0.41561651049363629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</row>
    <row r="449" spans="1:29" x14ac:dyDescent="0.25">
      <c r="A449" s="3">
        <v>1.2376624742279401E+18</v>
      </c>
      <c r="B449" s="3">
        <v>236.82694000000001</v>
      </c>
      <c r="C449" s="3">
        <v>36.429726000000002</v>
      </c>
      <c r="D449" s="16">
        <v>0.71700540000000001</v>
      </c>
      <c r="E449" s="3">
        <v>2.0732600000000012</v>
      </c>
      <c r="F449" s="3">
        <v>3.9487799999999993</v>
      </c>
      <c r="G449" s="3">
        <v>5.0590699999999984</v>
      </c>
      <c r="H449" s="3">
        <v>5.7479900000000015</v>
      </c>
      <c r="I449" s="3">
        <v>1.8755199999999981</v>
      </c>
      <c r="J449" s="3">
        <v>2.9858099999999972</v>
      </c>
      <c r="K449" s="3">
        <v>3.6747300000000003</v>
      </c>
      <c r="L449" s="3">
        <v>1.1102899999999991</v>
      </c>
      <c r="M449" s="3">
        <v>1.7992100000000022</v>
      </c>
      <c r="N449" s="3">
        <v>0.68892000000000309</v>
      </c>
      <c r="Q449" s="13">
        <v>-4.6957465356627681</v>
      </c>
      <c r="R449" s="13">
        <v>-2.3011480615604931</v>
      </c>
      <c r="S449" s="13">
        <v>-1.6195994153901021</v>
      </c>
      <c r="T449" s="13">
        <v>0.1731513469577185</v>
      </c>
      <c r="U449" s="13">
        <v>-0.39233956765428724</v>
      </c>
      <c r="V449" s="13">
        <v>0.79101156814302864</v>
      </c>
      <c r="W449" s="13">
        <v>0.41542329642153425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</row>
    <row r="450" spans="1:29" x14ac:dyDescent="0.25">
      <c r="A450" s="3">
        <v>1.23766247369074E+18</v>
      </c>
      <c r="B450" s="3">
        <v>235.95350999999999</v>
      </c>
      <c r="C450" s="3">
        <v>36.585264000000002</v>
      </c>
      <c r="D450" s="16">
        <v>0.7351413</v>
      </c>
      <c r="E450" s="3">
        <v>2.1054899999999996</v>
      </c>
      <c r="F450" s="3">
        <v>3.6682799999999993</v>
      </c>
      <c r="G450" s="3">
        <v>5.0991099999999996</v>
      </c>
      <c r="H450" s="3">
        <v>5.7913899999999998</v>
      </c>
      <c r="I450" s="3">
        <v>1.5627899999999997</v>
      </c>
      <c r="J450" s="3">
        <v>2.9936199999999999</v>
      </c>
      <c r="K450" s="3">
        <v>3.6859000000000002</v>
      </c>
      <c r="L450" s="3">
        <v>1.4308300000000003</v>
      </c>
      <c r="M450" s="3">
        <v>2.1231100000000005</v>
      </c>
      <c r="N450" s="3">
        <v>0.69228000000000023</v>
      </c>
      <c r="Q450" s="13">
        <v>-4.2346779989886389</v>
      </c>
      <c r="R450" s="13">
        <v>0.69325943034519155</v>
      </c>
      <c r="S450" s="13">
        <v>-0.92110319213225944</v>
      </c>
      <c r="T450" s="13">
        <v>-1.0207073139489233</v>
      </c>
      <c r="U450" s="13">
        <v>-1.167057698993299</v>
      </c>
      <c r="V450" s="13">
        <v>-0.11766098262946025</v>
      </c>
      <c r="W450" s="13">
        <v>3.4646471834367053E-2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</row>
    <row r="451" spans="1:29" x14ac:dyDescent="0.25">
      <c r="A451" s="3">
        <v>1.2376614659861299E+18</v>
      </c>
      <c r="B451" s="3">
        <v>235.90602000000001</v>
      </c>
      <c r="C451" s="3">
        <v>35.859972999999997</v>
      </c>
      <c r="D451" s="16">
        <v>0.73793439999999999</v>
      </c>
      <c r="E451" s="3">
        <v>-0.50198999999999927</v>
      </c>
      <c r="F451" s="3">
        <v>2.2094799999999992</v>
      </c>
      <c r="G451" s="3">
        <v>3.5075400000000023</v>
      </c>
      <c r="H451" s="3">
        <v>4.186869999999999</v>
      </c>
      <c r="I451" s="3">
        <v>2.7114699999999985</v>
      </c>
      <c r="J451" s="3">
        <v>4.0095300000000016</v>
      </c>
      <c r="K451" s="3">
        <v>4.6888599999999983</v>
      </c>
      <c r="L451" s="3">
        <v>1.2980600000000031</v>
      </c>
      <c r="M451" s="3">
        <v>1.9773899999999998</v>
      </c>
      <c r="N451" s="3">
        <v>0.67932999999999666</v>
      </c>
      <c r="Q451" s="13">
        <v>-3.9669727736087821</v>
      </c>
      <c r="R451" s="13">
        <v>-3.2923188720372276</v>
      </c>
      <c r="S451" s="13">
        <v>-0.66655264905082667</v>
      </c>
      <c r="T451" s="13">
        <v>1.3642377374475547</v>
      </c>
      <c r="U451" s="13">
        <v>0.60402162885768995</v>
      </c>
      <c r="V451" s="13">
        <v>1.0222355343232006</v>
      </c>
      <c r="W451" s="13">
        <v>0.17584834347458014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</row>
    <row r="452" spans="1:29" x14ac:dyDescent="0.25">
      <c r="A452" s="3">
        <v>1.2376625037555699E+18</v>
      </c>
      <c r="B452" s="3">
        <v>236.19469000000001</v>
      </c>
      <c r="C452" s="3">
        <v>36.616700000000002</v>
      </c>
      <c r="D452" s="16">
        <v>0.74068239999999996</v>
      </c>
      <c r="E452" s="3">
        <v>-1.0506899999999995</v>
      </c>
      <c r="F452" s="3">
        <v>2.2608899999999998</v>
      </c>
      <c r="G452" s="3">
        <v>3.6730300000000007</v>
      </c>
      <c r="H452" s="3">
        <v>4.257080000000002</v>
      </c>
      <c r="I452" s="3">
        <v>3.3115799999999993</v>
      </c>
      <c r="J452" s="3">
        <v>4.7237200000000001</v>
      </c>
      <c r="K452" s="3">
        <v>5.3077700000000014</v>
      </c>
      <c r="L452" s="3">
        <v>1.4121400000000008</v>
      </c>
      <c r="M452" s="3">
        <v>1.9961900000000021</v>
      </c>
      <c r="N452" s="3">
        <v>0.58405000000000129</v>
      </c>
      <c r="Q452" s="13">
        <v>0.3246536293080437</v>
      </c>
      <c r="R452" s="13">
        <v>2.1456762421301083</v>
      </c>
      <c r="S452" s="13">
        <v>-2.2604578846306627</v>
      </c>
      <c r="T452" s="13">
        <v>-0.29878450172037957</v>
      </c>
      <c r="U452" s="13">
        <v>0.60227723301663216</v>
      </c>
      <c r="V452" s="13">
        <v>1.1972566525012003</v>
      </c>
      <c r="W452" s="13">
        <v>-0.19120970453117833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</row>
    <row r="453" spans="1:29" x14ac:dyDescent="0.25">
      <c r="A453" s="3">
        <v>1.2376625032187699E+18</v>
      </c>
      <c r="B453" s="3">
        <v>235.89998</v>
      </c>
      <c r="C453" s="3">
        <v>36.169797000000003</v>
      </c>
      <c r="D453" s="16">
        <v>0.74253760000000002</v>
      </c>
      <c r="E453" s="3">
        <v>4.4693900000000006</v>
      </c>
      <c r="F453" s="3">
        <v>5.395150000000001</v>
      </c>
      <c r="G453" s="3">
        <v>6.4446100000000008</v>
      </c>
      <c r="H453" s="3">
        <v>6.6273100000000014</v>
      </c>
      <c r="I453" s="3">
        <v>0.92576000000000036</v>
      </c>
      <c r="J453" s="3">
        <v>1.9752200000000002</v>
      </c>
      <c r="K453" s="3">
        <v>2.1579200000000007</v>
      </c>
      <c r="L453" s="3">
        <v>1.0494599999999998</v>
      </c>
      <c r="M453" s="3">
        <v>1.2321600000000004</v>
      </c>
      <c r="N453" s="3">
        <v>0.18270000000000053</v>
      </c>
      <c r="Q453" s="13">
        <v>-0.6237131330227339</v>
      </c>
      <c r="R453" s="13">
        <v>1.9498189422920107</v>
      </c>
      <c r="S453" s="13">
        <v>-0.55438214668409236</v>
      </c>
      <c r="T453" s="13">
        <v>-0.59639328596451946</v>
      </c>
      <c r="U453" s="13">
        <v>0.37060800460327192</v>
      </c>
      <c r="V453" s="13">
        <v>1.2788817635829408</v>
      </c>
      <c r="W453" s="13">
        <v>0.1181279067137692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</row>
    <row r="454" spans="1:29" x14ac:dyDescent="0.25">
      <c r="A454" s="3">
        <v>1.2376625037557701E+18</v>
      </c>
      <c r="B454" s="3">
        <v>236.70024000000001</v>
      </c>
      <c r="C454" s="3">
        <v>36.349096000000003</v>
      </c>
      <c r="D454" s="16">
        <v>0.74318479999999998</v>
      </c>
      <c r="E454" s="3">
        <v>2.0398700000000005</v>
      </c>
      <c r="F454" s="3">
        <v>4.1217100000000002</v>
      </c>
      <c r="G454" s="3">
        <v>5.307260000000003</v>
      </c>
      <c r="H454" s="3">
        <v>5.8729800000000019</v>
      </c>
      <c r="I454" s="3">
        <v>2.0818399999999997</v>
      </c>
      <c r="J454" s="3">
        <v>3.2673900000000025</v>
      </c>
      <c r="K454" s="3">
        <v>3.8331100000000013</v>
      </c>
      <c r="L454" s="3">
        <v>1.1855500000000028</v>
      </c>
      <c r="M454" s="3">
        <v>1.7512700000000017</v>
      </c>
      <c r="N454" s="3">
        <v>0.56571999999999889</v>
      </c>
      <c r="Q454" s="13">
        <v>-3.8093101352815317</v>
      </c>
      <c r="R454" s="13">
        <v>-1.3621895741617109</v>
      </c>
      <c r="S454" s="13">
        <v>0.28514311855345159</v>
      </c>
      <c r="T454" s="13">
        <v>0.46811552468209261</v>
      </c>
      <c r="U454" s="13">
        <v>0.97706219033844766</v>
      </c>
      <c r="V454" s="13">
        <v>1.0651652235406945</v>
      </c>
      <c r="W454" s="13">
        <v>0.52856585888143803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</row>
    <row r="455" spans="1:29" x14ac:dyDescent="0.25">
      <c r="A455" s="3">
        <v>1.23766247369107E+18</v>
      </c>
      <c r="B455" s="3">
        <v>236.62592000000001</v>
      </c>
      <c r="C455" s="3">
        <v>36.188048999999999</v>
      </c>
      <c r="D455" s="16">
        <v>0.74811269999999996</v>
      </c>
      <c r="E455" s="3">
        <v>0.59326000000000079</v>
      </c>
      <c r="F455" s="3">
        <v>2.6611900000000013</v>
      </c>
      <c r="G455" s="3">
        <v>3.8785600000000002</v>
      </c>
      <c r="H455" s="3">
        <v>4.7702400000000011</v>
      </c>
      <c r="I455" s="3">
        <v>2.0679300000000005</v>
      </c>
      <c r="J455" s="3">
        <v>3.2852999999999994</v>
      </c>
      <c r="K455" s="3">
        <v>4.1769800000000004</v>
      </c>
      <c r="L455" s="3">
        <v>1.217369999999999</v>
      </c>
      <c r="M455" s="3">
        <v>2.1090499999999999</v>
      </c>
      <c r="N455" s="3">
        <v>0.89168000000000092</v>
      </c>
      <c r="Q455" s="13">
        <v>-0.25816094546517704</v>
      </c>
      <c r="R455" s="13">
        <v>1.1033909272123534</v>
      </c>
      <c r="S455" s="13">
        <v>-1.0697209581915987</v>
      </c>
      <c r="T455" s="13">
        <v>-1.3818845760795866</v>
      </c>
      <c r="U455" s="13">
        <v>-6.5818300811460229E-2</v>
      </c>
      <c r="V455" s="13">
        <v>1.7220820164850781</v>
      </c>
      <c r="W455" s="13">
        <v>-0.16178694597993828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</row>
    <row r="456" spans="1:29" x14ac:dyDescent="0.25">
      <c r="A456" s="3">
        <v>1.23766250375584E+18</v>
      </c>
      <c r="B456" s="3">
        <v>236.67214999999999</v>
      </c>
      <c r="C456" s="3">
        <v>36.221825000000003</v>
      </c>
      <c r="D456" s="16">
        <v>0.74823879999999998</v>
      </c>
      <c r="E456" s="3">
        <v>2.79617</v>
      </c>
      <c r="F456" s="3">
        <v>4.3026400000000002</v>
      </c>
      <c r="G456" s="3">
        <v>6.1644600000000018</v>
      </c>
      <c r="H456" s="3">
        <v>6.99709</v>
      </c>
      <c r="I456" s="3">
        <v>1.5064700000000002</v>
      </c>
      <c r="J456" s="3">
        <v>3.3682900000000018</v>
      </c>
      <c r="K456" s="3">
        <v>4.20092</v>
      </c>
      <c r="L456" s="3">
        <v>1.8618200000000016</v>
      </c>
      <c r="M456" s="3">
        <v>2.6944499999999998</v>
      </c>
      <c r="N456" s="3">
        <v>0.8326299999999982</v>
      </c>
      <c r="Q456" s="13">
        <v>-4.4367664219759781</v>
      </c>
      <c r="R456" s="13">
        <v>2.3256410404746424</v>
      </c>
      <c r="S456" s="13">
        <v>-1.8526988238188551</v>
      </c>
      <c r="T456" s="13">
        <v>-0.73853480519810022</v>
      </c>
      <c r="U456" s="13">
        <v>-0.20042265144035892</v>
      </c>
      <c r="V456" s="13">
        <v>-0.55235075777184162</v>
      </c>
      <c r="W456" s="13">
        <v>0.27819426273321513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</row>
    <row r="457" spans="1:29" x14ac:dyDescent="0.25">
      <c r="A457" s="3">
        <v>1.23766247369107E+18</v>
      </c>
      <c r="B457" s="3">
        <v>236.65719999999999</v>
      </c>
      <c r="C457" s="3">
        <v>36.208621999999998</v>
      </c>
      <c r="D457" s="16">
        <v>0.74897089999999999</v>
      </c>
      <c r="E457" s="3">
        <v>-0.68149999999999977</v>
      </c>
      <c r="F457" s="3">
        <v>1.2234300000000005</v>
      </c>
      <c r="G457" s="3">
        <v>2.7248599999999996</v>
      </c>
      <c r="H457" s="3">
        <v>3.4981500000000025</v>
      </c>
      <c r="I457" s="3">
        <v>1.9049300000000002</v>
      </c>
      <c r="J457" s="3">
        <v>3.4063599999999994</v>
      </c>
      <c r="K457" s="3">
        <v>4.1796500000000023</v>
      </c>
      <c r="L457" s="3">
        <v>1.5014299999999992</v>
      </c>
      <c r="M457" s="3">
        <v>2.2747200000000021</v>
      </c>
      <c r="N457" s="3">
        <v>0.77329000000000292</v>
      </c>
      <c r="Q457" s="13">
        <v>0.43319560703896437</v>
      </c>
      <c r="R457" s="13">
        <v>3.8845468393427036</v>
      </c>
      <c r="S457" s="13">
        <v>-0.637685742494565</v>
      </c>
      <c r="T457" s="13">
        <v>-1.2650329841009347</v>
      </c>
      <c r="U457" s="13">
        <v>0.42049244834229366</v>
      </c>
      <c r="V457" s="13">
        <v>0.86979710099508334</v>
      </c>
      <c r="W457" s="13">
        <v>-0.31094949250570458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</row>
    <row r="458" spans="1:29" x14ac:dyDescent="0.25">
      <c r="A458" s="3">
        <v>1.23766247369107E+18</v>
      </c>
      <c r="B458" s="3">
        <v>236.65719999999999</v>
      </c>
      <c r="C458" s="3">
        <v>36.208615000000002</v>
      </c>
      <c r="D458" s="16">
        <v>0.74951780000000001</v>
      </c>
      <c r="E458" s="3">
        <v>-0.68149999999999977</v>
      </c>
      <c r="F458" s="3">
        <v>1.2234300000000005</v>
      </c>
      <c r="G458" s="3">
        <v>2.7248599999999996</v>
      </c>
      <c r="H458" s="3">
        <v>3.4981500000000025</v>
      </c>
      <c r="I458" s="3">
        <v>1.9049300000000002</v>
      </c>
      <c r="J458" s="3">
        <v>3.4063599999999994</v>
      </c>
      <c r="K458" s="3">
        <v>4.1796500000000023</v>
      </c>
      <c r="L458" s="3">
        <v>1.5014299999999992</v>
      </c>
      <c r="M458" s="3">
        <v>2.2747200000000021</v>
      </c>
      <c r="N458" s="3">
        <v>0.77329000000000292</v>
      </c>
      <c r="Q458" s="13">
        <v>-2.9611062475906151</v>
      </c>
      <c r="R458" s="13">
        <v>3.6063940413378059</v>
      </c>
      <c r="S458" s="13">
        <v>-1.3353302758222874</v>
      </c>
      <c r="T458" s="13">
        <v>-0.85036638303355716</v>
      </c>
      <c r="U458" s="13">
        <v>-1.2062713927069451</v>
      </c>
      <c r="V458" s="13">
        <v>-8.391233488247396E-2</v>
      </c>
      <c r="W458" s="13">
        <v>6.1565040475270678E-2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</row>
    <row r="459" spans="1:29" x14ac:dyDescent="0.25">
      <c r="A459" s="3">
        <v>1.23766250375584E+18</v>
      </c>
      <c r="B459" s="3">
        <v>236.68508</v>
      </c>
      <c r="C459" s="3">
        <v>36.214616999999997</v>
      </c>
      <c r="D459" s="16">
        <v>0.74957359999999995</v>
      </c>
      <c r="E459" s="3">
        <v>0.47405000000000186</v>
      </c>
      <c r="F459" s="3">
        <v>2.4221200000000032</v>
      </c>
      <c r="G459" s="3">
        <v>3.5723700000000029</v>
      </c>
      <c r="H459" s="3">
        <v>4.278570000000002</v>
      </c>
      <c r="I459" s="3">
        <v>1.9480700000000013</v>
      </c>
      <c r="J459" s="3">
        <v>3.0983200000000011</v>
      </c>
      <c r="K459" s="3">
        <v>3.8045200000000001</v>
      </c>
      <c r="L459" s="3">
        <v>1.1502499999999998</v>
      </c>
      <c r="M459" s="3">
        <v>1.8564499999999988</v>
      </c>
      <c r="N459" s="3">
        <v>0.70619999999999905</v>
      </c>
      <c r="Q459" s="13">
        <v>-2.7961829005877084</v>
      </c>
      <c r="R459" s="13">
        <v>4.0941678548299372</v>
      </c>
      <c r="S459" s="13">
        <v>0.73320382529632411</v>
      </c>
      <c r="T459" s="13">
        <v>-1.1016619935530367</v>
      </c>
      <c r="U459" s="13">
        <v>0.30796338441413607</v>
      </c>
      <c r="V459" s="13">
        <v>-5.1925360022535838E-2</v>
      </c>
      <c r="W459" s="13">
        <v>0.40710702077424438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</row>
    <row r="460" spans="1:29" x14ac:dyDescent="0.25">
      <c r="A460" s="3">
        <v>1.23766250375584E+18</v>
      </c>
      <c r="B460" s="3">
        <v>236.77429000000001</v>
      </c>
      <c r="C460" s="3">
        <v>36.208153000000003</v>
      </c>
      <c r="D460" s="16">
        <v>0.75197320000000001</v>
      </c>
      <c r="E460" s="3">
        <v>0.12274000000000029</v>
      </c>
      <c r="F460" s="3">
        <v>2.6592599999999997</v>
      </c>
      <c r="G460" s="3">
        <v>3.9468600000000009</v>
      </c>
      <c r="H460" s="3">
        <v>4.7598699999999994</v>
      </c>
      <c r="I460" s="3">
        <v>2.5365199999999994</v>
      </c>
      <c r="J460" s="3">
        <v>3.8241200000000006</v>
      </c>
      <c r="K460" s="3">
        <v>4.6371299999999991</v>
      </c>
      <c r="L460" s="3">
        <v>1.2876000000000012</v>
      </c>
      <c r="M460" s="3">
        <v>2.1006099999999996</v>
      </c>
      <c r="N460" s="3">
        <v>0.81300999999999846</v>
      </c>
      <c r="Q460" s="13">
        <v>-3.2246911964585285</v>
      </c>
      <c r="R460" s="13">
        <v>2.615658439415582</v>
      </c>
      <c r="S460" s="13">
        <v>-0.99458310408750039</v>
      </c>
      <c r="T460" s="13">
        <v>-1.5930400349619338</v>
      </c>
      <c r="U460" s="13">
        <v>0.51039644226081238</v>
      </c>
      <c r="V460" s="13">
        <v>0.19088534417518585</v>
      </c>
      <c r="W460" s="13">
        <v>0.47128094589004449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</row>
    <row r="461" spans="1:29" x14ac:dyDescent="0.25">
      <c r="A461" s="3">
        <v>1.23766250321903E+18</v>
      </c>
      <c r="B461" s="3">
        <v>236.51545999999999</v>
      </c>
      <c r="C461" s="3">
        <v>35.822284000000003</v>
      </c>
      <c r="D461" s="16">
        <v>0.76778250000000003</v>
      </c>
      <c r="E461" s="3">
        <v>2.6534000000000013</v>
      </c>
      <c r="F461" s="3">
        <v>4.1446299999999994</v>
      </c>
      <c r="G461" s="3">
        <v>5.2240399999999987</v>
      </c>
      <c r="H461" s="3">
        <v>5.9090699999999998</v>
      </c>
      <c r="I461" s="3">
        <v>1.4912299999999981</v>
      </c>
      <c r="J461" s="3">
        <v>2.5706399999999974</v>
      </c>
      <c r="K461" s="3">
        <v>3.2556699999999985</v>
      </c>
      <c r="L461" s="3">
        <v>1.0794099999999993</v>
      </c>
      <c r="M461" s="3">
        <v>1.7644400000000005</v>
      </c>
      <c r="N461" s="3">
        <v>0.68503000000000114</v>
      </c>
      <c r="Q461" s="13">
        <v>-1.8173380415072145</v>
      </c>
      <c r="R461" s="13">
        <v>3.473281840735519</v>
      </c>
      <c r="S461" s="13">
        <v>0.47749710371340398</v>
      </c>
      <c r="T461" s="13">
        <v>-0.22994809837004923</v>
      </c>
      <c r="U461" s="13">
        <v>0.3413983855661149</v>
      </c>
      <c r="V461" s="13">
        <v>-0.13076737590513157</v>
      </c>
      <c r="W461" s="13">
        <v>-0.24007793684705753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</row>
    <row r="462" spans="1:29" x14ac:dyDescent="0.25">
      <c r="A462" s="3">
        <v>1.23766146544926E+18</v>
      </c>
      <c r="B462" s="3">
        <v>235.65621999999999</v>
      </c>
      <c r="C462" s="3">
        <v>35.600143000000003</v>
      </c>
      <c r="D462" s="16">
        <v>0.77944259999999999</v>
      </c>
      <c r="E462" s="3">
        <v>1.6755199999999988</v>
      </c>
      <c r="F462" s="3">
        <v>2.9604199999999992</v>
      </c>
      <c r="G462" s="3">
        <v>4.0112200000000016</v>
      </c>
      <c r="H462" s="3">
        <v>4.73752</v>
      </c>
      <c r="I462" s="3">
        <v>1.2849000000000004</v>
      </c>
      <c r="J462" s="3">
        <v>2.3357000000000028</v>
      </c>
      <c r="K462" s="3">
        <v>3.0620000000000012</v>
      </c>
      <c r="L462" s="3">
        <v>1.0508000000000024</v>
      </c>
      <c r="M462" s="3">
        <v>1.7771000000000008</v>
      </c>
      <c r="N462" s="3">
        <v>0.72629999999999839</v>
      </c>
      <c r="Q462" s="13">
        <v>-0.19415737470590788</v>
      </c>
      <c r="R462" s="13">
        <v>0.5565338485040805</v>
      </c>
      <c r="S462" s="13">
        <v>0.27165799596302415</v>
      </c>
      <c r="T462" s="13">
        <v>0.63281871211754925</v>
      </c>
      <c r="U462" s="13">
        <v>-0.10173375193915661</v>
      </c>
      <c r="V462" s="13">
        <v>1.6188778070427756</v>
      </c>
      <c r="W462" s="13">
        <v>-0.49933759805372907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</row>
    <row r="463" spans="1:29" x14ac:dyDescent="0.25">
      <c r="A463" s="3">
        <v>1.2376625032187699E+18</v>
      </c>
      <c r="B463" s="3">
        <v>236.08042</v>
      </c>
      <c r="C463" s="3">
        <v>36.165427999999999</v>
      </c>
      <c r="D463" s="16">
        <v>0.8278295</v>
      </c>
      <c r="E463" s="3">
        <v>1.2142999999999979</v>
      </c>
      <c r="F463" s="3">
        <v>2.9793500000000002</v>
      </c>
      <c r="G463" s="3">
        <v>4.2147699999999979</v>
      </c>
      <c r="H463" s="3">
        <v>5.100839999999998</v>
      </c>
      <c r="I463" s="3">
        <v>1.7650500000000022</v>
      </c>
      <c r="J463" s="3">
        <v>3.00047</v>
      </c>
      <c r="K463" s="3">
        <v>3.8865400000000001</v>
      </c>
      <c r="L463" s="3">
        <v>1.2354199999999977</v>
      </c>
      <c r="M463" s="3">
        <v>2.1214899999999979</v>
      </c>
      <c r="N463" s="3">
        <v>0.88607000000000014</v>
      </c>
      <c r="Q463" s="13">
        <v>-5.4930666485963844</v>
      </c>
      <c r="R463" s="13">
        <v>-0.37157967846775602</v>
      </c>
      <c r="S463" s="13">
        <v>0.19991235732137433</v>
      </c>
      <c r="T463" s="13">
        <v>0.9186434613088662</v>
      </c>
      <c r="U463" s="13">
        <v>-0.70265669519543672</v>
      </c>
      <c r="V463" s="13">
        <v>-0.74195394626586408</v>
      </c>
      <c r="W463" s="13">
        <v>-0.31615001920639468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</row>
    <row r="464" spans="1:29" x14ac:dyDescent="0.25">
      <c r="A464" s="3">
        <v>1.2376625037556401E+18</v>
      </c>
      <c r="B464" s="3">
        <v>236.26182</v>
      </c>
      <c r="C464" s="3">
        <v>36.526017000000003</v>
      </c>
      <c r="D464" s="16">
        <v>0.83264159999999998</v>
      </c>
      <c r="E464" s="3">
        <v>0.82445999999999842</v>
      </c>
      <c r="F464" s="3">
        <v>3.6282599999999974</v>
      </c>
      <c r="G464" s="3">
        <v>5.0477799999999995</v>
      </c>
      <c r="H464" s="3">
        <v>5.9694699999999976</v>
      </c>
      <c r="I464" s="3">
        <v>2.803799999999999</v>
      </c>
      <c r="J464" s="3">
        <v>4.2233200000000011</v>
      </c>
      <c r="K464" s="3">
        <v>5.1450099999999992</v>
      </c>
      <c r="L464" s="3">
        <v>1.4195200000000021</v>
      </c>
      <c r="M464" s="3">
        <v>2.3412100000000002</v>
      </c>
      <c r="N464" s="3">
        <v>0.92168999999999812</v>
      </c>
      <c r="Q464" s="13">
        <v>-3.9615953494655622</v>
      </c>
      <c r="R464" s="13">
        <v>3.2687843375975811</v>
      </c>
      <c r="S464" s="13">
        <v>-1.2813126926824068</v>
      </c>
      <c r="T464" s="13">
        <v>0.59393413903557146</v>
      </c>
      <c r="U464" s="13">
        <v>-1.4018860415308023</v>
      </c>
      <c r="V464" s="13">
        <v>-0.3751980856540742</v>
      </c>
      <c r="W464" s="13">
        <v>9.9386992736751625E-2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</row>
    <row r="465" spans="1:29" x14ac:dyDescent="0.25">
      <c r="A465" s="3">
        <v>1.2376625032186399E+18</v>
      </c>
      <c r="B465" s="3">
        <v>235.76282</v>
      </c>
      <c r="C465" s="3">
        <v>36.297714999999997</v>
      </c>
      <c r="D465" s="16">
        <v>0.86897500000000005</v>
      </c>
      <c r="E465" s="3">
        <v>-0.59499999999999886</v>
      </c>
      <c r="F465" s="3">
        <v>1.8399300000000025</v>
      </c>
      <c r="G465" s="3">
        <v>2.8889100000000028</v>
      </c>
      <c r="H465" s="3">
        <v>3.8317600000000027</v>
      </c>
      <c r="I465" s="3">
        <v>2.4349300000000014</v>
      </c>
      <c r="J465" s="3">
        <v>3.4839100000000016</v>
      </c>
      <c r="K465" s="3">
        <v>4.4267600000000016</v>
      </c>
      <c r="L465" s="3">
        <v>1.0489800000000002</v>
      </c>
      <c r="M465" s="3">
        <v>1.9918300000000002</v>
      </c>
      <c r="N465" s="3">
        <v>0.94284999999999997</v>
      </c>
      <c r="Q465" s="13">
        <v>-3.9013871558791089</v>
      </c>
      <c r="R465" s="13">
        <v>3.2574027464504947</v>
      </c>
      <c r="S465" s="13">
        <v>-8.1840948788677897E-2</v>
      </c>
      <c r="T465" s="13">
        <v>0.21114743297198918</v>
      </c>
      <c r="U465" s="13">
        <v>-0.58736571819867234</v>
      </c>
      <c r="V465" s="13">
        <v>-3.2221799225151866E-3</v>
      </c>
      <c r="W465" s="13">
        <v>0.49440178121200518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</row>
    <row r="466" spans="1:29" x14ac:dyDescent="0.25">
      <c r="A466" s="3">
        <v>1.2376625032189E+18</v>
      </c>
      <c r="B466" s="3">
        <v>236.41856000000001</v>
      </c>
      <c r="C466" s="3">
        <v>36.050172000000003</v>
      </c>
      <c r="D466" s="16">
        <v>0.87962530000000005</v>
      </c>
      <c r="E466" s="3">
        <v>1.5856999999999992</v>
      </c>
      <c r="F466" s="3">
        <v>2.9578699999999998</v>
      </c>
      <c r="G466" s="3">
        <v>4.3867499999999993</v>
      </c>
      <c r="H466" s="3">
        <v>5.3507299999999987</v>
      </c>
      <c r="I466" s="3">
        <v>1.3721700000000006</v>
      </c>
      <c r="J466" s="3">
        <v>2.80105</v>
      </c>
      <c r="K466" s="3">
        <v>3.7650299999999994</v>
      </c>
      <c r="L466" s="3">
        <v>1.4288799999999995</v>
      </c>
      <c r="M466" s="3">
        <v>2.3928599999999989</v>
      </c>
      <c r="N466" s="3">
        <v>0.96397999999999939</v>
      </c>
      <c r="Q466" s="13">
        <v>-3.9014302669845744</v>
      </c>
      <c r="R466" s="13">
        <v>3.2574278507171224</v>
      </c>
      <c r="S466" s="13">
        <v>-8.1843812342599784E-2</v>
      </c>
      <c r="T466" s="13">
        <v>0.21114946353771305</v>
      </c>
      <c r="U466" s="13">
        <v>-0.58734421075685683</v>
      </c>
      <c r="V466" s="13">
        <v>-3.1479599655929399E-3</v>
      </c>
      <c r="W466" s="13">
        <v>0.49430588140169335</v>
      </c>
      <c r="X466" s="13">
        <v>0</v>
      </c>
      <c r="Y466" s="13">
        <v>0</v>
      </c>
      <c r="Z466" s="13">
        <v>0</v>
      </c>
      <c r="AA466" s="13">
        <v>0</v>
      </c>
      <c r="AB466" s="13">
        <v>0</v>
      </c>
      <c r="AC466" s="13">
        <v>0</v>
      </c>
    </row>
    <row r="467" spans="1:29" x14ac:dyDescent="0.25">
      <c r="A467" s="3">
        <v>1.2376624736910001E+18</v>
      </c>
      <c r="B467" s="3">
        <v>236.47665000000001</v>
      </c>
      <c r="C467" s="3">
        <v>36.259357999999999</v>
      </c>
      <c r="D467" s="16">
        <v>0.88017769999999995</v>
      </c>
      <c r="E467" s="3">
        <v>2.8729799999999983</v>
      </c>
      <c r="F467" s="3">
        <v>4.2487199999999987</v>
      </c>
      <c r="G467" s="3">
        <v>5.7993899999999989</v>
      </c>
      <c r="H467" s="3">
        <v>6.9105299999999978</v>
      </c>
      <c r="I467" s="3">
        <v>1.3757400000000004</v>
      </c>
      <c r="J467" s="3">
        <v>2.9264100000000006</v>
      </c>
      <c r="K467" s="3">
        <v>4.0375499999999995</v>
      </c>
      <c r="L467" s="3">
        <v>1.5506700000000002</v>
      </c>
      <c r="M467" s="3">
        <v>2.6618099999999991</v>
      </c>
      <c r="N467" s="3">
        <v>1.1111399999999989</v>
      </c>
      <c r="Q467" s="13">
        <v>-4.67609717600254</v>
      </c>
      <c r="R467" s="13">
        <v>0.25061381905994701</v>
      </c>
      <c r="S467" s="13">
        <v>-2.0993755737523507E-2</v>
      </c>
      <c r="T467" s="13">
        <v>0.95769939971706242</v>
      </c>
      <c r="U467" s="13">
        <v>-0.79422964765252191</v>
      </c>
      <c r="V467" s="13">
        <v>0.2924571768410541</v>
      </c>
      <c r="W467" s="13">
        <v>0.23440386248594536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</row>
    <row r="468" spans="1:29" x14ac:dyDescent="0.25">
      <c r="A468" s="3">
        <v>1.23766247422781E+18</v>
      </c>
      <c r="B468" s="3">
        <v>236.71458999999999</v>
      </c>
      <c r="C468" s="3">
        <v>36.599280999999998</v>
      </c>
      <c r="D468" s="16">
        <v>0.88405560000000005</v>
      </c>
      <c r="E468" s="3">
        <v>2.2877499999999991</v>
      </c>
      <c r="F468" s="3">
        <v>2.7427799999999998</v>
      </c>
      <c r="G468" s="3">
        <v>4.2633799999999979</v>
      </c>
      <c r="H468" s="3">
        <v>5.2258800000000001</v>
      </c>
      <c r="I468" s="3">
        <v>0.45503000000000071</v>
      </c>
      <c r="J468" s="3">
        <v>1.9756299999999989</v>
      </c>
      <c r="K468" s="3">
        <v>2.938130000000001</v>
      </c>
      <c r="L468" s="3">
        <v>1.5205999999999982</v>
      </c>
      <c r="M468" s="3">
        <v>2.4831000000000003</v>
      </c>
      <c r="N468" s="3">
        <v>0.96250000000000213</v>
      </c>
      <c r="Q468" s="13">
        <v>-3.486384160098662</v>
      </c>
      <c r="R468" s="13">
        <v>3.8921753595976365</v>
      </c>
      <c r="S468" s="13">
        <v>-1.6851508238355495</v>
      </c>
      <c r="T468" s="13">
        <v>-1.155173385983862</v>
      </c>
      <c r="U468" s="13">
        <v>1.1983572354746361</v>
      </c>
      <c r="V468" s="13">
        <v>-1.6067445792913184</v>
      </c>
      <c r="W468" s="13">
        <v>-0.36689757227345565</v>
      </c>
      <c r="X468" s="13">
        <v>0</v>
      </c>
      <c r="Y468" s="13">
        <v>0</v>
      </c>
      <c r="Z468" s="13">
        <v>0</v>
      </c>
      <c r="AA468" s="13">
        <v>0</v>
      </c>
      <c r="AB468" s="13">
        <v>0</v>
      </c>
      <c r="AC468" s="13">
        <v>0</v>
      </c>
    </row>
    <row r="469" spans="1:29" x14ac:dyDescent="0.25">
      <c r="A469" s="3">
        <v>1.2376625037557701E+18</v>
      </c>
      <c r="B469" s="3">
        <v>236.72444999999999</v>
      </c>
      <c r="C469" s="3">
        <v>36.354111000000003</v>
      </c>
      <c r="D469" s="16">
        <v>0.92930959999999996</v>
      </c>
      <c r="E469" s="3">
        <v>2.1056300000000014</v>
      </c>
      <c r="F469" s="3">
        <v>2.7569200000000009</v>
      </c>
      <c r="G469" s="3">
        <v>3.937540000000002</v>
      </c>
      <c r="H469" s="3">
        <v>4.8224800000000023</v>
      </c>
      <c r="I469" s="3">
        <v>0.65128999999999948</v>
      </c>
      <c r="J469" s="3">
        <v>1.8319100000000006</v>
      </c>
      <c r="K469" s="3">
        <v>2.7168500000000009</v>
      </c>
      <c r="L469" s="3">
        <v>1.1806200000000011</v>
      </c>
      <c r="M469" s="3">
        <v>2.0655600000000014</v>
      </c>
      <c r="N469" s="3">
        <v>0.88494000000000028</v>
      </c>
      <c r="Q469" s="13">
        <v>-3.437663402924537</v>
      </c>
      <c r="R469" s="13">
        <v>3.2711393567213176</v>
      </c>
      <c r="S469" s="13">
        <v>-0.66858559626517311</v>
      </c>
      <c r="T469" s="13">
        <v>-0.79763847770414464</v>
      </c>
      <c r="U469" s="13">
        <v>0.63668309763316722</v>
      </c>
      <c r="V469" s="13">
        <v>-0.75392932151388758</v>
      </c>
      <c r="W469" s="13">
        <v>-4.0467751375667431E-2</v>
      </c>
      <c r="X469" s="13">
        <v>0</v>
      </c>
      <c r="Y469" s="13">
        <v>0</v>
      </c>
      <c r="Z469" s="13">
        <v>0</v>
      </c>
      <c r="AA469" s="13">
        <v>0</v>
      </c>
      <c r="AB469" s="13">
        <v>0</v>
      </c>
      <c r="AC469" s="13">
        <v>0</v>
      </c>
    </row>
    <row r="470" spans="1:29" x14ac:dyDescent="0.25">
      <c r="A470" s="3">
        <v>1.23766250375584E+18</v>
      </c>
      <c r="B470" s="3">
        <v>236.75128000000001</v>
      </c>
      <c r="C470" s="3">
        <v>36.269359000000001</v>
      </c>
      <c r="D470" s="16">
        <v>0.92970600000000003</v>
      </c>
      <c r="E470" s="3">
        <v>0.53013999999999939</v>
      </c>
      <c r="F470" s="3">
        <v>1.5400999999999989</v>
      </c>
      <c r="G470" s="3">
        <v>2.93337</v>
      </c>
      <c r="H470" s="3">
        <v>3.7856799999999993</v>
      </c>
      <c r="I470" s="3">
        <v>1.0099599999999995</v>
      </c>
      <c r="J470" s="3">
        <v>2.4032300000000006</v>
      </c>
      <c r="K470" s="3">
        <v>3.2555399999999999</v>
      </c>
      <c r="L470" s="3">
        <v>1.3932700000000011</v>
      </c>
      <c r="M470" s="3">
        <v>2.2455800000000004</v>
      </c>
      <c r="N470" s="3">
        <v>0.85230999999999923</v>
      </c>
      <c r="Q470" s="13">
        <v>-3.9581784742465564</v>
      </c>
      <c r="R470" s="13">
        <v>0.17299237306861631</v>
      </c>
      <c r="S470" s="13">
        <v>1.8718683103662206</v>
      </c>
      <c r="T470" s="13">
        <v>-0.2925340058298494</v>
      </c>
      <c r="U470" s="13">
        <v>0.16729723511957609</v>
      </c>
      <c r="V470" s="13">
        <v>-0.10110432201067612</v>
      </c>
      <c r="W470" s="13">
        <v>-0.30681478830384251</v>
      </c>
      <c r="X470" s="13">
        <v>0</v>
      </c>
      <c r="Y470" s="13">
        <v>0</v>
      </c>
      <c r="Z470" s="13">
        <v>0</v>
      </c>
      <c r="AA470" s="13">
        <v>0</v>
      </c>
      <c r="AB470" s="13">
        <v>0</v>
      </c>
      <c r="AC470" s="13">
        <v>0</v>
      </c>
    </row>
    <row r="471" spans="1:29" x14ac:dyDescent="0.25">
      <c r="A471" s="3">
        <v>1.2376625032190999E+18</v>
      </c>
      <c r="B471" s="3">
        <v>236.77887000000001</v>
      </c>
      <c r="C471" s="3">
        <v>35.666027999999997</v>
      </c>
      <c r="D471" s="16">
        <v>0.94808369999999997</v>
      </c>
      <c r="E471" s="3">
        <v>-0.17475999999999914</v>
      </c>
      <c r="F471" s="3">
        <v>0.7547200000000025</v>
      </c>
      <c r="G471" s="3">
        <v>2.2613900000000022</v>
      </c>
      <c r="H471" s="3">
        <v>3.186200000000003</v>
      </c>
      <c r="I471" s="3">
        <v>0.92948000000000164</v>
      </c>
      <c r="J471" s="3">
        <v>2.4361500000000014</v>
      </c>
      <c r="K471" s="3">
        <v>3.3609600000000022</v>
      </c>
      <c r="L471" s="3">
        <v>1.5066699999999997</v>
      </c>
      <c r="M471" s="3">
        <v>2.4314800000000005</v>
      </c>
      <c r="N471" s="3">
        <v>0.9248100000000008</v>
      </c>
      <c r="Q471" s="13">
        <v>-4.1621477991401106</v>
      </c>
      <c r="R471" s="13">
        <v>0.63596040548250365</v>
      </c>
      <c r="S471" s="13">
        <v>0.47444183390366418</v>
      </c>
      <c r="T471" s="13">
        <v>1.9904013437725652</v>
      </c>
      <c r="U471" s="13">
        <v>1.1913668095941392</v>
      </c>
      <c r="V471" s="13">
        <v>0.37755694179054927</v>
      </c>
      <c r="W471" s="13">
        <v>0.49768912734132936</v>
      </c>
      <c r="X471" s="13">
        <v>0</v>
      </c>
      <c r="Y471" s="13">
        <v>0</v>
      </c>
      <c r="Z471" s="13">
        <v>0</v>
      </c>
      <c r="AA471" s="13">
        <v>0</v>
      </c>
      <c r="AB471" s="13">
        <v>0</v>
      </c>
      <c r="AC471" s="13">
        <v>0</v>
      </c>
    </row>
    <row r="472" spans="1:29" x14ac:dyDescent="0.25">
      <c r="A472" s="3">
        <v>1.2376625032186399E+18</v>
      </c>
      <c r="B472" s="3">
        <v>235.65326999999999</v>
      </c>
      <c r="C472" s="3">
        <v>36.393329000000001</v>
      </c>
      <c r="D472" s="16">
        <v>0.95164079999999995</v>
      </c>
      <c r="E472" s="3">
        <v>-1.0953599999999994</v>
      </c>
      <c r="F472" s="3">
        <v>0.23267000000000237</v>
      </c>
      <c r="G472" s="3">
        <v>1.2879400000000025</v>
      </c>
      <c r="H472" s="3">
        <v>1.9461800000000018</v>
      </c>
      <c r="I472" s="3">
        <v>1.3280300000000018</v>
      </c>
      <c r="J472" s="3">
        <v>2.383300000000002</v>
      </c>
      <c r="K472" s="3">
        <v>3.0415400000000012</v>
      </c>
      <c r="L472" s="3">
        <v>1.0552700000000002</v>
      </c>
      <c r="M472" s="3">
        <v>1.7135099999999994</v>
      </c>
      <c r="N472" s="3">
        <v>0.65823999999999927</v>
      </c>
      <c r="Q472" s="13">
        <v>-4.3144826411134858</v>
      </c>
      <c r="R472" s="13">
        <v>3.6263592589686895</v>
      </c>
      <c r="S472" s="13">
        <v>-2.0024805092609084</v>
      </c>
      <c r="T472" s="13">
        <v>9.8569350433185321E-2</v>
      </c>
      <c r="U472" s="13">
        <v>-1.4230279236326533</v>
      </c>
      <c r="V472" s="13">
        <v>-0.45426659667499691</v>
      </c>
      <c r="W472" s="13">
        <v>0.13760249429925855</v>
      </c>
      <c r="X472" s="13">
        <v>0</v>
      </c>
      <c r="Y472" s="13">
        <v>0</v>
      </c>
      <c r="Z472" s="13">
        <v>0</v>
      </c>
      <c r="AA472" s="13">
        <v>0</v>
      </c>
      <c r="AB472" s="13">
        <v>0</v>
      </c>
      <c r="AC472" s="13">
        <v>0</v>
      </c>
    </row>
    <row r="473" spans="1:29" x14ac:dyDescent="0.25">
      <c r="A473" s="3">
        <v>1.2376625037557701E+18</v>
      </c>
      <c r="B473" s="3">
        <v>236.63907</v>
      </c>
      <c r="C473" s="3">
        <v>36.403058999999999</v>
      </c>
      <c r="D473" s="16">
        <v>0.97035740000000004</v>
      </c>
      <c r="E473" s="3">
        <v>0.3970400000000005</v>
      </c>
      <c r="F473" s="3">
        <v>1.4859599999999986</v>
      </c>
      <c r="G473" s="3">
        <v>2.617560000000001</v>
      </c>
      <c r="H473" s="3">
        <v>3.4264599999999987</v>
      </c>
      <c r="I473" s="3">
        <v>1.0889199999999981</v>
      </c>
      <c r="J473" s="3">
        <v>2.2205200000000005</v>
      </c>
      <c r="K473" s="3">
        <v>3.0294199999999982</v>
      </c>
      <c r="L473" s="3">
        <v>1.1316000000000024</v>
      </c>
      <c r="M473" s="3">
        <v>1.9405000000000001</v>
      </c>
      <c r="N473" s="3">
        <v>0.80889999999999773</v>
      </c>
      <c r="Q473" s="13">
        <v>-5.3954135949457678</v>
      </c>
      <c r="R473" s="13">
        <v>4.2353875767137783</v>
      </c>
      <c r="S473" s="13">
        <v>0.23048129767811257</v>
      </c>
      <c r="T473" s="13">
        <v>1.3316646736311568</v>
      </c>
      <c r="U473" s="13">
        <v>-3.2130919032696341</v>
      </c>
      <c r="V473" s="13">
        <v>-0.29045464151503247</v>
      </c>
      <c r="W473" s="13">
        <v>0.452776664227172</v>
      </c>
      <c r="X473" s="13">
        <v>0</v>
      </c>
      <c r="Y473" s="13">
        <v>0</v>
      </c>
      <c r="Z473" s="13">
        <v>0</v>
      </c>
      <c r="AA473" s="13">
        <v>0</v>
      </c>
      <c r="AB473" s="13">
        <v>0</v>
      </c>
      <c r="AC473" s="13">
        <v>0</v>
      </c>
    </row>
    <row r="474" spans="1:29" x14ac:dyDescent="0.25">
      <c r="A474" s="3">
        <v>1.23766247369087E+18</v>
      </c>
      <c r="B474" s="3">
        <v>236.15221</v>
      </c>
      <c r="C474" s="3">
        <v>36.441415999999997</v>
      </c>
      <c r="D474" s="16">
        <v>1.039819</v>
      </c>
      <c r="E474" s="3">
        <v>-1.1648399999999981</v>
      </c>
      <c r="F474" s="3">
        <v>0.95841000000000065</v>
      </c>
      <c r="G474" s="3">
        <v>2.3990000000000009</v>
      </c>
      <c r="H474" s="3">
        <v>3.1779500000000027</v>
      </c>
      <c r="I474" s="3">
        <v>2.1232499999999987</v>
      </c>
      <c r="J474" s="3">
        <v>3.563839999999999</v>
      </c>
      <c r="K474" s="3">
        <v>4.3427900000000008</v>
      </c>
      <c r="L474" s="3">
        <v>1.4405900000000003</v>
      </c>
      <c r="M474" s="3">
        <v>2.2195400000000021</v>
      </c>
      <c r="N474" s="3">
        <v>0.77895000000000181</v>
      </c>
      <c r="Q474" s="13">
        <v>-1.7312639404023997</v>
      </c>
      <c r="R474" s="13">
        <v>-3.661075158482352</v>
      </c>
      <c r="S474" s="13">
        <v>-0.37586273493241862</v>
      </c>
      <c r="T474" s="13">
        <v>1.3564133823556839</v>
      </c>
      <c r="U474" s="13">
        <v>1.2331493533169993</v>
      </c>
      <c r="V474" s="13">
        <v>2.443472232800544</v>
      </c>
      <c r="W474" s="13">
        <v>-0.13994230260229626</v>
      </c>
      <c r="X474" s="13">
        <v>0</v>
      </c>
      <c r="Y474" s="13">
        <v>0</v>
      </c>
      <c r="Z474" s="13">
        <v>0</v>
      </c>
      <c r="AA474" s="13">
        <v>0</v>
      </c>
      <c r="AB474" s="13">
        <v>0</v>
      </c>
      <c r="AC474" s="13">
        <v>0</v>
      </c>
    </row>
    <row r="475" spans="1:29" x14ac:dyDescent="0.25">
      <c r="A475" s="3">
        <v>1.2376624736908001E+18</v>
      </c>
      <c r="B475" s="3">
        <v>235.98913999999999</v>
      </c>
      <c r="C475" s="3">
        <v>36.504567000000002</v>
      </c>
      <c r="D475" s="16">
        <v>1.530724</v>
      </c>
      <c r="E475" s="3">
        <v>1.5214199999999991</v>
      </c>
      <c r="F475" s="3">
        <v>2.8154800000000009</v>
      </c>
      <c r="G475" s="3">
        <v>3.8268699999999995</v>
      </c>
      <c r="H475" s="3">
        <v>4.6574799999999996</v>
      </c>
      <c r="I475" s="3">
        <v>1.2940600000000018</v>
      </c>
      <c r="J475" s="3">
        <v>2.3054500000000004</v>
      </c>
      <c r="K475" s="3">
        <v>3.1360600000000005</v>
      </c>
      <c r="L475" s="3">
        <v>1.0113899999999987</v>
      </c>
      <c r="M475" s="3">
        <v>1.8419999999999987</v>
      </c>
      <c r="N475" s="3">
        <v>0.83061000000000007</v>
      </c>
      <c r="Q475" s="13">
        <v>-4.2367637857668239</v>
      </c>
      <c r="R475" s="13">
        <v>-3.2866049495496007E-2</v>
      </c>
      <c r="S475" s="13">
        <v>1.2878944780105677</v>
      </c>
      <c r="T475" s="13">
        <v>-0.18038377536313085</v>
      </c>
      <c r="U475" s="13">
        <v>-0.4761055143442568</v>
      </c>
      <c r="V475" s="13">
        <v>0.39442258423075305</v>
      </c>
      <c r="W475" s="13">
        <v>-0.1187309297551379</v>
      </c>
      <c r="X475" s="13">
        <v>0</v>
      </c>
      <c r="Y475" s="13">
        <v>0</v>
      </c>
      <c r="Z475" s="13">
        <v>0</v>
      </c>
      <c r="AA475" s="13">
        <v>0</v>
      </c>
      <c r="AB475" s="13">
        <v>0</v>
      </c>
      <c r="AC475" s="13">
        <v>0</v>
      </c>
    </row>
    <row r="476" spans="1:29" x14ac:dyDescent="0.25">
      <c r="Q476" s="13">
        <v>-4.2607428409805648</v>
      </c>
      <c r="R476" s="13">
        <v>2.6560895986711168</v>
      </c>
      <c r="S476" s="13">
        <v>0.70213431249324976</v>
      </c>
      <c r="T476" s="13">
        <v>-0.62744440856649197</v>
      </c>
      <c r="U476" s="13">
        <v>0.32154760516179848</v>
      </c>
      <c r="V476" s="13">
        <v>-0.8976067787583677</v>
      </c>
      <c r="W476" s="13">
        <v>-0.2438591173324472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</row>
    <row r="477" spans="1:29" x14ac:dyDescent="0.25">
      <c r="Q477" s="13">
        <v>-6.3491686376352758</v>
      </c>
      <c r="R477" s="13">
        <v>-9.1668106369693886E-2</v>
      </c>
      <c r="S477" s="13">
        <v>1.1350324322504501</v>
      </c>
      <c r="T477" s="13">
        <v>-0.40787404917632741</v>
      </c>
      <c r="U477" s="13">
        <v>2.1020263865535784</v>
      </c>
      <c r="V477" s="13">
        <v>0.4187051641021054</v>
      </c>
      <c r="W477" s="13">
        <v>1.38476310738798</v>
      </c>
      <c r="X477" s="13">
        <v>0</v>
      </c>
      <c r="Y477" s="13">
        <v>0</v>
      </c>
      <c r="Z477" s="13">
        <v>0</v>
      </c>
      <c r="AA477" s="13">
        <v>0</v>
      </c>
      <c r="AB477" s="13">
        <v>0</v>
      </c>
      <c r="AC477" s="13">
        <v>0</v>
      </c>
    </row>
    <row r="478" spans="1:29" x14ac:dyDescent="0.25">
      <c r="Q478" s="13">
        <v>-3.5598946380540215</v>
      </c>
      <c r="R478" s="13">
        <v>4.787764675020199</v>
      </c>
      <c r="S478" s="13">
        <v>0.71825448461349872</v>
      </c>
      <c r="T478" s="13">
        <v>-0.81120020578576046</v>
      </c>
      <c r="U478" s="13">
        <v>0.10076066580745872</v>
      </c>
      <c r="V478" s="13">
        <v>-8.2545395537329438E-2</v>
      </c>
      <c r="W478" s="13">
        <v>0.57135067560272246</v>
      </c>
      <c r="X478" s="13">
        <v>0</v>
      </c>
      <c r="Y478" s="13">
        <v>0</v>
      </c>
      <c r="Z478" s="13">
        <v>0</v>
      </c>
      <c r="AA478" s="13">
        <v>0</v>
      </c>
      <c r="AB478" s="13">
        <v>0</v>
      </c>
      <c r="AC478" s="13">
        <v>0</v>
      </c>
    </row>
    <row r="479" spans="1:29" x14ac:dyDescent="0.25">
      <c r="Q479" s="13">
        <v>-3.5605895498894995</v>
      </c>
      <c r="R479" s="13">
        <v>4.7881675705433668</v>
      </c>
      <c r="S479" s="13">
        <v>0.71819073159881497</v>
      </c>
      <c r="T479" s="13">
        <v>-0.81118468362158802</v>
      </c>
      <c r="U479" s="13">
        <v>0.10110993338141817</v>
      </c>
      <c r="V479" s="13">
        <v>-8.1348021004464213E-2</v>
      </c>
      <c r="W479" s="13">
        <v>0.56980340887064762</v>
      </c>
      <c r="X479" s="13">
        <v>0</v>
      </c>
      <c r="Y479" s="13">
        <v>0</v>
      </c>
      <c r="Z479" s="13">
        <v>0</v>
      </c>
      <c r="AA479" s="13">
        <v>0</v>
      </c>
      <c r="AB479" s="13">
        <v>0</v>
      </c>
      <c r="AC479" s="13">
        <v>0</v>
      </c>
    </row>
    <row r="480" spans="1:29" x14ac:dyDescent="0.25">
      <c r="Q480" s="13">
        <v>-3.1897672604221592</v>
      </c>
      <c r="R480" s="13">
        <v>2.64417644040146</v>
      </c>
      <c r="S480" s="13">
        <v>0.88876760922028908</v>
      </c>
      <c r="T480" s="13">
        <v>-0.70568891022151514</v>
      </c>
      <c r="U480" s="13">
        <v>-0.14530532615748498</v>
      </c>
      <c r="V480" s="13">
        <v>-0.16678612732618348</v>
      </c>
      <c r="W480" s="13">
        <v>-0.28269235246456514</v>
      </c>
      <c r="X480" s="13">
        <v>0</v>
      </c>
      <c r="Y480" s="13">
        <v>0</v>
      </c>
      <c r="Z480" s="13">
        <v>0</v>
      </c>
      <c r="AA480" s="13">
        <v>0</v>
      </c>
      <c r="AB480" s="13">
        <v>0</v>
      </c>
      <c r="AC480" s="13">
        <v>0</v>
      </c>
    </row>
    <row r="481" spans="17:29" x14ac:dyDescent="0.25">
      <c r="Q481" s="13">
        <v>-4.9462508352838741</v>
      </c>
      <c r="R481" s="13">
        <v>3.0135617110606763</v>
      </c>
      <c r="S481" s="13">
        <v>0.84891946818501718</v>
      </c>
      <c r="T481" s="13">
        <v>-0.90569879914408524</v>
      </c>
      <c r="U481" s="13">
        <v>-0.90112527333492087</v>
      </c>
      <c r="V481" s="13">
        <v>-0.77598377506053584</v>
      </c>
      <c r="W481" s="13">
        <v>-5.3453172387741291E-2</v>
      </c>
      <c r="X481" s="13">
        <v>0</v>
      </c>
      <c r="Y481" s="13">
        <v>0</v>
      </c>
      <c r="Z481" s="13">
        <v>0</v>
      </c>
      <c r="AA481" s="13">
        <v>0</v>
      </c>
      <c r="AB481" s="13">
        <v>0</v>
      </c>
      <c r="AC481" s="13">
        <v>0</v>
      </c>
    </row>
    <row r="482" spans="17:29" x14ac:dyDescent="0.25">
      <c r="Q482" s="13">
        <v>-3.3890666269372525</v>
      </c>
      <c r="R482" s="13">
        <v>-0.62860074987176673</v>
      </c>
      <c r="S482" s="13">
        <v>-0.14397497639237267</v>
      </c>
      <c r="T482" s="13">
        <v>-1.067047455355413</v>
      </c>
      <c r="U482" s="13">
        <v>1.3044710333912617</v>
      </c>
      <c r="V482" s="13">
        <v>0.20872988857791319</v>
      </c>
      <c r="W482" s="13">
        <v>-0.5098463281273462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</row>
    <row r="483" spans="17:29" x14ac:dyDescent="0.25">
      <c r="Q483" s="13">
        <v>-2.1541003356721862</v>
      </c>
      <c r="R483" s="13">
        <v>1.0641573044587498</v>
      </c>
      <c r="S483" s="13">
        <v>-2.512889050645176</v>
      </c>
      <c r="T483" s="13">
        <v>0.12674053218919948</v>
      </c>
      <c r="U483" s="13">
        <v>1.8906281168355921</v>
      </c>
      <c r="V483" s="13">
        <v>5.8347433968319595E-2</v>
      </c>
      <c r="W483" s="13">
        <v>-0.57418169262143615</v>
      </c>
      <c r="X483" s="13">
        <v>0</v>
      </c>
      <c r="Y483" s="13">
        <v>0</v>
      </c>
      <c r="Z483" s="13">
        <v>0</v>
      </c>
      <c r="AA483" s="13">
        <v>0</v>
      </c>
      <c r="AB483" s="13">
        <v>0</v>
      </c>
      <c r="AC483" s="13">
        <v>0</v>
      </c>
    </row>
    <row r="484" spans="17:29" x14ac:dyDescent="0.25">
      <c r="Q484" s="13">
        <v>-4.0756039086057543</v>
      </c>
      <c r="R484" s="13">
        <v>1.9700376637258408</v>
      </c>
      <c r="S484" s="13">
        <v>-0.37672122352559018</v>
      </c>
      <c r="T484" s="13">
        <v>0.5701982409753874</v>
      </c>
      <c r="U484" s="13">
        <v>1.2444168668993687</v>
      </c>
      <c r="V484" s="13">
        <v>-0.5277213173641857</v>
      </c>
      <c r="W484" s="13">
        <v>-0.38912501898755425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</row>
    <row r="485" spans="17:29" x14ac:dyDescent="0.25">
      <c r="Q485" s="13">
        <v>-6.7413578934729657</v>
      </c>
      <c r="R485" s="13">
        <v>2.1334606675194894</v>
      </c>
      <c r="S485" s="13">
        <v>0.52319584047539769</v>
      </c>
      <c r="T485" s="13">
        <v>1.1221379595795573</v>
      </c>
      <c r="U485" s="13">
        <v>-0.68339409452015876</v>
      </c>
      <c r="V485" s="13">
        <v>-1.0505220721130715</v>
      </c>
      <c r="W485" s="13">
        <v>-2.627390938405804E-2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</row>
    <row r="486" spans="17:29" x14ac:dyDescent="0.25">
      <c r="Q486" s="13">
        <v>-3.8717848104501922</v>
      </c>
      <c r="R486" s="13">
        <v>4.3950802182328337</v>
      </c>
      <c r="S486" s="13">
        <v>-1.0383794058301272</v>
      </c>
      <c r="T486" s="13">
        <v>1.4303013595944749</v>
      </c>
      <c r="U486" s="13">
        <v>-0.28913454668414096</v>
      </c>
      <c r="V486" s="13">
        <v>-1.3272822690437265</v>
      </c>
      <c r="W486" s="13">
        <v>-0.9943233537680104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</row>
    <row r="487" spans="17:29" x14ac:dyDescent="0.25">
      <c r="Q487" s="13">
        <v>-4.4297838345116807</v>
      </c>
      <c r="R487" s="13">
        <v>1.8663587541923612</v>
      </c>
      <c r="S487" s="13">
        <v>0.19968126736077382</v>
      </c>
      <c r="T487" s="13">
        <v>-0.4532824517097056</v>
      </c>
      <c r="U487" s="13">
        <v>2.3949159626054364</v>
      </c>
      <c r="V487" s="13">
        <v>-0.25671894228033826</v>
      </c>
      <c r="W487" s="13">
        <v>-0.10967685972221791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</row>
    <row r="488" spans="17:29" x14ac:dyDescent="0.25">
      <c r="Q488" s="13">
        <v>-6.1462346420473555</v>
      </c>
      <c r="R488" s="13">
        <v>0.17571719525044313</v>
      </c>
      <c r="S488" s="13">
        <v>0.95938800529538715</v>
      </c>
      <c r="T488" s="13">
        <v>8.8772416399516468E-2</v>
      </c>
      <c r="U488" s="13">
        <v>3.1659347602330929</v>
      </c>
      <c r="V488" s="13">
        <v>-0.65653805276430066</v>
      </c>
      <c r="W488" s="13">
        <v>6.8646327694684456E-2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</row>
    <row r="489" spans="17:29" x14ac:dyDescent="0.25">
      <c r="Q489" s="13">
        <v>-3.344862496290653</v>
      </c>
      <c r="R489" s="13">
        <v>1.602291031846889</v>
      </c>
      <c r="S489" s="13">
        <v>2.5490007770409422</v>
      </c>
      <c r="T489" s="13">
        <v>0.23943736468736856</v>
      </c>
      <c r="U489" s="13">
        <v>4.0307851376554806</v>
      </c>
      <c r="V489" s="13">
        <v>0.42075784398877247</v>
      </c>
      <c r="W489" s="13">
        <v>0.14511365668492748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</row>
    <row r="490" spans="17:29" x14ac:dyDescent="0.25">
      <c r="Q490" s="13">
        <v>-2.4224706798198654</v>
      </c>
      <c r="R490" s="13">
        <v>1.4027273461290464</v>
      </c>
      <c r="S490" s="13">
        <v>1.8964714566314116</v>
      </c>
      <c r="T490" s="13">
        <v>-0.38480411049824642</v>
      </c>
      <c r="U490" s="13">
        <v>3.2651953989526006</v>
      </c>
      <c r="V490" s="13">
        <v>0.34970942479350553</v>
      </c>
      <c r="W490" s="13">
        <v>-0.78815431365875732</v>
      </c>
      <c r="X490" s="13">
        <v>0</v>
      </c>
      <c r="Y490" s="13">
        <v>0</v>
      </c>
      <c r="Z490" s="13">
        <v>0</v>
      </c>
      <c r="AA490" s="13">
        <v>0</v>
      </c>
      <c r="AB490" s="13">
        <v>0</v>
      </c>
      <c r="AC490" s="13">
        <v>0</v>
      </c>
    </row>
    <row r="491" spans="17:29" x14ac:dyDescent="0.25">
      <c r="Q491" s="13">
        <v>-2.6506378858908919</v>
      </c>
      <c r="R491" s="13">
        <v>3.6874595631371339</v>
      </c>
      <c r="S491" s="13">
        <v>1.4733287439523988</v>
      </c>
      <c r="T491" s="13">
        <v>-0.80873106845193365</v>
      </c>
      <c r="U491" s="13">
        <v>2.2780644110885366</v>
      </c>
      <c r="V491" s="13">
        <v>0.44450850547826737</v>
      </c>
      <c r="W491" s="13">
        <v>-0.23400659689218875</v>
      </c>
      <c r="X491" s="13">
        <v>0</v>
      </c>
      <c r="Y491" s="13">
        <v>0</v>
      </c>
      <c r="Z491" s="13">
        <v>0</v>
      </c>
      <c r="AA491" s="13">
        <v>0</v>
      </c>
      <c r="AB491" s="13">
        <v>0</v>
      </c>
      <c r="AC491" s="13">
        <v>0</v>
      </c>
    </row>
    <row r="492" spans="17:29" x14ac:dyDescent="0.25">
      <c r="Q492" s="13">
        <v>-2.5335678409618567</v>
      </c>
      <c r="R492" s="13">
        <v>4.8442137758217347</v>
      </c>
      <c r="S492" s="13">
        <v>-3.1962923877900985E-3</v>
      </c>
      <c r="T492" s="13">
        <v>-2.4572294515666502</v>
      </c>
      <c r="U492" s="13">
        <v>2.7554601790074069</v>
      </c>
      <c r="V492" s="13">
        <v>0.34006335915360447</v>
      </c>
      <c r="W492" s="13">
        <v>-4.8290318930575851E-2</v>
      </c>
      <c r="X492" s="13">
        <v>0</v>
      </c>
      <c r="Y492" s="13">
        <v>0</v>
      </c>
      <c r="Z492" s="13">
        <v>0</v>
      </c>
      <c r="AA492" s="13">
        <v>0</v>
      </c>
      <c r="AB492" s="13">
        <v>0</v>
      </c>
      <c r="AC492" s="13">
        <v>0</v>
      </c>
    </row>
    <row r="493" spans="17:29" x14ac:dyDescent="0.25">
      <c r="Q493" s="13">
        <v>-0.45416819679863113</v>
      </c>
      <c r="R493" s="13">
        <v>5.6581306847032433</v>
      </c>
      <c r="S493" s="13">
        <v>-0.77495513730421506</v>
      </c>
      <c r="T493" s="13">
        <v>1.7522807734784938</v>
      </c>
      <c r="U493" s="13">
        <v>0.7654115383385961</v>
      </c>
      <c r="V493" s="13">
        <v>0.57970468720024071</v>
      </c>
      <c r="W493" s="13">
        <v>-0.93800487094120322</v>
      </c>
      <c r="X493" s="13">
        <v>0</v>
      </c>
      <c r="Y493" s="13">
        <v>0</v>
      </c>
      <c r="Z493" s="13">
        <v>0</v>
      </c>
      <c r="AA493" s="13">
        <v>0</v>
      </c>
      <c r="AB493" s="13">
        <v>0</v>
      </c>
      <c r="AC493" s="13">
        <v>0</v>
      </c>
    </row>
    <row r="494" spans="17:29" x14ac:dyDescent="0.25">
      <c r="Q494" s="13">
        <v>-1.8526896522881817</v>
      </c>
      <c r="R494" s="13">
        <v>3.7004530074151383</v>
      </c>
      <c r="S494" s="13">
        <v>1.5535362921070053</v>
      </c>
      <c r="T494" s="13">
        <v>-0.23954030755113079</v>
      </c>
      <c r="U494" s="13">
        <v>1.8078157888516986</v>
      </c>
      <c r="V494" s="13">
        <v>0.37040648806972681</v>
      </c>
      <c r="W494" s="13">
        <v>-0.96341156679613382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</row>
    <row r="495" spans="17:29" x14ac:dyDescent="0.25">
      <c r="Q495" s="13">
        <v>-3.8200135548588841</v>
      </c>
      <c r="R495" s="13">
        <v>5.6749203486920585</v>
      </c>
      <c r="S495" s="13">
        <v>0.10759312651479672</v>
      </c>
      <c r="T495" s="13">
        <v>0.85150189332836246</v>
      </c>
      <c r="U495" s="13">
        <v>-0.1783262491996257</v>
      </c>
      <c r="V495" s="13">
        <v>0.28934390329361437</v>
      </c>
      <c r="W495" s="13">
        <v>-0.38155879289852573</v>
      </c>
      <c r="X495" s="13">
        <v>0</v>
      </c>
      <c r="Y495" s="13">
        <v>0</v>
      </c>
      <c r="Z495" s="13">
        <v>0</v>
      </c>
      <c r="AA495" s="13">
        <v>0</v>
      </c>
      <c r="AB495" s="13">
        <v>0</v>
      </c>
      <c r="AC495" s="13">
        <v>0</v>
      </c>
    </row>
    <row r="496" spans="17:29" x14ac:dyDescent="0.25">
      <c r="Q496" s="13">
        <v>-3.3535067490254029</v>
      </c>
      <c r="R496" s="13">
        <v>2.2273967283573626</v>
      </c>
      <c r="S496" s="13">
        <v>0.41457564943378067</v>
      </c>
      <c r="T496" s="13">
        <v>1.6372423322894538</v>
      </c>
      <c r="U496" s="13">
        <v>2.2194742414597082</v>
      </c>
      <c r="V496" s="13">
        <v>1.2634729747628677</v>
      </c>
      <c r="W496" s="13">
        <v>-2.8626644558797718</v>
      </c>
      <c r="X496" s="13">
        <v>0</v>
      </c>
      <c r="Y496" s="13">
        <v>0</v>
      </c>
      <c r="Z496" s="13">
        <v>0</v>
      </c>
      <c r="AA496" s="13">
        <v>0</v>
      </c>
      <c r="AB496" s="13">
        <v>0</v>
      </c>
      <c r="AC496" s="13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2FCC-D183-4FF3-9A52-414AFFCA2B62}">
  <dimension ref="A1:AC116"/>
  <sheetViews>
    <sheetView topLeftCell="K1" zoomScale="90" zoomScaleNormal="90" workbookViewId="0">
      <selection activeCell="W24" sqref="W24"/>
    </sheetView>
  </sheetViews>
  <sheetFormatPr defaultRowHeight="15" x14ac:dyDescent="0.25"/>
  <cols>
    <col min="5" max="14" width="9.140625" style="3"/>
  </cols>
  <sheetData>
    <row r="1" spans="1:29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7" t="s">
        <v>22</v>
      </c>
      <c r="P1" s="7" t="s">
        <v>23</v>
      </c>
      <c r="Q1" s="2" t="s">
        <v>4</v>
      </c>
      <c r="R1" s="4" t="s">
        <v>5</v>
      </c>
    </row>
    <row r="2" spans="1:29" x14ac:dyDescent="0.25">
      <c r="A2" s="3">
        <v>1.2376614659863301E+18</v>
      </c>
      <c r="B2" s="3">
        <v>236.43879999999999</v>
      </c>
      <c r="C2" s="3">
        <v>35.659931</v>
      </c>
      <c r="D2" s="3">
        <v>5.5187600000000003E-2</v>
      </c>
      <c r="E2" s="3">
        <v>1.9930699999999977</v>
      </c>
      <c r="F2" s="3">
        <v>2.9022799999999993</v>
      </c>
      <c r="G2" s="3">
        <v>3.3467399999999987</v>
      </c>
      <c r="H2" s="3">
        <v>3.686119999999999</v>
      </c>
      <c r="I2" s="3">
        <v>0.90921000000000163</v>
      </c>
      <c r="J2" s="3">
        <v>1.353670000000001</v>
      </c>
      <c r="K2" s="3">
        <v>1.6930500000000013</v>
      </c>
      <c r="L2" s="3">
        <v>0.44445999999999941</v>
      </c>
      <c r="M2" s="3">
        <v>0.78383999999999965</v>
      </c>
      <c r="N2" s="3">
        <v>0.33938000000000024</v>
      </c>
      <c r="O2" s="13">
        <v>2.1630147961697572</v>
      </c>
      <c r="P2" s="13">
        <v>-0.61369314275426368</v>
      </c>
      <c r="Q2" s="3">
        <v>2.5682362377956762</v>
      </c>
      <c r="R2" s="3">
        <v>16556.280000000002</v>
      </c>
    </row>
    <row r="3" spans="1:29" x14ac:dyDescent="0.25">
      <c r="A3" s="3">
        <v>1.2376614659863301E+18</v>
      </c>
      <c r="B3" s="3">
        <v>236.43879999999999</v>
      </c>
      <c r="C3" s="3">
        <v>35.659931</v>
      </c>
      <c r="D3" s="3">
        <v>5.5239209999999997E-2</v>
      </c>
      <c r="E3" s="3">
        <v>1.9930699999999977</v>
      </c>
      <c r="F3" s="3">
        <v>2.9022799999999993</v>
      </c>
      <c r="G3" s="3">
        <v>3.3467399999999987</v>
      </c>
      <c r="H3" s="3">
        <v>3.686119999999999</v>
      </c>
      <c r="I3" s="3">
        <v>0.90921000000000163</v>
      </c>
      <c r="J3" s="3">
        <v>1.353670000000001</v>
      </c>
      <c r="K3" s="3">
        <v>1.6930500000000013</v>
      </c>
      <c r="L3" s="3">
        <v>0.44445999999999941</v>
      </c>
      <c r="M3" s="3">
        <v>0.78383999999999965</v>
      </c>
      <c r="N3" s="3">
        <v>0.33938000000000024</v>
      </c>
      <c r="O3" s="13">
        <v>2.1629491630088982</v>
      </c>
      <c r="P3" s="13">
        <v>-0.61365492354480822</v>
      </c>
      <c r="Q3" s="3">
        <v>2.5682362377956762</v>
      </c>
      <c r="R3" s="3">
        <v>16571.762999999999</v>
      </c>
    </row>
    <row r="4" spans="1:29" x14ac:dyDescent="0.25">
      <c r="A4" s="3">
        <v>1.2376624731541299E+18</v>
      </c>
      <c r="B4" s="3">
        <v>236.19515000000001</v>
      </c>
      <c r="C4" s="3">
        <v>35.950268000000001</v>
      </c>
      <c r="D4" s="3">
        <v>6.2868919999999995E-2</v>
      </c>
      <c r="E4" s="3">
        <v>2.010110000000001</v>
      </c>
      <c r="F4" s="3">
        <v>2.8955500000000018</v>
      </c>
      <c r="G4" s="3">
        <v>3.3125600000000013</v>
      </c>
      <c r="H4" s="3">
        <v>3.6143100000000015</v>
      </c>
      <c r="I4" s="3">
        <v>0.88544000000000089</v>
      </c>
      <c r="J4" s="3">
        <v>1.3024500000000003</v>
      </c>
      <c r="K4" s="3">
        <v>1.6042000000000005</v>
      </c>
      <c r="L4" s="3">
        <v>0.41700999999999944</v>
      </c>
      <c r="M4" s="3">
        <v>0.71875999999999962</v>
      </c>
      <c r="N4" s="3">
        <v>0.30175000000000018</v>
      </c>
      <c r="O4" s="13">
        <v>2.40799142607933</v>
      </c>
      <c r="P4" s="13">
        <v>-0.58682915403248903</v>
      </c>
      <c r="Q4" s="3">
        <v>0.88725364995904443</v>
      </c>
      <c r="R4" s="3">
        <v>18860.675999999999</v>
      </c>
    </row>
    <row r="5" spans="1:29" x14ac:dyDescent="0.25">
      <c r="A5" s="3">
        <v>1.23766250321903E+18</v>
      </c>
      <c r="B5" s="3">
        <v>236.62267</v>
      </c>
      <c r="C5" s="3">
        <v>35.791443000000001</v>
      </c>
      <c r="D5" s="3">
        <v>7.9249940000000005E-2</v>
      </c>
      <c r="E5" s="3">
        <v>1.9754900000000006</v>
      </c>
      <c r="F5" s="3">
        <v>2.9167500000000004</v>
      </c>
      <c r="G5" s="3">
        <v>3.3417000000000012</v>
      </c>
      <c r="H5" s="3">
        <v>3.6707400000000021</v>
      </c>
      <c r="I5" s="3">
        <v>0.94125999999999976</v>
      </c>
      <c r="J5" s="3">
        <v>1.3662100000000006</v>
      </c>
      <c r="K5" s="3">
        <v>1.6952500000000015</v>
      </c>
      <c r="L5" s="3">
        <v>0.42495000000000083</v>
      </c>
      <c r="M5" s="3">
        <v>0.75399000000000171</v>
      </c>
      <c r="N5" s="3">
        <v>0.32904000000000089</v>
      </c>
      <c r="O5" s="13">
        <v>2.1197622412705712</v>
      </c>
      <c r="P5" s="13">
        <v>-0.58463438620165742</v>
      </c>
      <c r="Q5" s="3">
        <v>2.3776894872294649</v>
      </c>
      <c r="R5" s="3">
        <v>23774.982</v>
      </c>
    </row>
    <row r="6" spans="1:29" x14ac:dyDescent="0.25">
      <c r="A6" s="3">
        <v>1.23766250321903E+18</v>
      </c>
      <c r="B6" s="3">
        <v>236.62189000000001</v>
      </c>
      <c r="C6" s="3">
        <v>35.936266000000003</v>
      </c>
      <c r="D6" s="3">
        <v>6.4283400000000004E-2</v>
      </c>
      <c r="E6" s="3">
        <v>1.97654</v>
      </c>
      <c r="F6" s="3">
        <v>2.9062100000000015</v>
      </c>
      <c r="G6" s="3">
        <v>3.3224100000000014</v>
      </c>
      <c r="H6" s="3">
        <v>3.6519399999999997</v>
      </c>
      <c r="I6" s="3">
        <v>0.92967000000000155</v>
      </c>
      <c r="J6" s="3">
        <v>1.3458700000000015</v>
      </c>
      <c r="K6" s="3">
        <v>1.6753999999999998</v>
      </c>
      <c r="L6" s="3">
        <v>0.4161999999999999</v>
      </c>
      <c r="M6" s="3">
        <v>0.74572999999999823</v>
      </c>
      <c r="N6" s="3">
        <v>0.32952999999999832</v>
      </c>
      <c r="O6" s="13">
        <v>2.1754942940344182</v>
      </c>
      <c r="P6" s="13">
        <v>-0.55051894305358373</v>
      </c>
      <c r="Q6" s="3">
        <v>1.8882414371741467</v>
      </c>
      <c r="R6" s="3">
        <v>19285.02</v>
      </c>
    </row>
    <row r="7" spans="1:29" x14ac:dyDescent="0.25">
      <c r="A7" s="3">
        <v>1.23766146598626E+18</v>
      </c>
      <c r="B7" s="3">
        <v>236.36339000000001</v>
      </c>
      <c r="C7" s="3">
        <v>35.81127</v>
      </c>
      <c r="D7" s="3">
        <v>6.6331390000000004E-2</v>
      </c>
      <c r="E7" s="3">
        <v>1.9531499999999973</v>
      </c>
      <c r="F7" s="3">
        <v>2.8321899999999971</v>
      </c>
      <c r="G7" s="3">
        <v>3.2434999999999974</v>
      </c>
      <c r="H7" s="3">
        <v>3.5411999999999999</v>
      </c>
      <c r="I7" s="3">
        <v>0.87903999999999982</v>
      </c>
      <c r="J7" s="3">
        <v>1.2903500000000001</v>
      </c>
      <c r="K7" s="3">
        <v>1.5880500000000026</v>
      </c>
      <c r="L7" s="3">
        <v>0.41131000000000029</v>
      </c>
      <c r="M7" s="3">
        <v>0.7090100000000028</v>
      </c>
      <c r="N7" s="3">
        <v>0.29770000000000252</v>
      </c>
      <c r="O7" s="13">
        <v>2.4647735827827049</v>
      </c>
      <c r="P7" s="13">
        <v>-0.54882830971976293</v>
      </c>
      <c r="Q7" s="3">
        <v>1.6889331721481895</v>
      </c>
      <c r="R7" s="3">
        <v>19899.417000000001</v>
      </c>
    </row>
    <row r="8" spans="1:29" x14ac:dyDescent="0.25">
      <c r="A8" s="3">
        <v>1.2376625032188301E+18</v>
      </c>
      <c r="B8" s="3">
        <v>236.25417999999999</v>
      </c>
      <c r="C8" s="3">
        <v>36.106436000000002</v>
      </c>
      <c r="D8" s="3">
        <v>6.5155870000000005E-2</v>
      </c>
      <c r="E8" s="3">
        <v>2.0028100000000002</v>
      </c>
      <c r="F8" s="3">
        <v>2.8889299999999984</v>
      </c>
      <c r="G8" s="3">
        <v>3.3202700000000007</v>
      </c>
      <c r="H8" s="3">
        <v>3.6051699999999993</v>
      </c>
      <c r="I8" s="3">
        <v>0.88611999999999824</v>
      </c>
      <c r="J8" s="3">
        <v>1.3174600000000005</v>
      </c>
      <c r="K8" s="3">
        <v>1.6023599999999991</v>
      </c>
      <c r="L8" s="3">
        <v>0.43134000000000228</v>
      </c>
      <c r="M8" s="3">
        <v>0.71624000000000088</v>
      </c>
      <c r="N8" s="3">
        <v>0.2848999999999986</v>
      </c>
      <c r="O8" s="13">
        <v>2.3910007955127082</v>
      </c>
      <c r="P8" s="13">
        <v>-0.543515885302846</v>
      </c>
      <c r="Q8" s="3">
        <v>3.9299087756555974E-2</v>
      </c>
      <c r="R8" s="3">
        <v>19546.761000000002</v>
      </c>
    </row>
    <row r="9" spans="1:29" x14ac:dyDescent="0.25">
      <c r="A9" s="3">
        <v>1.2376625032189E+18</v>
      </c>
      <c r="B9" s="3">
        <v>236.35445999999999</v>
      </c>
      <c r="C9" s="3">
        <v>36.020178999999999</v>
      </c>
      <c r="D9" s="3">
        <v>6.6449170000000002E-2</v>
      </c>
      <c r="E9" s="3">
        <v>2.0114400000000003</v>
      </c>
      <c r="F9" s="3">
        <v>2.9162999999999997</v>
      </c>
      <c r="G9" s="3">
        <v>3.3345599999999997</v>
      </c>
      <c r="H9" s="3">
        <v>3.6760200000000012</v>
      </c>
      <c r="I9" s="3">
        <v>0.90485999999999933</v>
      </c>
      <c r="J9" s="3">
        <v>1.3231199999999994</v>
      </c>
      <c r="K9" s="3">
        <v>1.6645800000000008</v>
      </c>
      <c r="L9" s="3">
        <v>0.41826000000000008</v>
      </c>
      <c r="M9" s="3">
        <v>0.75972000000000151</v>
      </c>
      <c r="N9" s="3">
        <v>0.34146000000000143</v>
      </c>
      <c r="O9" s="13">
        <v>2.2038580490172053</v>
      </c>
      <c r="P9" s="13">
        <v>-0.53222112923618303</v>
      </c>
      <c r="Q9" s="3">
        <v>0.67532664689993915</v>
      </c>
      <c r="R9" s="3">
        <v>19934.751</v>
      </c>
      <c r="AB9" t="s">
        <v>39</v>
      </c>
      <c r="AC9" t="s">
        <v>43</v>
      </c>
    </row>
    <row r="10" spans="1:29" x14ac:dyDescent="0.25">
      <c r="A10" s="3">
        <v>1.2376614659863301E+18</v>
      </c>
      <c r="B10" s="3">
        <v>236.30957000000001</v>
      </c>
      <c r="C10" s="3">
        <v>35.697831999999998</v>
      </c>
      <c r="D10" s="3">
        <v>6.9270659999999998E-2</v>
      </c>
      <c r="E10" s="3">
        <v>1.9167699999999996</v>
      </c>
      <c r="F10" s="3">
        <v>2.8183199999999999</v>
      </c>
      <c r="G10" s="3">
        <v>3.2471199999999989</v>
      </c>
      <c r="H10" s="3">
        <v>3.5528300000000002</v>
      </c>
      <c r="I10" s="3">
        <v>0.9015500000000003</v>
      </c>
      <c r="J10" s="3">
        <v>1.3303499999999993</v>
      </c>
      <c r="K10" s="3">
        <v>1.6360600000000005</v>
      </c>
      <c r="L10" s="3">
        <v>0.42879999999999896</v>
      </c>
      <c r="M10" s="3">
        <v>0.73451000000000022</v>
      </c>
      <c r="N10" s="3">
        <v>0.30571000000000126</v>
      </c>
      <c r="O10" s="13">
        <v>2.3815623613012065</v>
      </c>
      <c r="P10" s="13">
        <v>-0.51540146898437411</v>
      </c>
      <c r="Q10" s="3">
        <v>2.2386950062963855</v>
      </c>
      <c r="R10" s="3">
        <v>20781.198</v>
      </c>
      <c r="AB10" t="s">
        <v>40</v>
      </c>
      <c r="AC10" t="s">
        <v>42</v>
      </c>
    </row>
    <row r="11" spans="1:29" x14ac:dyDescent="0.25">
      <c r="A11" s="3">
        <v>1.2376625032189E+18</v>
      </c>
      <c r="B11" s="3">
        <v>236.31521000000001</v>
      </c>
      <c r="C11" s="3">
        <v>36.017164000000001</v>
      </c>
      <c r="D11" s="3">
        <v>6.683443E-2</v>
      </c>
      <c r="E11" s="3">
        <v>1.9855599999999995</v>
      </c>
      <c r="F11" s="3">
        <v>2.8892299999999977</v>
      </c>
      <c r="G11" s="3">
        <v>3.304829999999999</v>
      </c>
      <c r="H11" s="3">
        <v>3.6335699999999989</v>
      </c>
      <c r="I11" s="3">
        <v>0.9036699999999982</v>
      </c>
      <c r="J11" s="3">
        <v>1.3192699999999995</v>
      </c>
      <c r="K11" s="3">
        <v>1.6480099999999993</v>
      </c>
      <c r="L11" s="3">
        <v>0.4156000000000013</v>
      </c>
      <c r="M11" s="3">
        <v>0.74434000000000111</v>
      </c>
      <c r="N11" s="3">
        <v>0.32873999999999981</v>
      </c>
      <c r="O11" s="13">
        <v>2.2769156827393608</v>
      </c>
      <c r="P11" s="13">
        <v>-0.50818958168529682</v>
      </c>
      <c r="Q11" s="3">
        <v>0.58247897651460845</v>
      </c>
      <c r="R11" s="3">
        <v>20050.329000000002</v>
      </c>
      <c r="AB11" t="s">
        <v>63</v>
      </c>
      <c r="AC11" t="s">
        <v>64</v>
      </c>
    </row>
    <row r="12" spans="1:29" x14ac:dyDescent="0.25">
      <c r="A12" s="3">
        <v>1.2376625032188301E+18</v>
      </c>
      <c r="B12" s="3">
        <v>236.21942000000001</v>
      </c>
      <c r="C12" s="3">
        <v>36.215575000000001</v>
      </c>
      <c r="D12" s="3">
        <v>6.6674170000000005E-2</v>
      </c>
      <c r="E12" s="3">
        <v>2.0042399999999994</v>
      </c>
      <c r="F12" s="3">
        <v>2.8588200000000015</v>
      </c>
      <c r="G12" s="3">
        <v>3.2528900000000007</v>
      </c>
      <c r="H12" s="3">
        <v>3.5459300000000002</v>
      </c>
      <c r="I12" s="3">
        <v>0.85458000000000212</v>
      </c>
      <c r="J12" s="3">
        <v>1.2486500000000014</v>
      </c>
      <c r="K12" s="3">
        <v>1.5416900000000009</v>
      </c>
      <c r="L12" s="3">
        <v>0.39406999999999925</v>
      </c>
      <c r="M12" s="3">
        <v>0.68710999999999878</v>
      </c>
      <c r="N12" s="3">
        <v>0.29303999999999952</v>
      </c>
      <c r="O12" s="13">
        <v>2.5404438566197016</v>
      </c>
      <c r="P12" s="13">
        <v>-0.50053306497752681</v>
      </c>
      <c r="Q12" s="3">
        <v>0.58422039092362565</v>
      </c>
      <c r="R12" s="3">
        <v>20002.251</v>
      </c>
    </row>
    <row r="13" spans="1:29" x14ac:dyDescent="0.25">
      <c r="A13" s="3">
        <v>1.2376625032189701E+18</v>
      </c>
      <c r="B13" s="3">
        <v>236.51518999999999</v>
      </c>
      <c r="C13" s="3">
        <v>35.948939000000003</v>
      </c>
      <c r="D13" s="3">
        <v>6.7181210000000005E-2</v>
      </c>
      <c r="E13" s="3">
        <v>1.9525100000000002</v>
      </c>
      <c r="F13" s="3">
        <v>2.8408200000000008</v>
      </c>
      <c r="G13" s="3">
        <v>3.2486800000000002</v>
      </c>
      <c r="H13" s="3">
        <v>3.5651400000000013</v>
      </c>
      <c r="I13" s="3">
        <v>0.8883100000000006</v>
      </c>
      <c r="J13" s="3">
        <v>1.29617</v>
      </c>
      <c r="K13" s="3">
        <v>1.6126300000000011</v>
      </c>
      <c r="L13" s="3">
        <v>0.40785999999999945</v>
      </c>
      <c r="M13" s="3">
        <v>0.72432000000000052</v>
      </c>
      <c r="N13" s="3">
        <v>0.31646000000000107</v>
      </c>
      <c r="O13" s="13">
        <v>2.3588611714367991</v>
      </c>
      <c r="P13" s="13">
        <v>-0.49618287623231955</v>
      </c>
      <c r="Q13" s="3">
        <v>1.4597160279211154</v>
      </c>
      <c r="R13" s="3">
        <v>20154.363000000001</v>
      </c>
    </row>
    <row r="14" spans="1:29" x14ac:dyDescent="0.25">
      <c r="A14" s="3">
        <v>1.2376625032191601E+18</v>
      </c>
      <c r="B14" s="3">
        <v>236.79683</v>
      </c>
      <c r="C14" s="3">
        <v>35.660555000000002</v>
      </c>
      <c r="D14" s="3">
        <v>8.0674369999999995E-2</v>
      </c>
      <c r="E14" s="3">
        <v>1.90137</v>
      </c>
      <c r="F14" s="3">
        <v>2.8122700000000016</v>
      </c>
      <c r="G14" s="3">
        <v>3.22926</v>
      </c>
      <c r="H14" s="3">
        <v>3.5687700000000007</v>
      </c>
      <c r="I14" s="3">
        <v>0.9109000000000016</v>
      </c>
      <c r="J14" s="3">
        <v>1.32789</v>
      </c>
      <c r="K14" s="3">
        <v>1.6674000000000007</v>
      </c>
      <c r="L14" s="3">
        <v>0.41698999999999842</v>
      </c>
      <c r="M14" s="3">
        <v>0.75649999999999906</v>
      </c>
      <c r="N14" s="3">
        <v>0.33951000000000064</v>
      </c>
      <c r="O14" s="13">
        <v>2.2036050555273095</v>
      </c>
      <c r="P14" s="13">
        <v>-0.48474583977425673</v>
      </c>
      <c r="Q14" s="3">
        <v>3.4161113444507643</v>
      </c>
      <c r="R14" s="3">
        <v>24202.310999999998</v>
      </c>
    </row>
    <row r="15" spans="1:29" x14ac:dyDescent="0.25">
      <c r="A15" s="3">
        <v>1.2376623378635799E+18</v>
      </c>
      <c r="B15" s="3">
        <v>235.88793999999999</v>
      </c>
      <c r="C15" s="3">
        <v>35.759864999999998</v>
      </c>
      <c r="D15" s="3">
        <v>6.9166039999999998E-2</v>
      </c>
      <c r="E15" s="3">
        <v>1.9090199999999982</v>
      </c>
      <c r="F15" s="3">
        <v>2.7794199999999982</v>
      </c>
      <c r="G15" s="3">
        <v>3.1769099999999995</v>
      </c>
      <c r="H15" s="3">
        <v>3.4670599999999983</v>
      </c>
      <c r="I15" s="3">
        <v>0.87040000000000006</v>
      </c>
      <c r="J15" s="3">
        <v>1.2678900000000013</v>
      </c>
      <c r="K15" s="3">
        <v>1.5580400000000001</v>
      </c>
      <c r="L15" s="3">
        <v>0.39749000000000123</v>
      </c>
      <c r="M15" s="3">
        <v>0.68764000000000003</v>
      </c>
      <c r="N15" s="3">
        <v>0.2901499999999988</v>
      </c>
      <c r="O15" s="13">
        <v>2.6683305968793021</v>
      </c>
      <c r="P15" s="13">
        <v>-0.48401801777704034</v>
      </c>
      <c r="Q15" s="3">
        <v>2.4508866402239757</v>
      </c>
      <c r="R15" s="3">
        <v>20749.811999999998</v>
      </c>
    </row>
    <row r="16" spans="1:29" x14ac:dyDescent="0.25">
      <c r="A16" s="3">
        <v>1.2376625032190999E+18</v>
      </c>
      <c r="B16" s="3">
        <v>236.73812000000001</v>
      </c>
      <c r="C16" s="3">
        <v>35.655124999999998</v>
      </c>
      <c r="D16" s="3">
        <v>7.9570520000000006E-2</v>
      </c>
      <c r="E16" s="3">
        <v>1.9329000000000001</v>
      </c>
      <c r="F16" s="3">
        <v>2.8248299999999986</v>
      </c>
      <c r="G16" s="3">
        <v>3.2573800000000013</v>
      </c>
      <c r="H16" s="3">
        <v>3.6179400000000008</v>
      </c>
      <c r="I16" s="3">
        <v>0.89192999999999856</v>
      </c>
      <c r="J16" s="3">
        <v>1.3244800000000012</v>
      </c>
      <c r="K16" s="3">
        <v>1.6850400000000008</v>
      </c>
      <c r="L16" s="3">
        <v>0.43255000000000265</v>
      </c>
      <c r="M16" s="3">
        <v>0.7931100000000022</v>
      </c>
      <c r="N16" s="3">
        <v>0.36055999999999955</v>
      </c>
      <c r="O16" s="13">
        <v>2.1261955266859109</v>
      </c>
      <c r="P16" s="13">
        <v>-0.48355280840293274</v>
      </c>
      <c r="Q16" s="3">
        <v>3.2622503573767587</v>
      </c>
      <c r="R16" s="3">
        <v>23871.156000000003</v>
      </c>
    </row>
    <row r="17" spans="1:18" x14ac:dyDescent="0.25">
      <c r="A17" s="3">
        <v>1.2376625032189E+18</v>
      </c>
      <c r="B17" s="3">
        <v>236.36476999999999</v>
      </c>
      <c r="C17" s="3">
        <v>36.013185</v>
      </c>
      <c r="D17" s="3">
        <v>6.6954180000000002E-2</v>
      </c>
      <c r="E17" s="3">
        <v>1.9879899999999999</v>
      </c>
      <c r="F17" s="3">
        <v>2.9320899999999988</v>
      </c>
      <c r="G17" s="3">
        <v>3.3717400000000008</v>
      </c>
      <c r="H17" s="3">
        <v>3.7352000000000007</v>
      </c>
      <c r="I17" s="3">
        <v>0.94409999999999883</v>
      </c>
      <c r="J17" s="3">
        <v>1.3837500000000009</v>
      </c>
      <c r="K17" s="3">
        <v>1.7472100000000008</v>
      </c>
      <c r="L17" s="3">
        <v>0.43965000000000209</v>
      </c>
      <c r="M17" s="3">
        <v>0.80311000000000199</v>
      </c>
      <c r="N17" s="3">
        <v>0.36345999999999989</v>
      </c>
      <c r="O17" s="13">
        <v>2.0051698550465407</v>
      </c>
      <c r="P17" s="13">
        <v>-0.48225292735446212</v>
      </c>
      <c r="Q17" s="3">
        <v>0.73380658689833778</v>
      </c>
      <c r="R17" s="3">
        <v>20086.254000000001</v>
      </c>
    </row>
    <row r="18" spans="1:18" x14ac:dyDescent="0.25">
      <c r="A18" s="3">
        <v>1.2376625032189701E+18</v>
      </c>
      <c r="B18" s="3">
        <v>236.47274999999999</v>
      </c>
      <c r="C18" s="3">
        <v>35.867583000000003</v>
      </c>
      <c r="D18" s="3">
        <v>6.9827539999999994E-2</v>
      </c>
      <c r="E18" s="3">
        <v>1.9350500000000004</v>
      </c>
      <c r="F18" s="3">
        <v>2.8243800000000014</v>
      </c>
      <c r="G18" s="3">
        <v>3.2430900000000022</v>
      </c>
      <c r="H18" s="3">
        <v>3.5643600000000024</v>
      </c>
      <c r="I18" s="3">
        <v>0.88933000000000106</v>
      </c>
      <c r="J18" s="3">
        <v>1.3080400000000019</v>
      </c>
      <c r="K18" s="3">
        <v>1.629310000000002</v>
      </c>
      <c r="L18" s="3">
        <v>0.4187100000000008</v>
      </c>
      <c r="M18" s="3">
        <v>0.73998000000000097</v>
      </c>
      <c r="N18" s="3">
        <v>0.32127000000000017</v>
      </c>
      <c r="O18" s="13">
        <v>2.3332563017116192</v>
      </c>
      <c r="P18" s="13">
        <v>-0.47709108334815636</v>
      </c>
      <c r="Q18" s="3">
        <v>1.6383709336377279</v>
      </c>
      <c r="R18" s="3">
        <v>20948.261999999999</v>
      </c>
    </row>
    <row r="19" spans="1:18" x14ac:dyDescent="0.25">
      <c r="A19" s="3">
        <v>1.2376625037558999E+18</v>
      </c>
      <c r="B19" s="3">
        <v>236.80717999999999</v>
      </c>
      <c r="C19" s="3">
        <v>36.161382000000003</v>
      </c>
      <c r="D19" s="3">
        <v>6.8195469999999994E-2</v>
      </c>
      <c r="E19" s="3">
        <v>1.9433100000000003</v>
      </c>
      <c r="F19" s="3">
        <v>2.7389499999999991</v>
      </c>
      <c r="G19" s="3">
        <v>3.0961700000000008</v>
      </c>
      <c r="H19" s="3">
        <v>3.3600399999999979</v>
      </c>
      <c r="I19" s="3">
        <v>0.79563999999999879</v>
      </c>
      <c r="J19" s="3">
        <v>1.1528600000000004</v>
      </c>
      <c r="K19" s="3">
        <v>1.4167299999999976</v>
      </c>
      <c r="L19" s="3">
        <v>0.35722000000000165</v>
      </c>
      <c r="M19" s="3">
        <v>0.62108999999999881</v>
      </c>
      <c r="N19" s="3">
        <v>0.26386999999999716</v>
      </c>
      <c r="O19" s="13">
        <v>2.7948532211070818</v>
      </c>
      <c r="P19" s="13">
        <v>-0.46759060705650829</v>
      </c>
      <c r="Q19" s="3">
        <v>2.4619321178881228</v>
      </c>
      <c r="R19" s="3">
        <v>20458.641</v>
      </c>
    </row>
    <row r="20" spans="1:18" x14ac:dyDescent="0.25">
      <c r="A20" s="3">
        <v>1.23766250321903E+18</v>
      </c>
      <c r="B20" s="3">
        <v>236.63884999999999</v>
      </c>
      <c r="C20" s="3">
        <v>35.784723999999997</v>
      </c>
      <c r="D20" s="3">
        <v>6.5432879999999999E-2</v>
      </c>
      <c r="E20" s="3">
        <v>1.8967999999999989</v>
      </c>
      <c r="F20" s="3">
        <v>2.7572599999999987</v>
      </c>
      <c r="G20" s="3">
        <v>3.1620599999999985</v>
      </c>
      <c r="H20" s="3">
        <v>3.4725699999999993</v>
      </c>
      <c r="I20" s="3">
        <v>0.86045999999999978</v>
      </c>
      <c r="J20" s="3">
        <v>1.2652599999999996</v>
      </c>
      <c r="K20" s="3">
        <v>1.5757700000000003</v>
      </c>
      <c r="L20" s="3">
        <v>0.40479999999999983</v>
      </c>
      <c r="M20" s="3">
        <v>0.71531000000000056</v>
      </c>
      <c r="N20" s="3">
        <v>0.31051000000000073</v>
      </c>
      <c r="O20" s="13">
        <v>2.4751515640258184</v>
      </c>
      <c r="P20" s="13">
        <v>-0.45579974805979923</v>
      </c>
      <c r="Q20" s="3">
        <v>2.4529736856273168</v>
      </c>
      <c r="R20" s="3">
        <v>19629.864000000001</v>
      </c>
    </row>
    <row r="21" spans="1:18" x14ac:dyDescent="0.25">
      <c r="A21" s="3">
        <v>1.2376625032189E+18</v>
      </c>
      <c r="B21" s="3">
        <v>236.34595999999999</v>
      </c>
      <c r="C21" s="3">
        <v>36.106417999999998</v>
      </c>
      <c r="D21" s="3">
        <v>6.8745210000000001E-2</v>
      </c>
      <c r="E21" s="3">
        <v>1.9429799999999986</v>
      </c>
      <c r="F21" s="3">
        <v>2.8477899999999998</v>
      </c>
      <c r="G21" s="3">
        <v>3.2625100000000007</v>
      </c>
      <c r="H21" s="3">
        <v>3.5661400000000008</v>
      </c>
      <c r="I21" s="3">
        <v>0.90481000000000122</v>
      </c>
      <c r="J21" s="3">
        <v>1.3195300000000021</v>
      </c>
      <c r="K21" s="3">
        <v>1.6231600000000022</v>
      </c>
      <c r="L21" s="3">
        <v>0.41472000000000087</v>
      </c>
      <c r="M21" s="3">
        <v>0.71835000000000093</v>
      </c>
      <c r="N21" s="3">
        <v>0.30363000000000007</v>
      </c>
      <c r="O21" s="13">
        <v>2.3647163778553844</v>
      </c>
      <c r="P21" s="13">
        <v>-0.449229862149638</v>
      </c>
      <c r="Q21" s="3">
        <v>0.43620623965546879</v>
      </c>
      <c r="R21" s="3">
        <v>20623.563000000002</v>
      </c>
    </row>
    <row r="22" spans="1:18" x14ac:dyDescent="0.25">
      <c r="A22" s="3">
        <v>1.2376625032189701E+18</v>
      </c>
      <c r="B22" s="3">
        <v>236.43817000000001</v>
      </c>
      <c r="C22" s="3">
        <v>35.865676000000001</v>
      </c>
      <c r="D22" s="3">
        <v>6.6037529999999997E-2</v>
      </c>
      <c r="E22" s="3">
        <v>1.9364699999999999</v>
      </c>
      <c r="F22" s="3">
        <v>2.8178699999999992</v>
      </c>
      <c r="G22" s="3">
        <v>3.2472699999999985</v>
      </c>
      <c r="H22" s="3">
        <v>3.5849499999999992</v>
      </c>
      <c r="I22" s="3">
        <v>0.8813999999999993</v>
      </c>
      <c r="J22" s="3">
        <v>1.3107999999999986</v>
      </c>
      <c r="K22" s="3">
        <v>1.6484799999999993</v>
      </c>
      <c r="L22" s="3">
        <v>0.42939999999999934</v>
      </c>
      <c r="M22" s="3">
        <v>0.76707999999999998</v>
      </c>
      <c r="N22" s="3">
        <v>0.33768000000000065</v>
      </c>
      <c r="O22" s="13">
        <v>2.2798967762838962</v>
      </c>
      <c r="P22" s="13">
        <v>-0.44739252621101139</v>
      </c>
      <c r="Q22" s="3">
        <v>1.5604547415987065</v>
      </c>
      <c r="R22" s="3">
        <v>19811.258999999998</v>
      </c>
    </row>
    <row r="23" spans="1:18" x14ac:dyDescent="0.25">
      <c r="A23" s="3">
        <v>1.2376625032188301E+18</v>
      </c>
      <c r="B23" s="3">
        <v>236.10839000000001</v>
      </c>
      <c r="C23" s="3">
        <v>36.062103999999998</v>
      </c>
      <c r="D23" s="3">
        <v>6.4395629999999995E-2</v>
      </c>
      <c r="E23" s="3">
        <v>1.93309</v>
      </c>
      <c r="F23" s="3">
        <v>2.812660000000001</v>
      </c>
      <c r="G23" s="3">
        <v>3.2054500000000026</v>
      </c>
      <c r="H23" s="3">
        <v>3.503580000000003</v>
      </c>
      <c r="I23" s="3">
        <v>0.87957000000000107</v>
      </c>
      <c r="J23" s="3">
        <v>1.2723600000000026</v>
      </c>
      <c r="K23" s="3">
        <v>1.5704900000000031</v>
      </c>
      <c r="L23" s="3">
        <v>0.39279000000000153</v>
      </c>
      <c r="M23" s="3">
        <v>0.69092000000000198</v>
      </c>
      <c r="N23" s="3">
        <v>0.29813000000000045</v>
      </c>
      <c r="O23" s="13">
        <v>2.5617072571391519</v>
      </c>
      <c r="P23" s="13">
        <v>-0.44290918264571782</v>
      </c>
      <c r="Q23" s="3">
        <v>0.65219400759343349</v>
      </c>
      <c r="R23" s="3">
        <v>19318.688999999998</v>
      </c>
    </row>
    <row r="24" spans="1:18" x14ac:dyDescent="0.25">
      <c r="A24" s="3">
        <v>1.2376625032187E+18</v>
      </c>
      <c r="B24" s="3">
        <v>235.8664</v>
      </c>
      <c r="C24" s="3">
        <v>36.370778000000001</v>
      </c>
      <c r="D24" s="3">
        <v>6.389388E-2</v>
      </c>
      <c r="E24" s="3">
        <v>2.009529999999998</v>
      </c>
      <c r="F24" s="3">
        <v>2.9230899999999984</v>
      </c>
      <c r="G24" s="3">
        <v>3.3683299999999985</v>
      </c>
      <c r="H24" s="3">
        <v>3.6771299999999982</v>
      </c>
      <c r="I24" s="3">
        <v>0.91356000000000037</v>
      </c>
      <c r="J24" s="3">
        <v>1.3588000000000005</v>
      </c>
      <c r="K24" s="3">
        <v>1.6676000000000002</v>
      </c>
      <c r="L24" s="3">
        <v>0.44524000000000008</v>
      </c>
      <c r="M24" s="3">
        <v>0.75403999999999982</v>
      </c>
      <c r="N24" s="3">
        <v>0.30879999999999974</v>
      </c>
      <c r="O24" s="13">
        <v>2.2688883672056397</v>
      </c>
      <c r="P24" s="13">
        <v>-0.43651925308435013</v>
      </c>
      <c r="Q24" s="3">
        <v>2.1721595906559967</v>
      </c>
      <c r="R24" s="3">
        <v>19168.164000000001</v>
      </c>
    </row>
    <row r="25" spans="1:18" x14ac:dyDescent="0.25">
      <c r="A25" s="3">
        <v>1.2376625032187E+18</v>
      </c>
      <c r="B25" s="3">
        <v>235.80547000000001</v>
      </c>
      <c r="C25" s="3">
        <v>36.275041000000002</v>
      </c>
      <c r="D25" s="3">
        <v>6.5075030000000006E-2</v>
      </c>
      <c r="E25" s="3">
        <v>1.9735700000000023</v>
      </c>
      <c r="F25" s="3">
        <v>2.8438499999999998</v>
      </c>
      <c r="G25" s="3">
        <v>3.2469600000000014</v>
      </c>
      <c r="H25" s="3">
        <v>3.5362600000000004</v>
      </c>
      <c r="I25" s="3">
        <v>0.8702799999999975</v>
      </c>
      <c r="J25" s="3">
        <v>1.2733899999999991</v>
      </c>
      <c r="K25" s="3">
        <v>1.5626899999999981</v>
      </c>
      <c r="L25" s="3">
        <v>0.40311000000000163</v>
      </c>
      <c r="M25" s="3">
        <v>0.69241000000000064</v>
      </c>
      <c r="N25" s="3">
        <v>0.289299999999999</v>
      </c>
      <c r="O25" s="13">
        <v>2.5877794490788468</v>
      </c>
      <c r="P25" s="13">
        <v>-0.42722914867626671</v>
      </c>
      <c r="Q25" s="3">
        <v>2.116403719994449</v>
      </c>
      <c r="R25" s="3">
        <v>19522.509000000002</v>
      </c>
    </row>
    <row r="26" spans="1:18" x14ac:dyDescent="0.25">
      <c r="A26" s="3">
        <v>1.23766250321903E+18</v>
      </c>
      <c r="B26" s="3">
        <v>236.65884</v>
      </c>
      <c r="C26" s="3">
        <v>35.783759000000003</v>
      </c>
      <c r="D26" s="3">
        <v>7.9188430000000004E-2</v>
      </c>
      <c r="E26" s="3">
        <v>1.89283</v>
      </c>
      <c r="F26" s="3">
        <v>2.7773800000000008</v>
      </c>
      <c r="G26" s="3">
        <v>3.18919</v>
      </c>
      <c r="H26" s="3">
        <v>3.5195000000000007</v>
      </c>
      <c r="I26" s="3">
        <v>0.88455000000000084</v>
      </c>
      <c r="J26" s="3">
        <v>1.29636</v>
      </c>
      <c r="K26" s="3">
        <v>1.6266700000000007</v>
      </c>
      <c r="L26" s="3">
        <v>0.41180999999999912</v>
      </c>
      <c r="M26" s="3">
        <v>0.74211999999999989</v>
      </c>
      <c r="N26" s="3">
        <v>0.33031000000000077</v>
      </c>
      <c r="O26" s="13">
        <v>2.3258819494204017</v>
      </c>
      <c r="P26" s="13">
        <v>-0.42649969984756964</v>
      </c>
      <c r="Q26" s="3">
        <v>2.5184981384345777</v>
      </c>
      <c r="R26" s="3">
        <v>23756.529000000002</v>
      </c>
    </row>
    <row r="27" spans="1:18" x14ac:dyDescent="0.25">
      <c r="A27" s="3">
        <v>1.2376625032188301E+18</v>
      </c>
      <c r="B27" s="3">
        <v>236.18645000000001</v>
      </c>
      <c r="C27" s="3">
        <v>36.129855999999997</v>
      </c>
      <c r="D27" s="3">
        <v>6.2794680000000005E-2</v>
      </c>
      <c r="E27" s="3">
        <v>1.97194</v>
      </c>
      <c r="F27" s="3">
        <v>2.8778699999999997</v>
      </c>
      <c r="G27" s="3">
        <v>3.305769999999999</v>
      </c>
      <c r="H27" s="3">
        <v>3.6497499999999992</v>
      </c>
      <c r="I27" s="3">
        <v>0.90592999999999968</v>
      </c>
      <c r="J27" s="3">
        <v>1.333829999999999</v>
      </c>
      <c r="K27" s="3">
        <v>1.6778099999999991</v>
      </c>
      <c r="L27" s="3">
        <v>0.42789999999999928</v>
      </c>
      <c r="M27" s="3">
        <v>0.77187999999999946</v>
      </c>
      <c r="N27" s="3">
        <v>0.34398000000000017</v>
      </c>
      <c r="O27" s="13">
        <v>2.2194442398780012</v>
      </c>
      <c r="P27" s="13">
        <v>-0.42391793151961432</v>
      </c>
      <c r="Q27" s="3">
        <v>0.28187978597371338</v>
      </c>
      <c r="R27" s="3">
        <v>18838.404000000002</v>
      </c>
    </row>
    <row r="28" spans="1:18" x14ac:dyDescent="0.25">
      <c r="A28" s="3">
        <v>1.23766250375571E+18</v>
      </c>
      <c r="B28" s="3">
        <v>236.5035</v>
      </c>
      <c r="C28" s="3">
        <v>36.567419999999998</v>
      </c>
      <c r="D28" s="3">
        <v>7.6745499999999994E-2</v>
      </c>
      <c r="E28" s="3">
        <v>1.9929099999999984</v>
      </c>
      <c r="F28" s="3">
        <v>2.9065099999999973</v>
      </c>
      <c r="G28" s="3">
        <v>3.3240099999999977</v>
      </c>
      <c r="H28" s="3">
        <v>3.6084499999999977</v>
      </c>
      <c r="I28" s="3">
        <v>0.91359999999999886</v>
      </c>
      <c r="J28" s="3">
        <v>1.3310999999999993</v>
      </c>
      <c r="K28" s="3">
        <v>1.6155399999999993</v>
      </c>
      <c r="L28" s="3">
        <v>0.41750000000000043</v>
      </c>
      <c r="M28" s="3">
        <v>0.70194000000000045</v>
      </c>
      <c r="N28" s="3">
        <v>0.28444000000000003</v>
      </c>
      <c r="O28" s="13">
        <v>2.2815816802412714</v>
      </c>
      <c r="P28" s="13">
        <v>-0.41990378433439701</v>
      </c>
      <c r="Q28" s="3">
        <v>2.713141643829712</v>
      </c>
      <c r="R28" s="3">
        <v>23023.649999999998</v>
      </c>
    </row>
    <row r="29" spans="1:18" x14ac:dyDescent="0.25">
      <c r="A29" s="3">
        <v>1.2376625032189701E+18</v>
      </c>
      <c r="B29" s="3">
        <v>236.45294999999999</v>
      </c>
      <c r="C29" s="3">
        <v>35.954416000000002</v>
      </c>
      <c r="D29" s="3">
        <v>6.5956790000000001E-2</v>
      </c>
      <c r="E29" s="3">
        <v>1.9209500000000013</v>
      </c>
      <c r="F29" s="3">
        <v>2.8317699999999988</v>
      </c>
      <c r="G29" s="3">
        <v>3.2589800000000011</v>
      </c>
      <c r="H29" s="3">
        <v>3.6038700000000006</v>
      </c>
      <c r="I29" s="3">
        <v>0.91081999999999752</v>
      </c>
      <c r="J29" s="3">
        <v>1.3380299999999998</v>
      </c>
      <c r="K29" s="3">
        <v>1.6829199999999993</v>
      </c>
      <c r="L29" s="3">
        <v>0.42721000000000231</v>
      </c>
      <c r="M29" s="3">
        <v>0.77210000000000178</v>
      </c>
      <c r="N29" s="3">
        <v>0.34488999999999947</v>
      </c>
      <c r="O29" s="13">
        <v>2.2032138171220796</v>
      </c>
      <c r="P29" s="13">
        <v>-0.40899281052803055</v>
      </c>
      <c r="Q29" s="3">
        <v>1.2312122679418309</v>
      </c>
      <c r="R29" s="3">
        <v>19787.037</v>
      </c>
    </row>
    <row r="30" spans="1:18" x14ac:dyDescent="0.25">
      <c r="A30" s="3">
        <v>1.2376625032188301E+18</v>
      </c>
      <c r="B30" s="3">
        <v>236.261</v>
      </c>
      <c r="C30" s="3">
        <v>36.156339000000003</v>
      </c>
      <c r="D30" s="3">
        <v>6.0399269999999998E-2</v>
      </c>
      <c r="E30" s="3">
        <v>1.9595899999999986</v>
      </c>
      <c r="F30" s="3">
        <v>2.8495200000000001</v>
      </c>
      <c r="G30" s="3">
        <v>3.2759700000000009</v>
      </c>
      <c r="H30" s="3">
        <v>3.6084999999999994</v>
      </c>
      <c r="I30" s="3">
        <v>0.88993000000000144</v>
      </c>
      <c r="J30" s="3">
        <v>1.3163800000000023</v>
      </c>
      <c r="K30" s="3">
        <v>1.6489100000000008</v>
      </c>
      <c r="L30" s="3">
        <v>0.42645000000000088</v>
      </c>
      <c r="M30" s="3">
        <v>0.75897999999999932</v>
      </c>
      <c r="N30" s="3">
        <v>0.33252999999999844</v>
      </c>
      <c r="O30" s="13">
        <v>2.2866507345160723</v>
      </c>
      <c r="P30" s="13">
        <v>-0.40687430484357295</v>
      </c>
      <c r="Q30" s="3">
        <v>0.26131339745760657</v>
      </c>
      <c r="R30" s="3">
        <v>18119.780999999999</v>
      </c>
    </row>
    <row r="31" spans="1:18" x14ac:dyDescent="0.25">
      <c r="A31" s="3">
        <v>1.2376625032188301E+18</v>
      </c>
      <c r="B31" s="3">
        <v>236.20070000000001</v>
      </c>
      <c r="C31" s="3">
        <v>36.100549000000001</v>
      </c>
      <c r="D31" s="3">
        <v>6.9494669999999995E-2</v>
      </c>
      <c r="E31" s="3">
        <v>1.9367800000000024</v>
      </c>
      <c r="F31" s="3">
        <v>2.839739999999999</v>
      </c>
      <c r="G31" s="3">
        <v>3.282980000000002</v>
      </c>
      <c r="H31" s="3">
        <v>3.5942500000000024</v>
      </c>
      <c r="I31" s="3">
        <v>0.90295999999999665</v>
      </c>
      <c r="J31" s="3">
        <v>1.3461999999999996</v>
      </c>
      <c r="K31" s="3">
        <v>1.65747</v>
      </c>
      <c r="L31" s="3">
        <v>0.44324000000000296</v>
      </c>
      <c r="M31" s="3">
        <v>0.75451000000000334</v>
      </c>
      <c r="N31" s="3">
        <v>0.31127000000000038</v>
      </c>
      <c r="O31" s="13">
        <v>2.2915942037883914</v>
      </c>
      <c r="P31" s="13">
        <v>-0.40536028854461503</v>
      </c>
      <c r="Q31" s="3">
        <v>0.20319326236465482</v>
      </c>
      <c r="R31" s="3">
        <v>20848.400999999998</v>
      </c>
    </row>
    <row r="32" spans="1:18" x14ac:dyDescent="0.25">
      <c r="A32" s="3">
        <v>1.2376625032189701E+18</v>
      </c>
      <c r="B32" s="3">
        <v>236.40135000000001</v>
      </c>
      <c r="C32" s="3">
        <v>35.955989000000002</v>
      </c>
      <c r="D32" s="3">
        <v>7.8679209999999999E-2</v>
      </c>
      <c r="E32" s="3">
        <v>1.91648</v>
      </c>
      <c r="F32" s="3">
        <v>2.85595</v>
      </c>
      <c r="G32" s="3">
        <v>3.2884199999999986</v>
      </c>
      <c r="H32" s="3">
        <v>3.6365399999999983</v>
      </c>
      <c r="I32" s="3">
        <v>0.93947000000000003</v>
      </c>
      <c r="J32" s="3">
        <v>1.3719399999999986</v>
      </c>
      <c r="K32" s="3">
        <v>1.7200599999999984</v>
      </c>
      <c r="L32" s="3">
        <v>0.43246999999999858</v>
      </c>
      <c r="M32" s="3">
        <v>0.78058999999999834</v>
      </c>
      <c r="N32" s="3">
        <v>0.34811999999999976</v>
      </c>
      <c r="O32" s="13">
        <v>2.1136739664493005</v>
      </c>
      <c r="P32" s="13">
        <v>-0.4018743256020782</v>
      </c>
      <c r="Q32" s="3">
        <v>1.0703534660276919</v>
      </c>
      <c r="R32" s="3">
        <v>23603.762999999999</v>
      </c>
    </row>
    <row r="33" spans="1:18" x14ac:dyDescent="0.25">
      <c r="A33" s="3">
        <v>1.2376625032187699E+18</v>
      </c>
      <c r="B33" s="3">
        <v>236.01967999999999</v>
      </c>
      <c r="C33" s="3">
        <v>36.125104999999998</v>
      </c>
      <c r="D33" s="3">
        <v>6.5348059999999999E-2</v>
      </c>
      <c r="E33" s="3">
        <v>1.9589399999999983</v>
      </c>
      <c r="F33" s="3">
        <v>2.8948599999999978</v>
      </c>
      <c r="G33" s="3">
        <v>3.3355999999999995</v>
      </c>
      <c r="H33" s="3">
        <v>3.6846099999999993</v>
      </c>
      <c r="I33" s="3">
        <v>0.93591999999999942</v>
      </c>
      <c r="J33" s="3">
        <v>1.3766600000000011</v>
      </c>
      <c r="K33" s="3">
        <v>1.7256700000000009</v>
      </c>
      <c r="L33" s="3">
        <v>0.44074000000000169</v>
      </c>
      <c r="M33" s="3">
        <v>0.78975000000000151</v>
      </c>
      <c r="N33" s="3">
        <v>0.34900999999999982</v>
      </c>
      <c r="O33" s="13">
        <v>2.1401230080834477</v>
      </c>
      <c r="P33" s="13">
        <v>-0.40155631459317953</v>
      </c>
      <c r="Q33" s="3">
        <v>0.99012406777551543</v>
      </c>
      <c r="R33" s="3">
        <v>19604.418000000001</v>
      </c>
    </row>
    <row r="34" spans="1:18" x14ac:dyDescent="0.25">
      <c r="A34" s="3">
        <v>1.2376625032188301E+18</v>
      </c>
      <c r="B34" s="3">
        <v>236.23274000000001</v>
      </c>
      <c r="C34" s="3">
        <v>36.138508000000002</v>
      </c>
      <c r="D34" s="3">
        <v>6.3713649999999997E-2</v>
      </c>
      <c r="E34" s="3">
        <v>1.9234699999999982</v>
      </c>
      <c r="F34" s="3">
        <v>2.7790199999999992</v>
      </c>
      <c r="G34" s="3">
        <v>3.1644199999999998</v>
      </c>
      <c r="H34" s="3">
        <v>3.4677199999999981</v>
      </c>
      <c r="I34" s="3">
        <v>0.85555000000000092</v>
      </c>
      <c r="J34" s="3">
        <v>1.2409500000000016</v>
      </c>
      <c r="K34" s="3">
        <v>1.5442499999999999</v>
      </c>
      <c r="L34" s="3">
        <v>0.38540000000000063</v>
      </c>
      <c r="M34" s="3">
        <v>0.68869999999999898</v>
      </c>
      <c r="N34" s="3">
        <v>0.30329999999999835</v>
      </c>
      <c r="O34" s="13">
        <v>2.5968655320135676</v>
      </c>
      <c r="P34" s="13">
        <v>-0.39216378504994837</v>
      </c>
      <c r="Q34" s="3">
        <v>0.16704270716479927</v>
      </c>
      <c r="R34" s="3">
        <v>19114.094999999998</v>
      </c>
    </row>
    <row r="35" spans="1:18" x14ac:dyDescent="0.25">
      <c r="A35" s="3">
        <v>1.2376624736910001E+18</v>
      </c>
      <c r="B35" s="3">
        <v>236.43274</v>
      </c>
      <c r="C35" s="3">
        <v>36.196925999999998</v>
      </c>
      <c r="D35" s="3">
        <v>7.8127470000000004E-2</v>
      </c>
      <c r="E35" s="3">
        <v>1.9456500000000005</v>
      </c>
      <c r="F35" s="3">
        <v>2.8880900000000018</v>
      </c>
      <c r="G35" s="3">
        <v>3.3123300000000011</v>
      </c>
      <c r="H35" s="3">
        <v>3.6543400000000013</v>
      </c>
      <c r="I35" s="3">
        <v>0.94244000000000128</v>
      </c>
      <c r="J35" s="3">
        <v>1.3666800000000006</v>
      </c>
      <c r="K35" s="3">
        <v>1.7086900000000007</v>
      </c>
      <c r="L35" s="3">
        <v>0.42423999999999928</v>
      </c>
      <c r="M35" s="3">
        <v>0.76624999999999943</v>
      </c>
      <c r="N35" s="3">
        <v>0.34201000000000015</v>
      </c>
      <c r="O35" s="13">
        <v>2.1048290851614464</v>
      </c>
      <c r="P35" s="13">
        <v>-0.39214842495342705</v>
      </c>
      <c r="Q35" s="3">
        <v>0.94075725577220204</v>
      </c>
      <c r="R35" s="3">
        <v>23438.241000000002</v>
      </c>
    </row>
    <row r="36" spans="1:18" x14ac:dyDescent="0.25">
      <c r="A36" s="3">
        <v>1.2376625032188301E+18</v>
      </c>
      <c r="B36" s="3">
        <v>236.21960000000001</v>
      </c>
      <c r="C36" s="3">
        <v>36.069102999999998</v>
      </c>
      <c r="D36" s="3">
        <v>7.0070649999999998E-2</v>
      </c>
      <c r="E36" s="3">
        <v>1.9077300000000008</v>
      </c>
      <c r="F36" s="3">
        <v>2.7561300000000024</v>
      </c>
      <c r="G36" s="3">
        <v>3.1597200000000001</v>
      </c>
      <c r="H36" s="3">
        <v>3.4456799999999994</v>
      </c>
      <c r="I36" s="3">
        <v>0.8484000000000016</v>
      </c>
      <c r="J36" s="3">
        <v>1.2519899999999993</v>
      </c>
      <c r="K36" s="3">
        <v>1.5379499999999986</v>
      </c>
      <c r="L36" s="3">
        <v>0.40358999999999767</v>
      </c>
      <c r="M36" s="3">
        <v>0.689549999999997</v>
      </c>
      <c r="N36" s="3">
        <v>0.28595999999999933</v>
      </c>
      <c r="O36" s="13">
        <v>2.6195785363533024</v>
      </c>
      <c r="P36" s="13">
        <v>-0.39011552040903563</v>
      </c>
      <c r="Q36" s="3">
        <v>0.24630149448995659</v>
      </c>
      <c r="R36" s="3">
        <v>21021.195</v>
      </c>
    </row>
    <row r="37" spans="1:18" x14ac:dyDescent="0.25">
      <c r="A37" s="3">
        <v>1.2376614659861299E+18</v>
      </c>
      <c r="B37" s="3">
        <v>235.9846</v>
      </c>
      <c r="C37" s="3">
        <v>35.897812000000002</v>
      </c>
      <c r="D37" s="3">
        <v>6.6573939999999998E-2</v>
      </c>
      <c r="E37" s="3">
        <v>1.8771599999999999</v>
      </c>
      <c r="F37" s="3">
        <v>2.7173900000000017</v>
      </c>
      <c r="G37" s="3">
        <v>3.1031900000000014</v>
      </c>
      <c r="H37" s="3">
        <v>3.3945299999999996</v>
      </c>
      <c r="I37" s="3">
        <v>0.84023000000000181</v>
      </c>
      <c r="J37" s="3">
        <v>1.2260300000000015</v>
      </c>
      <c r="K37" s="3">
        <v>1.5173699999999997</v>
      </c>
      <c r="L37" s="3">
        <v>0.3857999999999997</v>
      </c>
      <c r="M37" s="3">
        <v>0.67713999999999785</v>
      </c>
      <c r="N37" s="3">
        <v>0.29133999999999816</v>
      </c>
      <c r="O37" s="13">
        <v>2.7589272945324352</v>
      </c>
      <c r="P37" s="13">
        <v>-0.38374829955667022</v>
      </c>
      <c r="Q37" s="3">
        <v>1.6145050256873967</v>
      </c>
      <c r="R37" s="3">
        <v>19972.182000000001</v>
      </c>
    </row>
    <row r="38" spans="1:18" x14ac:dyDescent="0.25">
      <c r="A38" s="3">
        <v>1.2376625037556401E+18</v>
      </c>
      <c r="B38" s="3">
        <v>236.34941000000001</v>
      </c>
      <c r="C38" s="3">
        <v>36.446942999999997</v>
      </c>
      <c r="D38" s="3">
        <v>7.7082109999999995E-2</v>
      </c>
      <c r="E38" s="3">
        <v>1.9877000000000002</v>
      </c>
      <c r="F38" s="3">
        <v>2.8009000000000022</v>
      </c>
      <c r="G38" s="3">
        <v>3.1931700000000021</v>
      </c>
      <c r="H38" s="3">
        <v>3.4911800000000017</v>
      </c>
      <c r="I38" s="3">
        <v>0.81320000000000192</v>
      </c>
      <c r="J38" s="3">
        <v>1.2054700000000018</v>
      </c>
      <c r="K38" s="3">
        <v>1.5034800000000015</v>
      </c>
      <c r="L38" s="3">
        <v>0.3922699999999999</v>
      </c>
      <c r="M38" s="3">
        <v>0.69027999999999956</v>
      </c>
      <c r="N38" s="3">
        <v>0.29800999999999966</v>
      </c>
      <c r="O38" s="13">
        <v>2.5726607146769114</v>
      </c>
      <c r="P38" s="13">
        <v>-0.36935149095757219</v>
      </c>
      <c r="Q38" s="3">
        <v>1.8759963119869909</v>
      </c>
      <c r="R38" s="3">
        <v>23124.632999999998</v>
      </c>
    </row>
    <row r="39" spans="1:18" x14ac:dyDescent="0.25">
      <c r="A39" s="3">
        <v>1.2376625032189E+18</v>
      </c>
      <c r="B39" s="3">
        <v>236.25632999999999</v>
      </c>
      <c r="C39" s="3">
        <v>35.971592999999999</v>
      </c>
      <c r="D39" s="3">
        <v>7.3039900000000005E-2</v>
      </c>
      <c r="E39" s="3">
        <v>1.8752199999999988</v>
      </c>
      <c r="F39" s="3">
        <v>2.7383799999999994</v>
      </c>
      <c r="G39" s="3">
        <v>3.1311399999999985</v>
      </c>
      <c r="H39" s="3">
        <v>3.4303999999999988</v>
      </c>
      <c r="I39" s="3">
        <v>0.86316000000000059</v>
      </c>
      <c r="J39" s="3">
        <v>1.2559199999999997</v>
      </c>
      <c r="K39" s="3">
        <v>1.55518</v>
      </c>
      <c r="L39" s="3">
        <v>0.39275999999999911</v>
      </c>
      <c r="M39" s="3">
        <v>0.69201999999999941</v>
      </c>
      <c r="N39" s="3">
        <v>0.2992600000000003</v>
      </c>
      <c r="O39" s="13">
        <v>2.601115235345167</v>
      </c>
      <c r="P39" s="13">
        <v>-0.36695572164421242</v>
      </c>
      <c r="Q39" s="3">
        <v>0.74536422000131974</v>
      </c>
      <c r="R39" s="3">
        <v>21911.97</v>
      </c>
    </row>
    <row r="40" spans="1:18" x14ac:dyDescent="0.25">
      <c r="A40" s="3">
        <v>1.2376625032188301E+18</v>
      </c>
      <c r="B40" s="3">
        <v>236.08357000000001</v>
      </c>
      <c r="C40" s="3">
        <v>36.118487999999999</v>
      </c>
      <c r="D40" s="3">
        <v>6.7073629999999995E-2</v>
      </c>
      <c r="E40" s="3">
        <v>1.8969799999999992</v>
      </c>
      <c r="F40" s="3">
        <v>2.7920300000000005</v>
      </c>
      <c r="G40" s="3">
        <v>3.2015000000000011</v>
      </c>
      <c r="H40" s="3">
        <v>3.5157300000000014</v>
      </c>
      <c r="I40" s="3">
        <v>0.89505000000000123</v>
      </c>
      <c r="J40" s="3">
        <v>1.3045200000000019</v>
      </c>
      <c r="K40" s="3">
        <v>1.6187500000000021</v>
      </c>
      <c r="L40" s="3">
        <v>0.40947000000000067</v>
      </c>
      <c r="M40" s="3">
        <v>0.7237000000000009</v>
      </c>
      <c r="N40" s="3">
        <v>0.31423000000000023</v>
      </c>
      <c r="O40" s="13">
        <v>2.4522280139287012</v>
      </c>
      <c r="P40" s="13">
        <v>-0.34527147801880631</v>
      </c>
      <c r="Q40" s="3">
        <v>0.70970282895518888</v>
      </c>
      <c r="R40" s="3">
        <v>20122.089</v>
      </c>
    </row>
    <row r="41" spans="1:18" x14ac:dyDescent="0.25">
      <c r="A41" s="3">
        <v>1.2376624736909299E+18</v>
      </c>
      <c r="B41" s="3">
        <v>236.32599999999999</v>
      </c>
      <c r="C41" s="3">
        <v>36.213644000000002</v>
      </c>
      <c r="D41" s="3">
        <v>6.7534540000000004E-2</v>
      </c>
      <c r="E41" s="3">
        <v>1.9074799999999996</v>
      </c>
      <c r="F41" s="3">
        <v>2.7887000000000022</v>
      </c>
      <c r="G41" s="3">
        <v>3.2061600000000006</v>
      </c>
      <c r="H41" s="3">
        <v>3.5120100000000001</v>
      </c>
      <c r="I41" s="3">
        <v>0.88122000000000256</v>
      </c>
      <c r="J41" s="3">
        <v>1.2986800000000009</v>
      </c>
      <c r="K41" s="3">
        <v>1.6045300000000005</v>
      </c>
      <c r="L41" s="3">
        <v>0.41745999999999839</v>
      </c>
      <c r="M41" s="3">
        <v>0.7233099999999979</v>
      </c>
      <c r="N41" s="3">
        <v>0.30584999999999951</v>
      </c>
      <c r="O41" s="13">
        <v>2.4203967620226825</v>
      </c>
      <c r="P41" s="13">
        <v>-0.34054108055450949</v>
      </c>
      <c r="Q41" s="3">
        <v>0.66154725601913977</v>
      </c>
      <c r="R41" s="3">
        <v>20260.362000000001</v>
      </c>
    </row>
    <row r="42" spans="1:18" x14ac:dyDescent="0.25">
      <c r="A42" s="3">
        <v>1.2376625032188301E+18</v>
      </c>
      <c r="B42" s="3">
        <v>236.22997000000001</v>
      </c>
      <c r="C42" s="3">
        <v>36.067765000000001</v>
      </c>
      <c r="D42" s="3">
        <v>6.1005700000000003E-2</v>
      </c>
      <c r="E42" s="3">
        <v>1.8941200000000009</v>
      </c>
      <c r="F42" s="3">
        <v>2.8054799999999993</v>
      </c>
      <c r="G42" s="3">
        <v>3.2270699999999994</v>
      </c>
      <c r="H42" s="3">
        <v>3.5662599999999998</v>
      </c>
      <c r="I42" s="3">
        <v>0.91135999999999839</v>
      </c>
      <c r="J42" s="3">
        <v>1.3329499999999985</v>
      </c>
      <c r="K42" s="3">
        <v>1.6721399999999988</v>
      </c>
      <c r="L42" s="3">
        <v>0.42159000000000013</v>
      </c>
      <c r="M42" s="3">
        <v>0.76078000000000046</v>
      </c>
      <c r="N42" s="3">
        <v>0.33919000000000032</v>
      </c>
      <c r="O42" s="13">
        <v>2.2933588079738962</v>
      </c>
      <c r="P42" s="13">
        <v>-0.33777946619139448</v>
      </c>
      <c r="Q42" s="3">
        <v>0.23558856001464887</v>
      </c>
      <c r="R42" s="3">
        <v>18301.71</v>
      </c>
    </row>
    <row r="43" spans="1:18" x14ac:dyDescent="0.25">
      <c r="A43" s="3">
        <v>1.2376625032188301E+18</v>
      </c>
      <c r="B43" s="3">
        <v>236.22997000000001</v>
      </c>
      <c r="C43" s="3">
        <v>36.067765000000001</v>
      </c>
      <c r="D43" s="3">
        <v>6.1044439999999998E-2</v>
      </c>
      <c r="E43" s="3">
        <v>1.8941200000000009</v>
      </c>
      <c r="F43" s="3">
        <v>2.8054799999999993</v>
      </c>
      <c r="G43" s="3">
        <v>3.2270699999999994</v>
      </c>
      <c r="H43" s="3">
        <v>3.5662599999999998</v>
      </c>
      <c r="I43" s="3">
        <v>0.91135999999999839</v>
      </c>
      <c r="J43" s="3">
        <v>1.3329499999999985</v>
      </c>
      <c r="K43" s="3">
        <v>1.6721399999999988</v>
      </c>
      <c r="L43" s="3">
        <v>0.42159000000000013</v>
      </c>
      <c r="M43" s="3">
        <v>0.76078000000000046</v>
      </c>
      <c r="N43" s="3">
        <v>0.33919000000000032</v>
      </c>
      <c r="O43" s="13">
        <v>2.2933095417725475</v>
      </c>
      <c r="P43" s="13">
        <v>-0.3377507777167903</v>
      </c>
      <c r="Q43" s="3">
        <v>0.23558856001464887</v>
      </c>
      <c r="R43" s="3">
        <v>18313.331999999999</v>
      </c>
    </row>
    <row r="44" spans="1:18" x14ac:dyDescent="0.25">
      <c r="A44" s="3">
        <v>1.2376625032188301E+18</v>
      </c>
      <c r="B44" s="3">
        <v>236.09188</v>
      </c>
      <c r="C44" s="3">
        <v>36.105321000000004</v>
      </c>
      <c r="D44" s="3">
        <v>6.3836710000000005E-2</v>
      </c>
      <c r="E44" s="3">
        <v>1.899280000000001</v>
      </c>
      <c r="F44" s="3">
        <v>2.81325</v>
      </c>
      <c r="G44" s="3">
        <v>3.2392199999999995</v>
      </c>
      <c r="H44" s="3">
        <v>3.5721399999999992</v>
      </c>
      <c r="I44" s="3">
        <v>0.91396999999999906</v>
      </c>
      <c r="J44" s="3">
        <v>1.3399399999999986</v>
      </c>
      <c r="K44" s="3">
        <v>1.6728599999999982</v>
      </c>
      <c r="L44" s="3">
        <v>0.42596999999999952</v>
      </c>
      <c r="M44" s="3">
        <v>0.75888999999999918</v>
      </c>
      <c r="N44" s="3">
        <v>0.33291999999999966</v>
      </c>
      <c r="O44" s="13">
        <v>2.3092204891801731</v>
      </c>
      <c r="P44" s="13">
        <v>-0.33368336180664088</v>
      </c>
      <c r="Q44" s="3">
        <v>0.67222844758922207</v>
      </c>
      <c r="R44" s="3">
        <v>19151.013000000003</v>
      </c>
    </row>
    <row r="45" spans="1:18" x14ac:dyDescent="0.25">
      <c r="A45" s="3">
        <v>1.23766250321903E+18</v>
      </c>
      <c r="B45" s="3">
        <v>236.59724</v>
      </c>
      <c r="C45" s="3">
        <v>35.946224000000001</v>
      </c>
      <c r="D45" s="3">
        <v>6.7003170000000001E-2</v>
      </c>
      <c r="E45" s="3">
        <v>1.8468900000000019</v>
      </c>
      <c r="F45" s="3">
        <v>2.6915700000000022</v>
      </c>
      <c r="G45" s="3">
        <v>3.0783799999999992</v>
      </c>
      <c r="H45" s="3">
        <v>3.3844700000000003</v>
      </c>
      <c r="I45" s="3">
        <v>0.84468000000000032</v>
      </c>
      <c r="J45" s="3">
        <v>1.2314899999999973</v>
      </c>
      <c r="K45" s="3">
        <v>1.5375799999999984</v>
      </c>
      <c r="L45" s="3">
        <v>0.38680999999999699</v>
      </c>
      <c r="M45" s="3">
        <v>0.69289999999999807</v>
      </c>
      <c r="N45" s="3">
        <v>0.30609000000000108</v>
      </c>
      <c r="O45" s="13">
        <v>2.6021790496031589</v>
      </c>
      <c r="P45" s="13">
        <v>-0.33194848226247059</v>
      </c>
      <c r="Q45" s="3">
        <v>1.768084354335518</v>
      </c>
      <c r="R45" s="3">
        <v>20100.951000000001</v>
      </c>
    </row>
    <row r="46" spans="1:18" x14ac:dyDescent="0.25">
      <c r="A46" s="3">
        <v>1.2376624736910001E+18</v>
      </c>
      <c r="B46" s="3">
        <v>236.43284</v>
      </c>
      <c r="C46" s="3">
        <v>36.130147999999998</v>
      </c>
      <c r="D46" s="3">
        <v>6.7119040000000005E-2</v>
      </c>
      <c r="E46" s="3">
        <v>1.8868599999999986</v>
      </c>
      <c r="F46" s="3">
        <v>2.7563899999999997</v>
      </c>
      <c r="G46" s="3">
        <v>3.1540900000000001</v>
      </c>
      <c r="H46" s="3">
        <v>3.4734300000000005</v>
      </c>
      <c r="I46" s="3">
        <v>0.86953000000000102</v>
      </c>
      <c r="J46" s="3">
        <v>1.2672300000000014</v>
      </c>
      <c r="K46" s="3">
        <v>1.5865700000000018</v>
      </c>
      <c r="L46" s="3">
        <v>0.39770000000000039</v>
      </c>
      <c r="M46" s="3">
        <v>0.71704000000000079</v>
      </c>
      <c r="N46" s="3">
        <v>0.3193400000000004</v>
      </c>
      <c r="O46" s="13">
        <v>2.4659676790274045</v>
      </c>
      <c r="P46" s="13">
        <v>-0.32456755308667434</v>
      </c>
      <c r="Q46" s="3">
        <v>0.82217386121224878</v>
      </c>
      <c r="R46" s="3">
        <v>20135.712000000003</v>
      </c>
    </row>
    <row r="47" spans="1:18" x14ac:dyDescent="0.25">
      <c r="A47" s="3">
        <v>1.2376625032189E+18</v>
      </c>
      <c r="B47" s="3">
        <v>236.28028</v>
      </c>
      <c r="C47" s="3">
        <v>36.090775999999998</v>
      </c>
      <c r="D47" s="3">
        <v>6.9101659999999995E-2</v>
      </c>
      <c r="E47" s="3">
        <v>1.8897899999999979</v>
      </c>
      <c r="F47" s="3">
        <v>2.8221600000000002</v>
      </c>
      <c r="G47" s="3">
        <v>3.2669999999999995</v>
      </c>
      <c r="H47" s="3">
        <v>3.6051099999999998</v>
      </c>
      <c r="I47" s="3">
        <v>0.93237000000000236</v>
      </c>
      <c r="J47" s="3">
        <v>1.3772100000000016</v>
      </c>
      <c r="K47" s="3">
        <v>1.715320000000002</v>
      </c>
      <c r="L47" s="3">
        <v>0.44483999999999924</v>
      </c>
      <c r="M47" s="3">
        <v>0.78294999999999959</v>
      </c>
      <c r="N47" s="3">
        <v>0.33811000000000035</v>
      </c>
      <c r="O47" s="13">
        <v>2.1632030962775097</v>
      </c>
      <c r="P47" s="13">
        <v>-0.322006689850106</v>
      </c>
      <c r="Q47" s="3">
        <v>0.18037073474107862</v>
      </c>
      <c r="R47" s="3">
        <v>20730.498</v>
      </c>
    </row>
    <row r="48" spans="1:18" x14ac:dyDescent="0.25">
      <c r="A48" s="3">
        <v>1.2376625032188301E+18</v>
      </c>
      <c r="B48" s="3">
        <v>236.16618</v>
      </c>
      <c r="C48" s="3">
        <v>36.115782000000003</v>
      </c>
      <c r="D48" s="3">
        <v>6.9903430000000003E-2</v>
      </c>
      <c r="E48" s="3">
        <v>1.87941</v>
      </c>
      <c r="F48" s="3">
        <v>2.788219999999999</v>
      </c>
      <c r="G48" s="3">
        <v>3.2105400000000017</v>
      </c>
      <c r="H48" s="3">
        <v>3.5251200000000011</v>
      </c>
      <c r="I48" s="3">
        <v>0.90880999999999901</v>
      </c>
      <c r="J48" s="3">
        <v>1.3311300000000017</v>
      </c>
      <c r="K48" s="3">
        <v>1.6457100000000011</v>
      </c>
      <c r="L48" s="3">
        <v>0.42232000000000269</v>
      </c>
      <c r="M48" s="3">
        <v>0.73690000000000211</v>
      </c>
      <c r="N48" s="3">
        <v>0.31457999999999942</v>
      </c>
      <c r="O48" s="13">
        <v>2.3762369018579386</v>
      </c>
      <c r="P48" s="13">
        <v>-0.32130306735547559</v>
      </c>
      <c r="Q48" s="3">
        <v>0.34956357431281837</v>
      </c>
      <c r="R48" s="3">
        <v>20971.029000000002</v>
      </c>
    </row>
    <row r="49" spans="1:18" x14ac:dyDescent="0.25">
      <c r="A49" s="3">
        <v>1.2376625032189E+18</v>
      </c>
      <c r="B49" s="3">
        <v>236.24889999999999</v>
      </c>
      <c r="C49" s="3">
        <v>35.988132999999998</v>
      </c>
      <c r="D49" s="3">
        <v>6.5869510000000006E-2</v>
      </c>
      <c r="E49" s="3">
        <v>1.8909200000000013</v>
      </c>
      <c r="F49" s="3">
        <v>2.7892299999999999</v>
      </c>
      <c r="G49" s="3">
        <v>3.2072099999999999</v>
      </c>
      <c r="H49" s="3">
        <v>3.5671299999999988</v>
      </c>
      <c r="I49" s="3">
        <v>0.89830999999999861</v>
      </c>
      <c r="J49" s="3">
        <v>1.3162899999999986</v>
      </c>
      <c r="K49" s="3">
        <v>1.6762099999999975</v>
      </c>
      <c r="L49" s="3">
        <v>0.41798000000000002</v>
      </c>
      <c r="M49" s="3">
        <v>0.77789999999999893</v>
      </c>
      <c r="N49" s="3">
        <v>0.35991999999999891</v>
      </c>
      <c r="O49" s="13">
        <v>2.2695921181219449</v>
      </c>
      <c r="P49" s="13">
        <v>-0.31968820591751435</v>
      </c>
      <c r="Q49" s="3">
        <v>0.65486079174816869</v>
      </c>
      <c r="R49" s="3">
        <v>19760.853000000003</v>
      </c>
    </row>
    <row r="50" spans="1:18" x14ac:dyDescent="0.25">
      <c r="A50" s="3">
        <v>1.2376624736909299E+18</v>
      </c>
      <c r="B50" s="3">
        <v>236.33320000000001</v>
      </c>
      <c r="C50" s="3">
        <v>36.342984999999999</v>
      </c>
      <c r="D50" s="3">
        <v>6.6088040000000001E-2</v>
      </c>
      <c r="E50" s="3">
        <v>1.9434199999999997</v>
      </c>
      <c r="F50" s="3">
        <v>2.8417899999999996</v>
      </c>
      <c r="G50" s="3">
        <v>3.2593700000000005</v>
      </c>
      <c r="H50" s="3">
        <v>3.6097599999999979</v>
      </c>
      <c r="I50" s="3">
        <v>0.89836999999999989</v>
      </c>
      <c r="J50" s="3">
        <v>1.3159500000000008</v>
      </c>
      <c r="K50" s="3">
        <v>1.6663399999999982</v>
      </c>
      <c r="L50" s="3">
        <v>0.41758000000000095</v>
      </c>
      <c r="M50" s="3">
        <v>0.76796999999999827</v>
      </c>
      <c r="N50" s="3">
        <v>0.35038999999999731</v>
      </c>
      <c r="O50" s="13">
        <v>2.2169403602043247</v>
      </c>
      <c r="P50" s="13">
        <v>-0.31189223011326761</v>
      </c>
      <c r="Q50" s="3">
        <v>1.31617220983831</v>
      </c>
      <c r="R50" s="3">
        <v>19826.412</v>
      </c>
    </row>
    <row r="51" spans="1:18" x14ac:dyDescent="0.25">
      <c r="A51" s="3">
        <v>1.2376614659862001E+18</v>
      </c>
      <c r="B51" s="3">
        <v>236.06752</v>
      </c>
      <c r="C51" s="3">
        <v>35.897171999999998</v>
      </c>
      <c r="D51" s="3">
        <v>6.4131209999999994E-2</v>
      </c>
      <c r="E51" s="3">
        <v>1.8261099999999999</v>
      </c>
      <c r="F51" s="3">
        <v>2.673099999999998</v>
      </c>
      <c r="G51" s="3">
        <v>3.0893699999999988</v>
      </c>
      <c r="H51" s="3">
        <v>3.3738299999999981</v>
      </c>
      <c r="I51" s="3">
        <v>0.84698999999999813</v>
      </c>
      <c r="J51" s="3">
        <v>1.2632599999999989</v>
      </c>
      <c r="K51" s="3">
        <v>1.5477199999999982</v>
      </c>
      <c r="L51" s="3">
        <v>0.41627000000000081</v>
      </c>
      <c r="M51" s="3">
        <v>0.70073000000000008</v>
      </c>
      <c r="N51" s="3">
        <v>0.28445999999999927</v>
      </c>
      <c r="O51" s="13">
        <v>2.6954267011666158</v>
      </c>
      <c r="P51" s="13">
        <v>-0.30465829181768767</v>
      </c>
      <c r="Q51" s="3">
        <v>1.3854294406421264</v>
      </c>
      <c r="R51" s="3">
        <v>19239.362999999998</v>
      </c>
    </row>
    <row r="52" spans="1:18" x14ac:dyDescent="0.25">
      <c r="A52" s="3">
        <v>1.2376625032188301E+18</v>
      </c>
      <c r="B52" s="3">
        <v>236.24143000000001</v>
      </c>
      <c r="C52" s="3">
        <v>36.068829999999998</v>
      </c>
      <c r="D52" s="3">
        <v>5.9998900000000001E-2</v>
      </c>
      <c r="E52" s="3">
        <v>1.8834099999999978</v>
      </c>
      <c r="F52" s="3">
        <v>2.7687799999999996</v>
      </c>
      <c r="G52" s="3">
        <v>3.1812699999999978</v>
      </c>
      <c r="H52" s="3">
        <v>3.5261399999999981</v>
      </c>
      <c r="I52" s="3">
        <v>0.88537000000000177</v>
      </c>
      <c r="J52" s="3">
        <v>1.29786</v>
      </c>
      <c r="K52" s="3">
        <v>1.6427300000000002</v>
      </c>
      <c r="L52" s="3">
        <v>0.41248999999999825</v>
      </c>
      <c r="M52" s="3">
        <v>0.75735999999999848</v>
      </c>
      <c r="N52" s="3">
        <v>0.34487000000000023</v>
      </c>
      <c r="O52" s="13">
        <v>2.3653091879236467</v>
      </c>
      <c r="P52" s="13">
        <v>-0.30213224392654842</v>
      </c>
      <c r="Q52" s="3">
        <v>0.22015404537345615</v>
      </c>
      <c r="R52" s="3">
        <v>17999.670000000002</v>
      </c>
    </row>
    <row r="53" spans="1:18" x14ac:dyDescent="0.25">
      <c r="A53" s="3">
        <v>1.2376625032188301E+18</v>
      </c>
      <c r="B53" s="3">
        <v>236.26403999999999</v>
      </c>
      <c r="C53" s="3">
        <v>36.182251999999998</v>
      </c>
      <c r="D53" s="3">
        <v>6.5654039999999997E-2</v>
      </c>
      <c r="E53" s="3">
        <v>1.9060499999999969</v>
      </c>
      <c r="F53" s="3">
        <v>2.839109999999998</v>
      </c>
      <c r="G53" s="3">
        <v>3.2886299999999977</v>
      </c>
      <c r="H53" s="3">
        <v>3.6416599999999981</v>
      </c>
      <c r="I53" s="3">
        <v>0.93306000000000111</v>
      </c>
      <c r="J53" s="3">
        <v>1.3825800000000008</v>
      </c>
      <c r="K53" s="3">
        <v>1.7356100000000012</v>
      </c>
      <c r="L53" s="3">
        <v>0.4495199999999997</v>
      </c>
      <c r="M53" s="3">
        <v>0.8025500000000001</v>
      </c>
      <c r="N53" s="3">
        <v>0.3530300000000004</v>
      </c>
      <c r="O53" s="13">
        <v>2.0921880762713423</v>
      </c>
      <c r="P53" s="13">
        <v>-0.29961222243984115</v>
      </c>
      <c r="Q53" s="3">
        <v>0.40062530347012143</v>
      </c>
      <c r="R53" s="3">
        <v>19696.212</v>
      </c>
    </row>
    <row r="54" spans="1:18" x14ac:dyDescent="0.25">
      <c r="A54" s="3">
        <v>1.2376625032186399E+18</v>
      </c>
      <c r="B54" s="3">
        <v>235.81009</v>
      </c>
      <c r="C54" s="3">
        <v>36.410902999999998</v>
      </c>
      <c r="D54" s="3">
        <v>6.5315159999999997E-2</v>
      </c>
      <c r="E54" s="3">
        <v>1.9369399999999999</v>
      </c>
      <c r="F54" s="3">
        <v>2.8146200000000015</v>
      </c>
      <c r="G54" s="3">
        <v>3.2293200000000013</v>
      </c>
      <c r="H54" s="3">
        <v>3.5403200000000012</v>
      </c>
      <c r="I54" s="3">
        <v>0.87768000000000157</v>
      </c>
      <c r="J54" s="3">
        <v>1.2923800000000014</v>
      </c>
      <c r="K54" s="3">
        <v>1.6033800000000014</v>
      </c>
      <c r="L54" s="3">
        <v>0.41469999999999985</v>
      </c>
      <c r="M54" s="3">
        <v>0.72569999999999979</v>
      </c>
      <c r="N54" s="3">
        <v>0.31099999999999994</v>
      </c>
      <c r="O54" s="13">
        <v>2.4853296581453819</v>
      </c>
      <c r="P54" s="13">
        <v>-0.29813953863885428</v>
      </c>
      <c r="Q54" s="3">
        <v>2.4988050869590781</v>
      </c>
      <c r="R54" s="3">
        <v>19594.547999999999</v>
      </c>
    </row>
    <row r="55" spans="1:18" x14ac:dyDescent="0.25">
      <c r="A55" s="3">
        <v>1.2376625032188301E+18</v>
      </c>
      <c r="B55" s="3">
        <v>236.23173</v>
      </c>
      <c r="C55" s="3">
        <v>36.092804000000001</v>
      </c>
      <c r="D55" s="3">
        <v>6.5570669999999998E-2</v>
      </c>
      <c r="E55" s="3">
        <v>1.882950000000001</v>
      </c>
      <c r="F55" s="3">
        <v>2.75929</v>
      </c>
      <c r="G55" s="3">
        <v>3.2014600000000009</v>
      </c>
      <c r="H55" s="3">
        <v>3.5233600000000003</v>
      </c>
      <c r="I55" s="3">
        <v>0.87633999999999901</v>
      </c>
      <c r="J55" s="3">
        <v>1.3185099999999998</v>
      </c>
      <c r="K55" s="3">
        <v>1.6404099999999993</v>
      </c>
      <c r="L55" s="3">
        <v>0.44217000000000084</v>
      </c>
      <c r="M55" s="3">
        <v>0.76407000000000025</v>
      </c>
      <c r="N55" s="3">
        <v>0.32189999999999941</v>
      </c>
      <c r="O55" s="13">
        <v>2.3561677545823416</v>
      </c>
      <c r="P55" s="13">
        <v>-0.29589317450525482</v>
      </c>
      <c r="Q55" s="3">
        <v>0.10926823880486437</v>
      </c>
      <c r="R55" s="3">
        <v>19671.201000000001</v>
      </c>
    </row>
    <row r="56" spans="1:18" x14ac:dyDescent="0.25">
      <c r="A56" s="3">
        <v>1.2376625032188301E+18</v>
      </c>
      <c r="B56" s="3">
        <v>236.11035000000001</v>
      </c>
      <c r="C56" s="3">
        <v>36.119973000000002</v>
      </c>
      <c r="D56" s="3">
        <v>6.7648449999999999E-2</v>
      </c>
      <c r="E56" s="3">
        <v>1.8811199999999992</v>
      </c>
      <c r="F56" s="3">
        <v>2.781369999999999</v>
      </c>
      <c r="G56" s="3">
        <v>3.2020599999999995</v>
      </c>
      <c r="H56" s="3">
        <v>3.5395499999999984</v>
      </c>
      <c r="I56" s="3">
        <v>0.90024999999999977</v>
      </c>
      <c r="J56" s="3">
        <v>1.3209400000000002</v>
      </c>
      <c r="K56" s="3">
        <v>1.6584299999999992</v>
      </c>
      <c r="L56" s="3">
        <v>0.42069000000000045</v>
      </c>
      <c r="M56" s="3">
        <v>0.75817999999999941</v>
      </c>
      <c r="N56" s="3">
        <v>0.33748999999999896</v>
      </c>
      <c r="O56" s="13">
        <v>2.3434342052231609</v>
      </c>
      <c r="P56" s="13">
        <v>-0.28656459642063503</v>
      </c>
      <c r="Q56" s="3">
        <v>0.59399050664315445</v>
      </c>
      <c r="R56" s="3">
        <v>20294.535</v>
      </c>
    </row>
    <row r="57" spans="1:18" x14ac:dyDescent="0.25">
      <c r="A57" s="3">
        <v>1.2376625032188301E+18</v>
      </c>
      <c r="B57" s="3">
        <v>236.16559000000001</v>
      </c>
      <c r="C57" s="3">
        <v>36.137926</v>
      </c>
      <c r="D57" s="3">
        <v>6.1555510000000001E-2</v>
      </c>
      <c r="E57" s="3">
        <v>1.8344699999999996</v>
      </c>
      <c r="F57" s="3">
        <v>2.6386600000000016</v>
      </c>
      <c r="G57" s="3">
        <v>2.9953800000000008</v>
      </c>
      <c r="H57" s="3">
        <v>3.2629599999999996</v>
      </c>
      <c r="I57" s="3">
        <v>0.80419000000000196</v>
      </c>
      <c r="J57" s="3">
        <v>1.1609100000000012</v>
      </c>
      <c r="K57" s="3">
        <v>1.42849</v>
      </c>
      <c r="L57" s="3">
        <v>0.35671999999999926</v>
      </c>
      <c r="M57" s="3">
        <v>0.62429999999999808</v>
      </c>
      <c r="N57" s="3">
        <v>0.26757999999999882</v>
      </c>
      <c r="O57" s="13">
        <v>2.9739891488282901</v>
      </c>
      <c r="P57" s="13">
        <v>-0.28110182461999361</v>
      </c>
      <c r="Q57" s="3">
        <v>0.38260971162358987</v>
      </c>
      <c r="R57" s="3">
        <v>18466.652999999998</v>
      </c>
    </row>
    <row r="58" spans="1:18" x14ac:dyDescent="0.25">
      <c r="A58" s="3">
        <v>1.2376625032188301E+18</v>
      </c>
      <c r="B58" s="3">
        <v>236.05607000000001</v>
      </c>
      <c r="C58" s="3">
        <v>36.111181999999999</v>
      </c>
      <c r="D58" s="3">
        <v>6.5796610000000005E-2</v>
      </c>
      <c r="E58" s="3">
        <v>1.8721599999999974</v>
      </c>
      <c r="F58" s="3">
        <v>2.7383299999999977</v>
      </c>
      <c r="G58" s="3">
        <v>3.1506199999999982</v>
      </c>
      <c r="H58" s="3">
        <v>3.4721099999999989</v>
      </c>
      <c r="I58" s="3">
        <v>0.86617000000000033</v>
      </c>
      <c r="J58" s="3">
        <v>1.2784600000000008</v>
      </c>
      <c r="K58" s="3">
        <v>1.5999500000000015</v>
      </c>
      <c r="L58" s="3">
        <v>0.41229000000000049</v>
      </c>
      <c r="M58" s="3">
        <v>0.73378000000000121</v>
      </c>
      <c r="N58" s="3">
        <v>0.32149000000000072</v>
      </c>
      <c r="O58" s="13">
        <v>2.5078264440180091</v>
      </c>
      <c r="P58" s="13">
        <v>-0.27711605302171782</v>
      </c>
      <c r="Q58" s="3">
        <v>0.82800640368256817</v>
      </c>
      <c r="R58" s="3">
        <v>19738.983</v>
      </c>
    </row>
    <row r="59" spans="1:18" x14ac:dyDescent="0.25">
      <c r="A59" s="3">
        <v>1.2376625032188301E+18</v>
      </c>
      <c r="B59" s="3">
        <v>236.27367000000001</v>
      </c>
      <c r="C59" s="3">
        <v>36.115484000000002</v>
      </c>
      <c r="D59" s="3">
        <v>6.5750260000000005E-2</v>
      </c>
      <c r="E59" s="3">
        <v>1.8521899999999967</v>
      </c>
      <c r="F59" s="3">
        <v>2.7235799999999983</v>
      </c>
      <c r="G59" s="3">
        <v>3.1620699999999999</v>
      </c>
      <c r="H59" s="3">
        <v>3.4625199999999978</v>
      </c>
      <c r="I59" s="3">
        <v>0.87139000000000166</v>
      </c>
      <c r="J59" s="3">
        <v>1.3098800000000033</v>
      </c>
      <c r="K59" s="3">
        <v>1.6103300000000011</v>
      </c>
      <c r="L59" s="3">
        <v>0.4384900000000016</v>
      </c>
      <c r="M59" s="3">
        <v>0.73893999999999949</v>
      </c>
      <c r="N59" s="3">
        <v>0.30044999999999789</v>
      </c>
      <c r="O59" s="13">
        <v>2.4520778333239628</v>
      </c>
      <c r="P59" s="13">
        <v>-0.26995148668186125</v>
      </c>
      <c r="Q59" s="3">
        <v>0.12501757254691803</v>
      </c>
      <c r="R59" s="3">
        <v>19725.078000000001</v>
      </c>
    </row>
    <row r="60" spans="1:18" x14ac:dyDescent="0.25">
      <c r="A60" s="3">
        <v>1.2376625032188301E+18</v>
      </c>
      <c r="B60" s="3">
        <v>236.26456999999999</v>
      </c>
      <c r="C60" s="3">
        <v>36.167524</v>
      </c>
      <c r="D60" s="3">
        <v>6.4985280000000006E-2</v>
      </c>
      <c r="E60" s="3">
        <v>1.8518799999999978</v>
      </c>
      <c r="F60" s="3">
        <v>2.7363399999999984</v>
      </c>
      <c r="G60" s="3">
        <v>3.1441999999999979</v>
      </c>
      <c r="H60" s="3">
        <v>3.4565199999999976</v>
      </c>
      <c r="I60" s="3">
        <v>0.88446000000000069</v>
      </c>
      <c r="J60" s="3">
        <v>1.2923200000000001</v>
      </c>
      <c r="K60" s="3">
        <v>1.6046399999999998</v>
      </c>
      <c r="L60" s="3">
        <v>0.40785999999999945</v>
      </c>
      <c r="M60" s="3">
        <v>0.72017999999999915</v>
      </c>
      <c r="N60" s="3">
        <v>0.31231999999999971</v>
      </c>
      <c r="O60" s="13">
        <v>2.4799791813174852</v>
      </c>
      <c r="P60" s="13">
        <v>-0.26580418461423044</v>
      </c>
      <c r="Q60" s="3">
        <v>0.32364461576308784</v>
      </c>
      <c r="R60" s="3">
        <v>19495.584000000003</v>
      </c>
    </row>
    <row r="61" spans="1:18" x14ac:dyDescent="0.25">
      <c r="A61" s="3">
        <v>1.2376625032188301E+18</v>
      </c>
      <c r="B61" s="3">
        <v>236.26456999999999</v>
      </c>
      <c r="C61" s="3">
        <v>36.167524</v>
      </c>
      <c r="D61" s="3">
        <v>6.4999559999999998E-2</v>
      </c>
      <c r="E61" s="3">
        <v>1.8518799999999978</v>
      </c>
      <c r="F61" s="3">
        <v>2.7363399999999984</v>
      </c>
      <c r="G61" s="3">
        <v>3.1441999999999979</v>
      </c>
      <c r="H61" s="3">
        <v>3.4565199999999976</v>
      </c>
      <c r="I61" s="3">
        <v>0.88446000000000069</v>
      </c>
      <c r="J61" s="3">
        <v>1.2923200000000001</v>
      </c>
      <c r="K61" s="3">
        <v>1.6046399999999998</v>
      </c>
      <c r="L61" s="3">
        <v>0.40785999999999945</v>
      </c>
      <c r="M61" s="3">
        <v>0.72017999999999915</v>
      </c>
      <c r="N61" s="3">
        <v>0.31231999999999971</v>
      </c>
      <c r="O61" s="13">
        <v>2.4799610212412002</v>
      </c>
      <c r="P61" s="13">
        <v>-0.26579360971961685</v>
      </c>
      <c r="Q61" s="3">
        <v>0.32364461576308784</v>
      </c>
      <c r="R61" s="3">
        <v>19499.867999999999</v>
      </c>
    </row>
    <row r="62" spans="1:18" x14ac:dyDescent="0.25">
      <c r="A62" s="3">
        <v>1.23766247369087E+18</v>
      </c>
      <c r="B62" s="3">
        <v>236.31164999999999</v>
      </c>
      <c r="C62" s="3">
        <v>36.406641999999998</v>
      </c>
      <c r="D62" s="3">
        <v>6.4482990000000004E-2</v>
      </c>
      <c r="E62" s="3">
        <v>1.9159700000000015</v>
      </c>
      <c r="F62" s="3">
        <v>2.7629999999999981</v>
      </c>
      <c r="G62" s="3">
        <v>3.1620799999999996</v>
      </c>
      <c r="H62" s="3">
        <v>3.4850600000000007</v>
      </c>
      <c r="I62" s="3">
        <v>0.84702999999999662</v>
      </c>
      <c r="J62" s="3">
        <v>1.2461099999999981</v>
      </c>
      <c r="K62" s="3">
        <v>1.5690899999999992</v>
      </c>
      <c r="L62" s="3">
        <v>0.39908000000000143</v>
      </c>
      <c r="M62" s="3">
        <v>0.72206000000000259</v>
      </c>
      <c r="N62" s="3">
        <v>0.32298000000000116</v>
      </c>
      <c r="O62" s="13">
        <v>2.4820467980571381</v>
      </c>
      <c r="P62" s="13">
        <v>-0.26245326487571663</v>
      </c>
      <c r="Q62" s="3">
        <v>1.6290051933057981</v>
      </c>
      <c r="R62" s="3">
        <v>19344.897000000001</v>
      </c>
    </row>
    <row r="63" spans="1:18" x14ac:dyDescent="0.25">
      <c r="A63" s="3">
        <v>1.2376624736909299E+18</v>
      </c>
      <c r="B63" s="3">
        <v>236.38212999999999</v>
      </c>
      <c r="C63" s="3">
        <v>36.217623000000003</v>
      </c>
      <c r="D63" s="3">
        <v>6.1346039999999998E-2</v>
      </c>
      <c r="E63" s="3">
        <v>1.8663600000000002</v>
      </c>
      <c r="F63" s="3">
        <v>2.7294100000000014</v>
      </c>
      <c r="G63" s="3">
        <v>3.1420200000000005</v>
      </c>
      <c r="H63" s="3">
        <v>3.4600000000000009</v>
      </c>
      <c r="I63" s="3">
        <v>0.86305000000000121</v>
      </c>
      <c r="J63" s="3">
        <v>1.2756600000000002</v>
      </c>
      <c r="K63" s="3">
        <v>1.5936400000000006</v>
      </c>
      <c r="L63" s="3">
        <v>0.41260999999999903</v>
      </c>
      <c r="M63" s="3">
        <v>0.73058999999999941</v>
      </c>
      <c r="N63" s="3">
        <v>0.31798000000000037</v>
      </c>
      <c r="O63" s="13">
        <v>2.4624571100378403</v>
      </c>
      <c r="P63" s="13">
        <v>-0.25638525942696572</v>
      </c>
      <c r="Q63" s="3">
        <v>0.83220075131863647</v>
      </c>
      <c r="R63" s="3">
        <v>18403.811999999998</v>
      </c>
    </row>
    <row r="64" spans="1:18" x14ac:dyDescent="0.25">
      <c r="A64" s="3">
        <v>1.2376625032188301E+18</v>
      </c>
      <c r="B64" s="3">
        <v>236.17264</v>
      </c>
      <c r="C64" s="3">
        <v>36.065449999999998</v>
      </c>
      <c r="D64" s="3">
        <v>6.3996040000000004E-2</v>
      </c>
      <c r="E64" s="3">
        <v>1.8203600000000009</v>
      </c>
      <c r="F64" s="3">
        <v>2.7034600000000015</v>
      </c>
      <c r="G64" s="3">
        <v>3.1217800000000011</v>
      </c>
      <c r="H64" s="3">
        <v>3.4220600000000001</v>
      </c>
      <c r="I64" s="3">
        <v>0.88310000000000066</v>
      </c>
      <c r="J64" s="3">
        <v>1.3014200000000002</v>
      </c>
      <c r="K64" s="3">
        <v>1.6016999999999992</v>
      </c>
      <c r="L64" s="3">
        <v>0.41831999999999958</v>
      </c>
      <c r="M64" s="3">
        <v>0.71859999999999857</v>
      </c>
      <c r="N64" s="3">
        <v>0.30027999999999899</v>
      </c>
      <c r="O64" s="13">
        <v>2.5358431041956262</v>
      </c>
      <c r="P64" s="13">
        <v>-0.25234372180782344</v>
      </c>
      <c r="Q64" s="3">
        <v>0.39837088446574259</v>
      </c>
      <c r="R64" s="3">
        <v>19198.812000000002</v>
      </c>
    </row>
    <row r="65" spans="1:18" x14ac:dyDescent="0.25">
      <c r="A65" s="3">
        <v>1.2376625032186399E+18</v>
      </c>
      <c r="B65" s="3">
        <v>235.71006</v>
      </c>
      <c r="C65" s="3">
        <v>36.316696</v>
      </c>
      <c r="D65" s="3">
        <v>6.4746970000000001E-2</v>
      </c>
      <c r="E65" s="3">
        <v>1.8437400000000004</v>
      </c>
      <c r="F65" s="3">
        <v>2.6752799999999972</v>
      </c>
      <c r="G65" s="3">
        <v>3.0411199999999994</v>
      </c>
      <c r="H65" s="3">
        <v>3.2991499999999991</v>
      </c>
      <c r="I65" s="3">
        <v>0.83153999999999684</v>
      </c>
      <c r="J65" s="3">
        <v>1.197379999999999</v>
      </c>
      <c r="K65" s="3">
        <v>1.4554099999999988</v>
      </c>
      <c r="L65" s="3">
        <v>0.36584000000000216</v>
      </c>
      <c r="M65" s="3">
        <v>0.62387000000000192</v>
      </c>
      <c r="N65" s="3">
        <v>0.25802999999999976</v>
      </c>
      <c r="O65" s="13">
        <v>2.9781725065790101</v>
      </c>
      <c r="P65" s="13">
        <v>-0.24476600230614015</v>
      </c>
      <c r="Q65" s="3">
        <v>2.5876049829123318</v>
      </c>
      <c r="R65" s="3">
        <v>19424.091</v>
      </c>
    </row>
    <row r="66" spans="1:18" x14ac:dyDescent="0.25">
      <c r="A66" s="3">
        <v>1.2376625032189E+18</v>
      </c>
      <c r="B66" s="3">
        <v>236.24023</v>
      </c>
      <c r="C66" s="3">
        <v>36.020007999999997</v>
      </c>
      <c r="D66" s="3">
        <v>6.4113870000000003E-2</v>
      </c>
      <c r="E66" s="3">
        <v>1.8020999999999994</v>
      </c>
      <c r="F66" s="3">
        <v>2.6651299999999978</v>
      </c>
      <c r="G66" s="3">
        <v>3.0672399999999982</v>
      </c>
      <c r="H66" s="3">
        <v>3.3648299999999978</v>
      </c>
      <c r="I66" s="3">
        <v>0.86302999999999841</v>
      </c>
      <c r="J66" s="3">
        <v>1.2651399999999988</v>
      </c>
      <c r="K66" s="3">
        <v>1.5627299999999984</v>
      </c>
      <c r="L66" s="3">
        <v>0.40211000000000041</v>
      </c>
      <c r="M66" s="3">
        <v>0.69969999999999999</v>
      </c>
      <c r="N66" s="3">
        <v>0.29758999999999958</v>
      </c>
      <c r="O66" s="13">
        <v>2.638369917179304</v>
      </c>
      <c r="P66" s="13">
        <v>-0.24005298365591637</v>
      </c>
      <c r="Q66" s="3">
        <v>0.48337544186050574</v>
      </c>
      <c r="R66" s="3">
        <v>19234.161</v>
      </c>
    </row>
    <row r="67" spans="1:18" x14ac:dyDescent="0.25">
      <c r="A67" s="3">
        <v>1.2376625037558999E+18</v>
      </c>
      <c r="B67" s="3">
        <v>236.86503999999999</v>
      </c>
      <c r="C67" s="3">
        <v>36.109698000000002</v>
      </c>
      <c r="D67" s="3">
        <v>7.9126660000000001E-2</v>
      </c>
      <c r="E67" s="3">
        <v>1.7972000000000001</v>
      </c>
      <c r="F67" s="3">
        <v>2.6917100000000005</v>
      </c>
      <c r="G67" s="3">
        <v>3.0828699999999998</v>
      </c>
      <c r="H67" s="3">
        <v>3.3936999999999991</v>
      </c>
      <c r="I67" s="3">
        <v>0.89451000000000036</v>
      </c>
      <c r="J67" s="3">
        <v>1.2856699999999996</v>
      </c>
      <c r="K67" s="3">
        <v>1.5964999999999989</v>
      </c>
      <c r="L67" s="3">
        <v>0.39115999999999929</v>
      </c>
      <c r="M67" s="3">
        <v>0.70198999999999856</v>
      </c>
      <c r="N67" s="3">
        <v>0.31082999999999927</v>
      </c>
      <c r="O67" s="13">
        <v>2.4231959917341483</v>
      </c>
      <c r="P67" s="13">
        <v>-0.23316838820850794</v>
      </c>
      <c r="Q67" s="3">
        <v>2.6990114823628573</v>
      </c>
      <c r="R67" s="3">
        <v>23737.998</v>
      </c>
    </row>
    <row r="68" spans="1:18" x14ac:dyDescent="0.25">
      <c r="A68" s="3">
        <v>1.2376625032186399E+18</v>
      </c>
      <c r="B68" s="3">
        <v>235.80139</v>
      </c>
      <c r="C68" s="3">
        <v>36.410372000000002</v>
      </c>
      <c r="D68" s="3">
        <v>6.4920919999999993E-2</v>
      </c>
      <c r="E68" s="3">
        <v>1.8927200000000006</v>
      </c>
      <c r="F68" s="3">
        <v>2.7922799999999999</v>
      </c>
      <c r="G68" s="3">
        <v>3.2152399999999997</v>
      </c>
      <c r="H68" s="3">
        <v>3.5327399999999987</v>
      </c>
      <c r="I68" s="3">
        <v>0.89955999999999925</v>
      </c>
      <c r="J68" s="3">
        <v>1.322519999999999</v>
      </c>
      <c r="K68" s="3">
        <v>1.640019999999998</v>
      </c>
      <c r="L68" s="3">
        <v>0.42295999999999978</v>
      </c>
      <c r="M68" s="3">
        <v>0.74045999999999879</v>
      </c>
      <c r="N68" s="3">
        <v>0.31749999999999901</v>
      </c>
      <c r="O68" s="13">
        <v>2.4272047027572867</v>
      </c>
      <c r="P68" s="13">
        <v>-0.23016927330371267</v>
      </c>
      <c r="Q68" s="3">
        <v>2.5258245697602493</v>
      </c>
      <c r="R68" s="3">
        <v>19476.275999999998</v>
      </c>
    </row>
    <row r="69" spans="1:18" x14ac:dyDescent="0.25">
      <c r="A69" s="3">
        <v>1.2376625032188301E+18</v>
      </c>
      <c r="B69" s="3">
        <v>236.21589</v>
      </c>
      <c r="C69" s="3">
        <v>36.166634999999999</v>
      </c>
      <c r="D69" s="3">
        <v>6.8595450000000002E-2</v>
      </c>
      <c r="E69" s="3">
        <v>1.8478600000000007</v>
      </c>
      <c r="F69" s="3">
        <v>2.7456099999999992</v>
      </c>
      <c r="G69" s="3">
        <v>3.1833299999999998</v>
      </c>
      <c r="H69" s="3">
        <v>3.5115099999999995</v>
      </c>
      <c r="I69" s="3">
        <v>0.89774999999999849</v>
      </c>
      <c r="J69" s="3">
        <v>1.335469999999999</v>
      </c>
      <c r="K69" s="3">
        <v>1.6636499999999987</v>
      </c>
      <c r="L69" s="3">
        <v>0.43772000000000055</v>
      </c>
      <c r="M69" s="3">
        <v>0.76590000000000025</v>
      </c>
      <c r="N69" s="3">
        <v>0.32817999999999969</v>
      </c>
      <c r="O69" s="13">
        <v>2.3224824060832714</v>
      </c>
      <c r="P69" s="13">
        <v>-0.22473323976204082</v>
      </c>
      <c r="Q69" s="3">
        <v>0.33525437214035148</v>
      </c>
      <c r="R69" s="3">
        <v>20578.635000000002</v>
      </c>
    </row>
    <row r="70" spans="1:18" x14ac:dyDescent="0.25">
      <c r="A70" s="3">
        <v>1.2376625032188301E+18</v>
      </c>
      <c r="B70" s="3">
        <v>236.24133</v>
      </c>
      <c r="C70" s="3">
        <v>36.188203000000001</v>
      </c>
      <c r="D70" s="3">
        <v>6.3321730000000007E-2</v>
      </c>
      <c r="E70" s="3">
        <v>1.8223300000000009</v>
      </c>
      <c r="F70" s="3">
        <v>2.6678800000000003</v>
      </c>
      <c r="G70" s="3">
        <v>3.0645300000000013</v>
      </c>
      <c r="H70" s="3">
        <v>3.3540000000000028</v>
      </c>
      <c r="I70" s="3">
        <v>0.84554999999999936</v>
      </c>
      <c r="J70" s="3">
        <v>1.2422000000000004</v>
      </c>
      <c r="K70" s="3">
        <v>1.5316700000000019</v>
      </c>
      <c r="L70" s="3">
        <v>0.39665000000000106</v>
      </c>
      <c r="M70" s="3">
        <v>0.68612000000000251</v>
      </c>
      <c r="N70" s="3">
        <v>0.28947000000000145</v>
      </c>
      <c r="O70" s="13">
        <v>2.6887481626382481</v>
      </c>
      <c r="P70" s="13">
        <v>-0.22397559012051199</v>
      </c>
      <c r="Q70" s="3">
        <v>0.42541627063118193</v>
      </c>
      <c r="R70" s="3">
        <v>18996.519</v>
      </c>
    </row>
    <row r="71" spans="1:18" x14ac:dyDescent="0.25">
      <c r="A71" s="3">
        <v>1.23766247369087E+18</v>
      </c>
      <c r="B71" s="3">
        <v>236.14635000000001</v>
      </c>
      <c r="C71" s="3">
        <v>36.440747000000002</v>
      </c>
      <c r="D71" s="3">
        <v>6.6768380000000002E-2</v>
      </c>
      <c r="E71" s="3">
        <v>1.9153699999999994</v>
      </c>
      <c r="F71" s="3">
        <v>2.8350299999999997</v>
      </c>
      <c r="G71" s="3">
        <v>3.2627900000000007</v>
      </c>
      <c r="H71" s="3">
        <v>3.6264800000000008</v>
      </c>
      <c r="I71" s="3">
        <v>0.91966000000000037</v>
      </c>
      <c r="J71" s="3">
        <v>1.3474200000000014</v>
      </c>
      <c r="K71" s="3">
        <v>1.7111100000000015</v>
      </c>
      <c r="L71" s="3">
        <v>0.42776000000000103</v>
      </c>
      <c r="M71" s="3">
        <v>0.7914500000000011</v>
      </c>
      <c r="N71" s="3">
        <v>0.36369000000000007</v>
      </c>
      <c r="O71" s="13">
        <v>2.1474180502460527</v>
      </c>
      <c r="P71" s="13">
        <v>-0.22025708551375422</v>
      </c>
      <c r="Q71" s="3">
        <v>1.8395910870557817</v>
      </c>
      <c r="R71" s="3">
        <v>20030.513999999999</v>
      </c>
    </row>
    <row r="72" spans="1:18" x14ac:dyDescent="0.25">
      <c r="A72" s="3">
        <v>1.2376625032188301E+18</v>
      </c>
      <c r="B72" s="3">
        <v>236.25030000000001</v>
      </c>
      <c r="C72" s="3">
        <v>36.110351000000001</v>
      </c>
      <c r="D72" s="3">
        <v>6.2856140000000005E-2</v>
      </c>
      <c r="E72" s="3">
        <v>1.8698399999999999</v>
      </c>
      <c r="F72" s="3">
        <v>2.7921600000000026</v>
      </c>
      <c r="G72" s="3">
        <v>3.2268800000000013</v>
      </c>
      <c r="H72" s="3">
        <v>3.6159000000000017</v>
      </c>
      <c r="I72" s="3">
        <v>0.92232000000000269</v>
      </c>
      <c r="J72" s="3">
        <v>1.3570400000000014</v>
      </c>
      <c r="K72" s="3">
        <v>1.7460600000000017</v>
      </c>
      <c r="L72" s="3">
        <v>0.43471999999999866</v>
      </c>
      <c r="M72" s="3">
        <v>0.82373999999999903</v>
      </c>
      <c r="N72" s="3">
        <v>0.38902000000000037</v>
      </c>
      <c r="O72" s="13">
        <v>2.089841090413485</v>
      </c>
      <c r="P72" s="13">
        <v>-0.21975287587036685</v>
      </c>
      <c r="Q72" s="3">
        <v>1.9438117359621504E-2</v>
      </c>
      <c r="R72" s="3">
        <v>18856.842000000001</v>
      </c>
    </row>
    <row r="73" spans="1:18" x14ac:dyDescent="0.25">
      <c r="A73" s="3">
        <v>1.2376624736910001E+18</v>
      </c>
      <c r="B73" s="3">
        <v>236.36196000000001</v>
      </c>
      <c r="C73" s="3">
        <v>36.155037</v>
      </c>
      <c r="D73" s="3">
        <v>6.8889779999999998E-2</v>
      </c>
      <c r="E73" s="3">
        <v>1.8213399999999993</v>
      </c>
      <c r="F73" s="3">
        <v>2.6524799999999971</v>
      </c>
      <c r="G73" s="3">
        <v>3.040619999999997</v>
      </c>
      <c r="H73" s="3">
        <v>3.3378999999999976</v>
      </c>
      <c r="I73" s="3">
        <v>0.83113999999999777</v>
      </c>
      <c r="J73" s="3">
        <v>1.2192799999999977</v>
      </c>
      <c r="K73" s="3">
        <v>1.5165599999999984</v>
      </c>
      <c r="L73" s="3">
        <v>0.38813999999999993</v>
      </c>
      <c r="M73" s="3">
        <v>0.68542000000000058</v>
      </c>
      <c r="N73" s="3">
        <v>0.29728000000000065</v>
      </c>
      <c r="O73" s="13">
        <v>2.6951915732202631</v>
      </c>
      <c r="P73" s="13">
        <v>-0.21867204836572643</v>
      </c>
      <c r="Q73" s="3">
        <v>0.56215857671187697</v>
      </c>
      <c r="R73" s="3">
        <v>20666.934000000001</v>
      </c>
    </row>
    <row r="74" spans="1:18" x14ac:dyDescent="0.25">
      <c r="A74" s="3">
        <v>1.2376624731539999E+18</v>
      </c>
      <c r="B74" s="3">
        <v>235.94121000000001</v>
      </c>
      <c r="C74" s="3">
        <v>36.107756999999999</v>
      </c>
      <c r="D74" s="3">
        <v>6.8518010000000004E-2</v>
      </c>
      <c r="E74" s="3">
        <v>1.8187500000000014</v>
      </c>
      <c r="F74" s="3">
        <v>2.6358999999999995</v>
      </c>
      <c r="G74" s="3">
        <v>3.0136400000000005</v>
      </c>
      <c r="H74" s="3">
        <v>3.3060799999999997</v>
      </c>
      <c r="I74" s="3">
        <v>0.81714999999999804</v>
      </c>
      <c r="J74" s="3">
        <v>1.1948899999999991</v>
      </c>
      <c r="K74" s="3">
        <v>1.4873299999999983</v>
      </c>
      <c r="L74" s="3">
        <v>0.37774000000000107</v>
      </c>
      <c r="M74" s="3">
        <v>0.67018000000000022</v>
      </c>
      <c r="N74" s="3">
        <v>0.29243999999999915</v>
      </c>
      <c r="O74" s="13">
        <v>2.8567750034698114</v>
      </c>
      <c r="P74" s="13">
        <v>-0.21326224465977367</v>
      </c>
      <c r="Q74" s="3">
        <v>1.3287770152613074</v>
      </c>
      <c r="R74" s="3">
        <v>20555.403000000002</v>
      </c>
    </row>
    <row r="75" spans="1:18" x14ac:dyDescent="0.25">
      <c r="A75" s="3">
        <v>1.2376625032187699E+18</v>
      </c>
      <c r="B75" s="3">
        <v>236.09370999999999</v>
      </c>
      <c r="C75" s="3">
        <v>36.178286</v>
      </c>
      <c r="D75" s="3">
        <v>6.7626790000000006E-2</v>
      </c>
      <c r="E75" s="3">
        <v>1.7988499999999981</v>
      </c>
      <c r="F75" s="3">
        <v>2.6768399999999986</v>
      </c>
      <c r="G75" s="3">
        <v>3.07789</v>
      </c>
      <c r="H75" s="3">
        <v>3.3715099999999989</v>
      </c>
      <c r="I75" s="3">
        <v>0.87799000000000049</v>
      </c>
      <c r="J75" s="3">
        <v>1.279040000000002</v>
      </c>
      <c r="K75" s="3">
        <v>1.5726600000000008</v>
      </c>
      <c r="L75" s="3">
        <v>0.40105000000000146</v>
      </c>
      <c r="M75" s="3">
        <v>0.69467000000000034</v>
      </c>
      <c r="N75" s="3">
        <v>0.29361999999999888</v>
      </c>
      <c r="O75" s="13">
        <v>2.6339482051371808</v>
      </c>
      <c r="P75" s="13">
        <v>-0.19428994544810682</v>
      </c>
      <c r="Q75" s="3">
        <v>0.76044491802252312</v>
      </c>
      <c r="R75" s="3">
        <v>20288.037</v>
      </c>
    </row>
    <row r="76" spans="1:18" x14ac:dyDescent="0.25">
      <c r="A76" s="3">
        <v>1.2376625037557701E+18</v>
      </c>
      <c r="B76" s="3">
        <v>236.58447000000001</v>
      </c>
      <c r="C76" s="3">
        <v>36.317391000000001</v>
      </c>
      <c r="D76" s="3">
        <v>6.7139190000000001E-2</v>
      </c>
      <c r="E76" s="3">
        <v>1.813209999999998</v>
      </c>
      <c r="F76" s="3">
        <v>2.6355199999999996</v>
      </c>
      <c r="G76" s="3">
        <v>3.0365199999999994</v>
      </c>
      <c r="H76" s="3">
        <v>3.3049299999999988</v>
      </c>
      <c r="I76" s="3">
        <v>0.82231000000000165</v>
      </c>
      <c r="J76" s="3">
        <v>1.2233100000000015</v>
      </c>
      <c r="K76" s="3">
        <v>1.4917200000000008</v>
      </c>
      <c r="L76" s="3">
        <v>0.4009999999999998</v>
      </c>
      <c r="M76" s="3">
        <v>0.66940999999999917</v>
      </c>
      <c r="N76" s="3">
        <v>0.26840999999999937</v>
      </c>
      <c r="O76" s="13">
        <v>2.7124186957461247</v>
      </c>
      <c r="P76" s="13">
        <v>-0.19293443376184732</v>
      </c>
      <c r="Q76" s="3">
        <v>1.852345487697002</v>
      </c>
      <c r="R76" s="3">
        <v>20141.757000000001</v>
      </c>
    </row>
    <row r="77" spans="1:18" x14ac:dyDescent="0.25">
      <c r="A77" s="3">
        <v>1.2376625032188301E+18</v>
      </c>
      <c r="B77" s="3">
        <v>236.19077999999999</v>
      </c>
      <c r="C77" s="3">
        <v>36.079214999999998</v>
      </c>
      <c r="D77" s="3">
        <v>6.2184040000000003E-2</v>
      </c>
      <c r="E77" s="3">
        <v>1.78613</v>
      </c>
      <c r="F77" s="3">
        <v>2.6250800000000005</v>
      </c>
      <c r="G77" s="3">
        <v>3.0429499999999976</v>
      </c>
      <c r="H77" s="3">
        <v>3.3318899999999978</v>
      </c>
      <c r="I77" s="3">
        <v>0.83895000000000053</v>
      </c>
      <c r="J77" s="3">
        <v>1.2568199999999976</v>
      </c>
      <c r="K77" s="3">
        <v>1.5457599999999978</v>
      </c>
      <c r="L77" s="3">
        <v>0.41786999999999708</v>
      </c>
      <c r="M77" s="3">
        <v>0.70680999999999727</v>
      </c>
      <c r="N77" s="3">
        <v>0.2889400000000002</v>
      </c>
      <c r="O77" s="13">
        <v>2.6853354667699305</v>
      </c>
      <c r="P77" s="13">
        <v>-0.18180458448725464</v>
      </c>
      <c r="Q77" s="3">
        <v>0.2908235029830723</v>
      </c>
      <c r="R77" s="3">
        <v>18655.212</v>
      </c>
    </row>
    <row r="78" spans="1:18" x14ac:dyDescent="0.25">
      <c r="A78" s="3">
        <v>1.2376624736908001E+18</v>
      </c>
      <c r="B78" s="3">
        <v>236.01835</v>
      </c>
      <c r="C78" s="3">
        <v>36.347510999999997</v>
      </c>
      <c r="D78" s="3">
        <v>6.6398659999999998E-2</v>
      </c>
      <c r="E78" s="3">
        <v>1.869130000000002</v>
      </c>
      <c r="F78" s="3">
        <v>2.7234100000000012</v>
      </c>
      <c r="G78" s="3">
        <v>3.1403800000000004</v>
      </c>
      <c r="H78" s="3">
        <v>3.4681500000000014</v>
      </c>
      <c r="I78" s="3">
        <v>0.85427999999999926</v>
      </c>
      <c r="J78" s="3">
        <v>1.2712499999999984</v>
      </c>
      <c r="K78" s="3">
        <v>1.5990199999999994</v>
      </c>
      <c r="L78" s="3">
        <v>0.41696999999999917</v>
      </c>
      <c r="M78" s="3">
        <v>0.74474000000000018</v>
      </c>
      <c r="N78" s="3">
        <v>0.327770000000001</v>
      </c>
      <c r="O78" s="13">
        <v>2.4889501480455922</v>
      </c>
      <c r="P78" s="13">
        <v>-0.1798059466270632</v>
      </c>
      <c r="Q78" s="3">
        <v>1.6224108235642953</v>
      </c>
      <c r="R78" s="3">
        <v>19919.597999999998</v>
      </c>
    </row>
    <row r="79" spans="1:18" x14ac:dyDescent="0.25">
      <c r="A79" s="3">
        <v>1.2376624736910001E+18</v>
      </c>
      <c r="B79" s="3">
        <v>236.37001000000001</v>
      </c>
      <c r="C79" s="3">
        <v>36.133343000000004</v>
      </c>
      <c r="D79" s="3">
        <v>6.5348920000000005E-2</v>
      </c>
      <c r="E79" s="3">
        <v>1.7693000000000012</v>
      </c>
      <c r="F79" s="3">
        <v>2.6161600000000007</v>
      </c>
      <c r="G79" s="3">
        <v>2.9935100000000006</v>
      </c>
      <c r="H79" s="3">
        <v>3.2851400000000019</v>
      </c>
      <c r="I79" s="3">
        <v>0.8468599999999995</v>
      </c>
      <c r="J79" s="3">
        <v>1.2242099999999994</v>
      </c>
      <c r="K79" s="3">
        <v>1.5158400000000007</v>
      </c>
      <c r="L79" s="3">
        <v>0.37734999999999985</v>
      </c>
      <c r="M79" s="3">
        <v>0.66898000000000124</v>
      </c>
      <c r="N79" s="3">
        <v>0.29163000000000139</v>
      </c>
      <c r="O79" s="13">
        <v>2.7513482914334424</v>
      </c>
      <c r="P79" s="13">
        <v>-0.17141916392637349</v>
      </c>
      <c r="Q79" s="3">
        <v>0.55580856305996929</v>
      </c>
      <c r="R79" s="3">
        <v>19604.676000000003</v>
      </c>
    </row>
    <row r="80" spans="1:18" x14ac:dyDescent="0.25">
      <c r="A80" s="3">
        <v>1.2376614659862001E+18</v>
      </c>
      <c r="B80" s="3">
        <v>236.04667000000001</v>
      </c>
      <c r="C80" s="3">
        <v>35.737752999999998</v>
      </c>
      <c r="D80" s="3">
        <v>7.8103790000000006E-2</v>
      </c>
      <c r="E80" s="3">
        <v>1.7243200000000023</v>
      </c>
      <c r="F80" s="3">
        <v>2.6331700000000033</v>
      </c>
      <c r="G80" s="3">
        <v>3.0092300000000023</v>
      </c>
      <c r="H80" s="3">
        <v>3.3559300000000007</v>
      </c>
      <c r="I80" s="3">
        <v>0.90885000000000105</v>
      </c>
      <c r="J80" s="3">
        <v>1.28491</v>
      </c>
      <c r="K80" s="3">
        <v>1.6316099999999985</v>
      </c>
      <c r="L80" s="3">
        <v>0.37605999999999895</v>
      </c>
      <c r="M80" s="3">
        <v>0.7227599999999974</v>
      </c>
      <c r="N80" s="3">
        <v>0.34669999999999845</v>
      </c>
      <c r="O80" s="13">
        <v>2.5701045217612251</v>
      </c>
      <c r="P80" s="13">
        <v>-0.16584787870597945</v>
      </c>
      <c r="Q80" s="3">
        <v>2.186874831001814</v>
      </c>
      <c r="R80" s="3">
        <v>23431.137000000002</v>
      </c>
    </row>
    <row r="81" spans="1:18" x14ac:dyDescent="0.25">
      <c r="A81" s="3">
        <v>1.2376625032188301E+18</v>
      </c>
      <c r="B81" s="3">
        <v>236.09998999999999</v>
      </c>
      <c r="C81" s="3">
        <v>36.135241000000001</v>
      </c>
      <c r="D81" s="3">
        <v>6.2827939999999999E-2</v>
      </c>
      <c r="E81" s="3">
        <v>1.7394600000000011</v>
      </c>
      <c r="F81" s="3">
        <v>2.538920000000001</v>
      </c>
      <c r="G81" s="3">
        <v>2.9246900000000018</v>
      </c>
      <c r="H81" s="3">
        <v>3.1541500000000013</v>
      </c>
      <c r="I81" s="3">
        <v>0.79945999999999984</v>
      </c>
      <c r="J81" s="3">
        <v>1.1852300000000007</v>
      </c>
      <c r="K81" s="3">
        <v>1.4146900000000002</v>
      </c>
      <c r="L81" s="3">
        <v>0.38577000000000083</v>
      </c>
      <c r="M81" s="3">
        <v>0.61523000000000039</v>
      </c>
      <c r="N81" s="3">
        <v>0.22945999999999955</v>
      </c>
      <c r="O81" s="13">
        <v>3.0852717508477112</v>
      </c>
      <c r="P81" s="13">
        <v>-0.15872726911608998</v>
      </c>
      <c r="Q81" s="3">
        <v>0.65140788870012079</v>
      </c>
      <c r="R81" s="3">
        <v>18848.382000000001</v>
      </c>
    </row>
    <row r="82" spans="1:18" x14ac:dyDescent="0.25">
      <c r="A82" s="3">
        <v>1.23766247315406E+18</v>
      </c>
      <c r="B82" s="3">
        <v>236.03241</v>
      </c>
      <c r="C82" s="3">
        <v>36.017156</v>
      </c>
      <c r="D82" s="3">
        <v>6.8977289999999997E-2</v>
      </c>
      <c r="E82" s="3">
        <v>1.7911199999999994</v>
      </c>
      <c r="F82" s="3">
        <v>2.6652400000000007</v>
      </c>
      <c r="G82" s="3">
        <v>3.1387599999999978</v>
      </c>
      <c r="H82" s="3">
        <v>3.4508799999999979</v>
      </c>
      <c r="I82" s="3">
        <v>0.87412000000000134</v>
      </c>
      <c r="J82" s="3">
        <v>1.3476399999999984</v>
      </c>
      <c r="K82" s="3">
        <v>1.6597599999999986</v>
      </c>
      <c r="L82" s="3">
        <v>0.47351999999999705</v>
      </c>
      <c r="M82" s="3">
        <v>0.78563999999999723</v>
      </c>
      <c r="N82" s="3">
        <v>0.31212000000000018</v>
      </c>
      <c r="O82" s="13">
        <v>2.3980197631992746</v>
      </c>
      <c r="P82" s="13">
        <v>-0.15548624522949289</v>
      </c>
      <c r="Q82" s="3">
        <v>1.0564641747642374</v>
      </c>
      <c r="R82" s="3">
        <v>20693.186999999998</v>
      </c>
    </row>
    <row r="83" spans="1:18" x14ac:dyDescent="0.25">
      <c r="A83" s="3">
        <v>1.23766247369074E+18</v>
      </c>
      <c r="B83" s="3">
        <v>235.96593999999999</v>
      </c>
      <c r="C83" s="3">
        <v>36.560442999999999</v>
      </c>
      <c r="D83" s="3">
        <v>6.7340609999999995E-2</v>
      </c>
      <c r="E83" s="3">
        <v>1.8488100000000003</v>
      </c>
      <c r="F83" s="3">
        <v>2.7378399999999985</v>
      </c>
      <c r="G83" s="3">
        <v>3.1393899999999988</v>
      </c>
      <c r="H83" s="3">
        <v>3.4502999999999986</v>
      </c>
      <c r="I83" s="3">
        <v>0.88902999999999821</v>
      </c>
      <c r="J83" s="3">
        <v>1.2905799999999985</v>
      </c>
      <c r="K83" s="3">
        <v>1.6014899999999983</v>
      </c>
      <c r="L83" s="3">
        <v>0.4015500000000003</v>
      </c>
      <c r="M83" s="3">
        <v>0.71246000000000009</v>
      </c>
      <c r="N83" s="3">
        <v>0.3109099999999998</v>
      </c>
      <c r="O83" s="13">
        <v>2.5163722852844796</v>
      </c>
      <c r="P83" s="13">
        <v>-0.13641904962855592</v>
      </c>
      <c r="Q83" s="3">
        <v>2.7212771313963042</v>
      </c>
      <c r="R83" s="3">
        <v>20202.182999999997</v>
      </c>
    </row>
    <row r="84" spans="1:18" x14ac:dyDescent="0.25">
      <c r="A84" s="3">
        <v>1.23766250321903E+18</v>
      </c>
      <c r="B84" s="3">
        <v>236.61057</v>
      </c>
      <c r="C84" s="3">
        <v>35.901086999999997</v>
      </c>
      <c r="D84" s="3">
        <v>6.7894540000000003E-2</v>
      </c>
      <c r="E84" s="3">
        <v>1.6896699999999996</v>
      </c>
      <c r="F84" s="3">
        <v>2.5334800000000008</v>
      </c>
      <c r="G84" s="3">
        <v>2.9314199999999992</v>
      </c>
      <c r="H84" s="3">
        <v>3.2116299999999995</v>
      </c>
      <c r="I84" s="3">
        <v>0.84381000000000128</v>
      </c>
      <c r="J84" s="3">
        <v>1.2417499999999997</v>
      </c>
      <c r="K84" s="3">
        <v>1.52196</v>
      </c>
      <c r="L84" s="3">
        <v>0.39793999999999841</v>
      </c>
      <c r="M84" s="3">
        <v>0.6781499999999987</v>
      </c>
      <c r="N84" s="3">
        <v>0.28021000000000029</v>
      </c>
      <c r="O84" s="13">
        <v>2.7544103213449374</v>
      </c>
      <c r="P84" s="13">
        <v>-0.12593767537940204</v>
      </c>
      <c r="Q84" s="3">
        <v>1.9487999619048335</v>
      </c>
      <c r="R84" s="3">
        <v>20368.362000000001</v>
      </c>
    </row>
    <row r="85" spans="1:18" x14ac:dyDescent="0.25">
      <c r="A85" s="3">
        <v>1.2376624731539999E+18</v>
      </c>
      <c r="B85" s="3">
        <v>235.99902</v>
      </c>
      <c r="C85" s="3">
        <v>36.086818000000001</v>
      </c>
      <c r="D85" s="3">
        <v>6.5674079999999996E-2</v>
      </c>
      <c r="E85" s="3">
        <v>1.7484500000000018</v>
      </c>
      <c r="F85" s="3">
        <v>2.6404100000000028</v>
      </c>
      <c r="G85" s="3">
        <v>3.0121099999999998</v>
      </c>
      <c r="H85" s="3">
        <v>3.3375500000000002</v>
      </c>
      <c r="I85" s="3">
        <v>0.89196000000000097</v>
      </c>
      <c r="J85" s="3">
        <v>1.263659999999998</v>
      </c>
      <c r="K85" s="3">
        <v>1.5890999999999984</v>
      </c>
      <c r="L85" s="3">
        <v>0.37169999999999703</v>
      </c>
      <c r="M85" s="3">
        <v>0.69713999999999743</v>
      </c>
      <c r="N85" s="3">
        <v>0.3254400000000004</v>
      </c>
      <c r="O85" s="13">
        <v>2.6610364467929633</v>
      </c>
      <c r="P85" s="13">
        <v>-0.12509572496935817</v>
      </c>
      <c r="Q85" s="3">
        <v>1.0837548696002517</v>
      </c>
      <c r="R85" s="3">
        <v>19702.223999999998</v>
      </c>
    </row>
    <row r="86" spans="1:18" x14ac:dyDescent="0.25">
      <c r="A86" s="3">
        <v>1.2376625032187E+18</v>
      </c>
      <c r="B86" s="3">
        <v>235.78942000000001</v>
      </c>
      <c r="C86" s="3">
        <v>36.296126999999998</v>
      </c>
      <c r="D86" s="3">
        <v>6.6005069999999999E-2</v>
      </c>
      <c r="E86" s="3">
        <v>1.7686500000000009</v>
      </c>
      <c r="F86" s="3">
        <v>2.56616</v>
      </c>
      <c r="G86" s="3">
        <v>2.9246000000000016</v>
      </c>
      <c r="H86" s="3">
        <v>3.1822499999999998</v>
      </c>
      <c r="I86" s="3">
        <v>0.79750999999999905</v>
      </c>
      <c r="J86" s="3">
        <v>1.1559500000000007</v>
      </c>
      <c r="K86" s="3">
        <v>1.4135999999999989</v>
      </c>
      <c r="L86" s="3">
        <v>0.35844000000000165</v>
      </c>
      <c r="M86" s="3">
        <v>0.6160899999999998</v>
      </c>
      <c r="N86" s="3">
        <v>0.25764999999999816</v>
      </c>
      <c r="O86" s="13">
        <v>3.1098701790526637</v>
      </c>
      <c r="P86" s="13">
        <v>-0.11757591982592901</v>
      </c>
      <c r="Q86" s="3">
        <v>2.2287939765540172</v>
      </c>
      <c r="R86" s="3">
        <v>19801.521000000001</v>
      </c>
    </row>
    <row r="87" spans="1:18" x14ac:dyDescent="0.25">
      <c r="A87" s="3">
        <v>1.2376624736908001E+18</v>
      </c>
      <c r="B87" s="3">
        <v>236.14118999999999</v>
      </c>
      <c r="C87" s="3">
        <v>36.477392999999999</v>
      </c>
      <c r="D87" s="3">
        <v>6.6917630000000006E-2</v>
      </c>
      <c r="E87" s="3">
        <v>1.8567400000000021</v>
      </c>
      <c r="F87" s="3">
        <v>2.7475900000000006</v>
      </c>
      <c r="G87" s="3">
        <v>3.165140000000001</v>
      </c>
      <c r="H87" s="3">
        <v>3.5187400000000011</v>
      </c>
      <c r="I87" s="3">
        <v>0.89084999999999859</v>
      </c>
      <c r="J87" s="3">
        <v>1.3083999999999989</v>
      </c>
      <c r="K87" s="3">
        <v>1.661999999999999</v>
      </c>
      <c r="L87" s="3">
        <v>0.41755000000000031</v>
      </c>
      <c r="M87" s="3">
        <v>0.77115000000000045</v>
      </c>
      <c r="N87" s="3">
        <v>0.35360000000000014</v>
      </c>
      <c r="O87" s="13">
        <v>2.306730892062955</v>
      </c>
      <c r="P87" s="13">
        <v>-0.11685495710593737</v>
      </c>
      <c r="Q87" s="3">
        <v>2.0372055541738385</v>
      </c>
      <c r="R87" s="3">
        <v>20075.289000000001</v>
      </c>
    </row>
    <row r="88" spans="1:18" x14ac:dyDescent="0.25">
      <c r="A88" s="3">
        <v>1.2376625032186399E+18</v>
      </c>
      <c r="B88" s="3">
        <v>235.78666999999999</v>
      </c>
      <c r="C88" s="3">
        <v>36.463444000000003</v>
      </c>
      <c r="D88" s="3">
        <v>6.5224270000000001E-2</v>
      </c>
      <c r="E88" s="3">
        <v>1.7988499999999981</v>
      </c>
      <c r="F88" s="3">
        <v>2.6358099999999993</v>
      </c>
      <c r="G88" s="3">
        <v>3.0162899999999979</v>
      </c>
      <c r="H88" s="3">
        <v>3.288450000000001</v>
      </c>
      <c r="I88" s="3">
        <v>0.83696000000000126</v>
      </c>
      <c r="J88" s="3">
        <v>1.2174399999999999</v>
      </c>
      <c r="K88" s="3">
        <v>1.4896000000000029</v>
      </c>
      <c r="L88" s="3">
        <v>0.3804799999999986</v>
      </c>
      <c r="M88" s="3">
        <v>0.65264000000000166</v>
      </c>
      <c r="N88" s="3">
        <v>0.27216000000000307</v>
      </c>
      <c r="O88" s="13">
        <v>2.883856162641139</v>
      </c>
      <c r="P88" s="13">
        <v>-0.10937421919475099</v>
      </c>
      <c r="Q88" s="3">
        <v>2.764288980255472</v>
      </c>
      <c r="R88" s="3">
        <v>19567.280999999999</v>
      </c>
    </row>
    <row r="89" spans="1:18" x14ac:dyDescent="0.25">
      <c r="A89" s="3">
        <v>1.23766247369074E+18</v>
      </c>
      <c r="B89" s="3">
        <v>235.87022999999999</v>
      </c>
      <c r="C89" s="3">
        <v>36.612698999999999</v>
      </c>
      <c r="D89" s="3">
        <v>6.7274340000000002E-2</v>
      </c>
      <c r="E89" s="3">
        <v>1.8501499999999993</v>
      </c>
      <c r="F89" s="3">
        <v>2.6800999999999995</v>
      </c>
      <c r="G89" s="3">
        <v>3.0853599999999979</v>
      </c>
      <c r="H89" s="3">
        <v>3.3864799999999988</v>
      </c>
      <c r="I89" s="3">
        <v>0.82995000000000019</v>
      </c>
      <c r="J89" s="3">
        <v>1.2352099999999986</v>
      </c>
      <c r="K89" s="3">
        <v>1.5363299999999995</v>
      </c>
      <c r="L89" s="3">
        <v>0.4052599999999984</v>
      </c>
      <c r="M89" s="3">
        <v>0.70637999999999934</v>
      </c>
      <c r="N89" s="3">
        <v>0.30112000000000094</v>
      </c>
      <c r="O89" s="13">
        <v>2.6723635385181903</v>
      </c>
      <c r="P89" s="13">
        <v>-8.8825125915228745E-2</v>
      </c>
      <c r="Q89" s="3">
        <v>3.1689324243093551</v>
      </c>
      <c r="R89" s="3">
        <v>20182.302</v>
      </c>
    </row>
    <row r="90" spans="1:18" x14ac:dyDescent="0.25">
      <c r="A90" s="3">
        <v>1.2376625037557701E+18</v>
      </c>
      <c r="B90" s="3">
        <v>236.55311</v>
      </c>
      <c r="C90" s="3">
        <v>36.306319999999999</v>
      </c>
      <c r="D90" s="3">
        <v>6.6127720000000001E-2</v>
      </c>
      <c r="E90" s="3">
        <v>1.6878100000000025</v>
      </c>
      <c r="F90" s="3">
        <v>2.5025500000000029</v>
      </c>
      <c r="G90" s="3">
        <v>2.8564700000000016</v>
      </c>
      <c r="H90" s="3">
        <v>3.0897100000000002</v>
      </c>
      <c r="I90" s="3">
        <v>0.81474000000000046</v>
      </c>
      <c r="J90" s="3">
        <v>1.1686599999999991</v>
      </c>
      <c r="K90" s="3">
        <v>1.4018999999999977</v>
      </c>
      <c r="L90" s="3">
        <v>0.35391999999999868</v>
      </c>
      <c r="M90" s="3">
        <v>0.58715999999999724</v>
      </c>
      <c r="N90" s="3">
        <v>0.23323999999999856</v>
      </c>
      <c r="O90" s="13">
        <v>3.0679323176435664</v>
      </c>
      <c r="P90" s="13">
        <v>-6.9173360102067927E-2</v>
      </c>
      <c r="Q90" s="3">
        <v>1.7079492580961837</v>
      </c>
      <c r="R90" s="3">
        <v>19838.315999999999</v>
      </c>
    </row>
    <row r="91" spans="1:18" x14ac:dyDescent="0.25">
      <c r="A91" s="3">
        <v>1.23766247369074E+18</v>
      </c>
      <c r="B91" s="3">
        <v>236.01264</v>
      </c>
      <c r="C91" s="3">
        <v>36.597296999999998</v>
      </c>
      <c r="D91" s="3">
        <v>6.8684869999999995E-2</v>
      </c>
      <c r="E91" s="3">
        <v>1.8165699999999987</v>
      </c>
      <c r="F91" s="3">
        <v>2.6432899999999986</v>
      </c>
      <c r="G91" s="3">
        <v>3.0209599999999988</v>
      </c>
      <c r="H91" s="3">
        <v>3.3230299999999975</v>
      </c>
      <c r="I91" s="3">
        <v>0.8267199999999999</v>
      </c>
      <c r="J91" s="3">
        <v>1.2043900000000001</v>
      </c>
      <c r="K91" s="3">
        <v>1.5064599999999988</v>
      </c>
      <c r="L91" s="3">
        <v>0.37767000000000017</v>
      </c>
      <c r="M91" s="3">
        <v>0.6797399999999989</v>
      </c>
      <c r="N91" s="3">
        <v>0.30206999999999873</v>
      </c>
      <c r="O91" s="13">
        <v>2.7547145733009573</v>
      </c>
      <c r="P91" s="13">
        <v>-5.9527961586132307E-2</v>
      </c>
      <c r="Q91" s="3">
        <v>2.8212471416323228</v>
      </c>
      <c r="R91" s="3">
        <v>20605.460999999999</v>
      </c>
    </row>
    <row r="92" spans="1:18" x14ac:dyDescent="0.25">
      <c r="A92" s="3">
        <v>1.2376624736910001E+18</v>
      </c>
      <c r="B92" s="3">
        <v>236.44767999999999</v>
      </c>
      <c r="C92" s="3">
        <v>36.254269000000001</v>
      </c>
      <c r="D92" s="3">
        <v>6.9524959999999997E-2</v>
      </c>
      <c r="E92" s="3">
        <v>1.7307799999999993</v>
      </c>
      <c r="F92" s="3">
        <v>2.5426099999999998</v>
      </c>
      <c r="G92" s="3">
        <v>2.907709999999998</v>
      </c>
      <c r="H92" s="3">
        <v>3.2039099999999987</v>
      </c>
      <c r="I92" s="3">
        <v>0.8118300000000005</v>
      </c>
      <c r="J92" s="3">
        <v>1.1769299999999987</v>
      </c>
      <c r="K92" s="3">
        <v>1.4731299999999994</v>
      </c>
      <c r="L92" s="3">
        <v>0.3650999999999982</v>
      </c>
      <c r="M92" s="3">
        <v>0.66129999999999889</v>
      </c>
      <c r="N92" s="3">
        <v>0.29620000000000068</v>
      </c>
      <c r="O92" s="13">
        <v>2.8448995048026355</v>
      </c>
      <c r="P92" s="13">
        <v>-5.247725449275701E-2</v>
      </c>
      <c r="Q92" s="3">
        <v>1.1758136372182224</v>
      </c>
      <c r="R92" s="3">
        <v>20857.487999999998</v>
      </c>
    </row>
    <row r="93" spans="1:18" x14ac:dyDescent="0.25">
      <c r="A93" s="3">
        <v>1.2376625032189E+18</v>
      </c>
      <c r="B93" s="3">
        <v>236.30726000000001</v>
      </c>
      <c r="C93" s="3">
        <v>35.975124000000001</v>
      </c>
      <c r="D93" s="3">
        <v>7.2928850000000003E-2</v>
      </c>
      <c r="E93" s="3">
        <v>1.6879799999999996</v>
      </c>
      <c r="F93" s="3">
        <v>2.5587699999999991</v>
      </c>
      <c r="G93" s="3">
        <v>2.9646799999999978</v>
      </c>
      <c r="H93" s="3">
        <v>3.2880499999999984</v>
      </c>
      <c r="I93" s="3">
        <v>0.87078999999999951</v>
      </c>
      <c r="J93" s="3">
        <v>1.2766999999999982</v>
      </c>
      <c r="K93" s="3">
        <v>1.6000699999999988</v>
      </c>
      <c r="L93" s="3">
        <v>0.40590999999999866</v>
      </c>
      <c r="M93" s="3">
        <v>0.72927999999999926</v>
      </c>
      <c r="N93" s="3">
        <v>0.3233700000000006</v>
      </c>
      <c r="O93" s="13">
        <v>2.5917483250041222</v>
      </c>
      <c r="P93" s="13">
        <v>-3.985230371277159E-2</v>
      </c>
      <c r="Q93" s="3">
        <v>0.7726821472782095</v>
      </c>
      <c r="R93" s="3">
        <v>21878.655000000002</v>
      </c>
    </row>
    <row r="94" spans="1:18" x14ac:dyDescent="0.25">
      <c r="A94" s="3">
        <v>1.2376624736909299E+18</v>
      </c>
      <c r="B94" s="3">
        <v>236.19955999999999</v>
      </c>
      <c r="C94" s="3">
        <v>36.264617999999999</v>
      </c>
      <c r="D94" s="3">
        <v>6.9475839999999997E-2</v>
      </c>
      <c r="E94" s="3">
        <v>1.72682</v>
      </c>
      <c r="F94" s="3">
        <v>2.5693999999999981</v>
      </c>
      <c r="G94" s="3">
        <v>2.9609699999999997</v>
      </c>
      <c r="H94" s="3">
        <v>3.2605900000000005</v>
      </c>
      <c r="I94" s="3">
        <v>0.84257999999999811</v>
      </c>
      <c r="J94" s="3">
        <v>1.2341499999999996</v>
      </c>
      <c r="K94" s="3">
        <v>1.5337700000000005</v>
      </c>
      <c r="L94" s="3">
        <v>0.39157000000000153</v>
      </c>
      <c r="M94" s="3">
        <v>0.69119000000000241</v>
      </c>
      <c r="N94" s="3">
        <v>0.29962000000000089</v>
      </c>
      <c r="O94" s="13">
        <v>2.7390747016768002</v>
      </c>
      <c r="P94" s="13">
        <v>-3.2355509753253055E-2</v>
      </c>
      <c r="Q94" s="3">
        <v>0.86136950659901601</v>
      </c>
      <c r="R94" s="3">
        <v>20842.752</v>
      </c>
    </row>
    <row r="95" spans="1:18" x14ac:dyDescent="0.25">
      <c r="A95" s="3">
        <v>1.23766247315439E+18</v>
      </c>
      <c r="B95" s="3">
        <v>236.78066000000001</v>
      </c>
      <c r="C95" s="3">
        <v>35.613542000000002</v>
      </c>
      <c r="D95" s="3">
        <v>7.661917E-2</v>
      </c>
      <c r="E95" s="3">
        <v>1.5633200000000009</v>
      </c>
      <c r="F95" s="3">
        <v>2.3697400000000002</v>
      </c>
      <c r="G95" s="3">
        <v>2.7716799999999999</v>
      </c>
      <c r="H95" s="3">
        <v>3.0207000000000015</v>
      </c>
      <c r="I95" s="3">
        <v>0.80641999999999925</v>
      </c>
      <c r="J95" s="3">
        <v>1.208359999999999</v>
      </c>
      <c r="K95" s="3">
        <v>1.4573800000000006</v>
      </c>
      <c r="L95" s="3">
        <v>0.40193999999999974</v>
      </c>
      <c r="M95" s="3">
        <v>0.65096000000000132</v>
      </c>
      <c r="N95" s="3">
        <v>0.24902000000000157</v>
      </c>
      <c r="O95" s="13">
        <v>2.9807402096702518</v>
      </c>
      <c r="P95" s="13">
        <v>-2.8919685913354302E-2</v>
      </c>
      <c r="Q95" s="3">
        <v>3.554043918311776</v>
      </c>
      <c r="R95" s="3">
        <v>22985.751</v>
      </c>
    </row>
    <row r="96" spans="1:18" x14ac:dyDescent="0.25">
      <c r="A96" s="3">
        <v>1.23766247369074E+18</v>
      </c>
      <c r="B96" s="3">
        <v>235.81360000000001</v>
      </c>
      <c r="C96" s="3">
        <v>36.473101</v>
      </c>
      <c r="D96" s="3">
        <v>6.5316739999999998E-2</v>
      </c>
      <c r="E96" s="3">
        <v>1.7890300000000003</v>
      </c>
      <c r="F96" s="3">
        <v>2.5791599999999981</v>
      </c>
      <c r="G96" s="3">
        <v>2.9582799999999985</v>
      </c>
      <c r="H96" s="3">
        <v>3.2732599999999969</v>
      </c>
      <c r="I96" s="3">
        <v>0.79012999999999778</v>
      </c>
      <c r="J96" s="3">
        <v>1.1692499999999981</v>
      </c>
      <c r="K96" s="3">
        <v>1.4842299999999966</v>
      </c>
      <c r="L96" s="3">
        <v>0.37912000000000035</v>
      </c>
      <c r="M96" s="3">
        <v>0.69409999999999883</v>
      </c>
      <c r="N96" s="3">
        <v>0.31497999999999848</v>
      </c>
      <c r="O96" s="13">
        <v>2.8610426301371494</v>
      </c>
      <c r="P96" s="13">
        <v>-4.1006311293613415E-3</v>
      </c>
      <c r="Q96" s="3">
        <v>2.7181387219509543</v>
      </c>
      <c r="R96" s="3">
        <v>19595.022000000001</v>
      </c>
    </row>
    <row r="97" spans="1:18" x14ac:dyDescent="0.25">
      <c r="A97" s="3">
        <v>1.2376625032187E+18</v>
      </c>
      <c r="B97" s="3">
        <v>235.94580999999999</v>
      </c>
      <c r="C97" s="3">
        <v>36.373638999999997</v>
      </c>
      <c r="D97" s="3">
        <v>6.4979609999999993E-2</v>
      </c>
      <c r="E97" s="3">
        <v>1.7072700000000012</v>
      </c>
      <c r="F97" s="3">
        <v>2.4680300000000024</v>
      </c>
      <c r="G97" s="3">
        <v>2.8274400000000028</v>
      </c>
      <c r="H97" s="3">
        <v>3.0700200000000031</v>
      </c>
      <c r="I97" s="3">
        <v>0.76076000000000121</v>
      </c>
      <c r="J97" s="3">
        <v>1.1201700000000017</v>
      </c>
      <c r="K97" s="3">
        <v>1.3627500000000019</v>
      </c>
      <c r="L97" s="3">
        <v>0.35941000000000045</v>
      </c>
      <c r="M97" s="3">
        <v>0.60199000000000069</v>
      </c>
      <c r="N97" s="3">
        <v>0.24258000000000024</v>
      </c>
      <c r="O97" s="13">
        <v>3.2362767214894257</v>
      </c>
      <c r="P97" s="13">
        <v>-1.1877991031938519E-4</v>
      </c>
      <c r="Q97" s="3">
        <v>1.9337421602175662</v>
      </c>
      <c r="R97" s="3">
        <v>19493.882999999998</v>
      </c>
    </row>
    <row r="98" spans="1:18" x14ac:dyDescent="0.25">
      <c r="A98" s="3">
        <v>1.2376625032189E+18</v>
      </c>
      <c r="B98" s="3">
        <v>236.21476999999999</v>
      </c>
      <c r="C98" s="3">
        <v>36.019869999999997</v>
      </c>
      <c r="D98" s="3">
        <v>6.5661650000000002E-2</v>
      </c>
      <c r="E98" s="3">
        <v>1.6394300000000008</v>
      </c>
      <c r="F98" s="3">
        <v>2.4712800000000001</v>
      </c>
      <c r="G98" s="3">
        <v>2.8665699999999994</v>
      </c>
      <c r="H98" s="3">
        <v>3.1563500000000015</v>
      </c>
      <c r="I98" s="3">
        <v>0.83184999999999931</v>
      </c>
      <c r="J98" s="3">
        <v>1.2271399999999986</v>
      </c>
      <c r="K98" s="3">
        <v>1.5169200000000007</v>
      </c>
      <c r="L98" s="3">
        <v>0.39528999999999925</v>
      </c>
      <c r="M98" s="3">
        <v>0.6850700000000014</v>
      </c>
      <c r="N98" s="3">
        <v>0.28978000000000215</v>
      </c>
      <c r="O98" s="13">
        <v>2.8618345445428215</v>
      </c>
      <c r="P98" s="13">
        <v>2.4101626728006573E-2</v>
      </c>
      <c r="Q98" s="3">
        <v>0.50227270891968478</v>
      </c>
      <c r="R98" s="3">
        <v>19698.494999999999</v>
      </c>
    </row>
    <row r="99" spans="1:18" x14ac:dyDescent="0.25">
      <c r="A99" s="3">
        <v>1.23766233786351E+18</v>
      </c>
      <c r="B99" s="3">
        <v>235.67094</v>
      </c>
      <c r="C99" s="3">
        <v>35.869135999999997</v>
      </c>
      <c r="D99" s="3">
        <v>6.6760009999999995E-2</v>
      </c>
      <c r="E99" s="3">
        <v>1.6348999999999982</v>
      </c>
      <c r="F99" s="3">
        <v>2.4556199999999997</v>
      </c>
      <c r="G99" s="3">
        <v>2.8477099999999993</v>
      </c>
      <c r="H99" s="3">
        <v>3.1529500000000006</v>
      </c>
      <c r="I99" s="3">
        <v>0.82072000000000145</v>
      </c>
      <c r="J99" s="3">
        <v>1.2128100000000011</v>
      </c>
      <c r="K99" s="3">
        <v>1.5180500000000023</v>
      </c>
      <c r="L99" s="3">
        <v>0.39208999999999961</v>
      </c>
      <c r="M99" s="3">
        <v>0.69733000000000089</v>
      </c>
      <c r="N99" s="3">
        <v>0.30524000000000129</v>
      </c>
      <c r="O99" s="13">
        <v>2.9671712801760215</v>
      </c>
      <c r="P99" s="13">
        <v>3.7493077048404315E-2</v>
      </c>
      <c r="Q99" s="3">
        <v>2.8260906389152534</v>
      </c>
      <c r="R99" s="3">
        <v>20028.002999999997</v>
      </c>
    </row>
    <row r="100" spans="1:18" x14ac:dyDescent="0.25">
      <c r="A100" s="3">
        <v>1.2376614659863301E+18</v>
      </c>
      <c r="B100" s="3">
        <v>236.32719</v>
      </c>
      <c r="C100" s="3">
        <v>35.705584000000002</v>
      </c>
      <c r="D100" s="3">
        <v>6.8698999999999996E-2</v>
      </c>
      <c r="E100" s="3">
        <v>1.5968499999999999</v>
      </c>
      <c r="F100" s="3">
        <v>2.3666499999999999</v>
      </c>
      <c r="G100" s="3">
        <v>2.7378499999999981</v>
      </c>
      <c r="H100" s="3">
        <v>3.0450099999999978</v>
      </c>
      <c r="I100" s="3">
        <v>0.76980000000000004</v>
      </c>
      <c r="J100" s="3">
        <v>1.1409999999999982</v>
      </c>
      <c r="K100" s="3">
        <v>1.4481599999999979</v>
      </c>
      <c r="L100" s="3">
        <v>0.3711999999999982</v>
      </c>
      <c r="M100" s="3">
        <v>0.67835999999999785</v>
      </c>
      <c r="N100" s="3">
        <v>0.30715999999999966</v>
      </c>
      <c r="O100" s="13">
        <v>3.0445421714523073</v>
      </c>
      <c r="P100" s="13">
        <v>4.441549311027107E-2</v>
      </c>
      <c r="Q100" s="3">
        <v>2.2082528838550757</v>
      </c>
      <c r="R100" s="3">
        <v>20609.699999999997</v>
      </c>
    </row>
    <row r="101" spans="1:18" x14ac:dyDescent="0.25">
      <c r="A101" s="3">
        <v>1.2376625032189701E+18</v>
      </c>
      <c r="B101" s="3">
        <v>236.44991999999999</v>
      </c>
      <c r="C101" s="3">
        <v>35.928752000000003</v>
      </c>
      <c r="D101" s="3">
        <v>6.3864340000000006E-2</v>
      </c>
      <c r="E101" s="3">
        <v>1.6039500000000011</v>
      </c>
      <c r="F101" s="3">
        <v>2.4474100000000014</v>
      </c>
      <c r="G101" s="3">
        <v>2.8331000000000017</v>
      </c>
      <c r="H101" s="3">
        <v>3.1372299999999989</v>
      </c>
      <c r="I101" s="3">
        <v>0.84346000000000032</v>
      </c>
      <c r="J101" s="3">
        <v>1.2291500000000006</v>
      </c>
      <c r="K101" s="3">
        <v>1.5332799999999978</v>
      </c>
      <c r="L101" s="3">
        <v>0.38569000000000031</v>
      </c>
      <c r="M101" s="3">
        <v>0.68981999999999744</v>
      </c>
      <c r="N101" s="3">
        <v>0.30412999999999712</v>
      </c>
      <c r="O101" s="13">
        <v>2.8130105847932017</v>
      </c>
      <c r="P101" s="13">
        <v>4.5637759746505004E-2</v>
      </c>
      <c r="Q101" s="3">
        <v>1.3203669375508782</v>
      </c>
      <c r="R101" s="3">
        <v>19159.302000000003</v>
      </c>
    </row>
    <row r="102" spans="1:18" x14ac:dyDescent="0.25">
      <c r="A102" s="3">
        <v>1.2376614659859999E+18</v>
      </c>
      <c r="B102" s="3">
        <v>235.72713999999999</v>
      </c>
      <c r="C102" s="3">
        <v>36.146338999999998</v>
      </c>
      <c r="D102" s="3">
        <v>0.15704850000000001</v>
      </c>
      <c r="E102" s="3">
        <v>1.6416000000000004</v>
      </c>
      <c r="F102" s="3">
        <v>2.4710199999999993</v>
      </c>
      <c r="G102" s="3">
        <v>2.8034800000000004</v>
      </c>
      <c r="H102" s="3">
        <v>3.0456800000000008</v>
      </c>
      <c r="I102" s="3">
        <v>0.82941999999999894</v>
      </c>
      <c r="J102" s="3">
        <v>1.16188</v>
      </c>
      <c r="K102" s="3">
        <v>1.4040800000000004</v>
      </c>
      <c r="L102" s="3">
        <v>0.33246000000000109</v>
      </c>
      <c r="M102" s="3">
        <v>0.5746600000000015</v>
      </c>
      <c r="N102" s="3">
        <v>0.24220000000000041</v>
      </c>
      <c r="O102" s="13">
        <v>3.1614516365082106</v>
      </c>
      <c r="P102" s="13">
        <v>4.8645702214071725E-2</v>
      </c>
      <c r="Q102" s="3">
        <v>2.2702633156458782</v>
      </c>
      <c r="R102" s="3">
        <v>47114.55</v>
      </c>
    </row>
    <row r="103" spans="1:18" x14ac:dyDescent="0.25">
      <c r="A103" s="3">
        <v>1.2376624736908001E+18</v>
      </c>
      <c r="B103" s="3">
        <v>236.03367</v>
      </c>
      <c r="C103" s="3">
        <v>36.556773</v>
      </c>
      <c r="D103" s="3">
        <v>6.8495280000000006E-2</v>
      </c>
      <c r="E103" s="3">
        <v>1.7509900000000016</v>
      </c>
      <c r="F103" s="3">
        <v>2.5737000000000005</v>
      </c>
      <c r="G103" s="3">
        <v>2.9553600000000007</v>
      </c>
      <c r="H103" s="3">
        <v>3.2679700000000018</v>
      </c>
      <c r="I103" s="3">
        <v>0.82270999999999894</v>
      </c>
      <c r="J103" s="3">
        <v>1.2043699999999991</v>
      </c>
      <c r="K103" s="3">
        <v>1.5169800000000002</v>
      </c>
      <c r="L103" s="3">
        <v>0.38166000000000011</v>
      </c>
      <c r="M103" s="3">
        <v>0.69427000000000127</v>
      </c>
      <c r="N103" s="3">
        <v>0.31261000000000116</v>
      </c>
      <c r="O103" s="13">
        <v>2.7643371058624875</v>
      </c>
      <c r="P103" s="13">
        <v>4.9207450756514379E-2</v>
      </c>
      <c r="Q103" s="3">
        <v>2.5844001972309258</v>
      </c>
      <c r="R103" s="3">
        <v>20548.584000000003</v>
      </c>
    </row>
    <row r="104" spans="1:18" x14ac:dyDescent="0.25">
      <c r="A104" s="3"/>
      <c r="B104" s="3"/>
      <c r="C104" s="3"/>
      <c r="D104" s="3"/>
      <c r="O104" s="13"/>
      <c r="P104" s="13"/>
      <c r="Q104" s="3"/>
      <c r="R104" s="3"/>
    </row>
    <row r="105" spans="1:18" x14ac:dyDescent="0.25">
      <c r="A105" s="3"/>
      <c r="B105" s="3"/>
      <c r="C105" s="3"/>
      <c r="D105" s="3"/>
      <c r="O105" s="13"/>
      <c r="P105" s="13"/>
      <c r="Q105" s="3"/>
      <c r="R105" s="3"/>
    </row>
    <row r="106" spans="1:18" x14ac:dyDescent="0.25">
      <c r="A106" s="3"/>
      <c r="B106" s="3"/>
      <c r="C106" s="3"/>
      <c r="D106" s="3"/>
      <c r="O106" s="13"/>
      <c r="P106" s="13"/>
      <c r="Q106" s="3"/>
      <c r="R106" s="3"/>
    </row>
    <row r="107" spans="1:18" x14ac:dyDescent="0.25">
      <c r="A107" s="3"/>
      <c r="B107" s="3"/>
      <c r="C107" s="3"/>
      <c r="D107" s="3"/>
      <c r="O107" s="13"/>
      <c r="P107" s="13"/>
      <c r="Q107" s="3"/>
      <c r="R107" s="3"/>
    </row>
    <row r="108" spans="1:18" x14ac:dyDescent="0.25">
      <c r="A108" s="3"/>
      <c r="B108" s="3"/>
      <c r="C108" s="3"/>
      <c r="D108" s="3"/>
      <c r="O108" s="13"/>
      <c r="P108" s="13"/>
      <c r="Q108" s="3"/>
      <c r="R108" s="3"/>
    </row>
    <row r="109" spans="1:18" x14ac:dyDescent="0.25">
      <c r="A109" s="3"/>
      <c r="B109" s="3"/>
      <c r="C109" s="3"/>
      <c r="D109" s="3"/>
      <c r="O109" s="13"/>
      <c r="P109" s="13"/>
      <c r="Q109" s="3"/>
      <c r="R109" s="3"/>
    </row>
    <row r="110" spans="1:18" x14ac:dyDescent="0.25">
      <c r="A110" s="3"/>
      <c r="B110" s="3"/>
      <c r="C110" s="3"/>
      <c r="D110" s="3"/>
      <c r="O110" s="13"/>
      <c r="P110" s="13"/>
      <c r="Q110" s="3"/>
      <c r="R110" s="3"/>
    </row>
    <row r="111" spans="1:18" x14ac:dyDescent="0.25">
      <c r="A111" s="3"/>
      <c r="B111" s="3"/>
      <c r="C111" s="3"/>
      <c r="D111" s="3"/>
      <c r="O111" s="13"/>
      <c r="P111" s="13"/>
      <c r="Q111" s="3"/>
      <c r="R111" s="3"/>
    </row>
    <row r="112" spans="1:18" x14ac:dyDescent="0.25">
      <c r="A112" s="3"/>
      <c r="B112" s="3"/>
      <c r="C112" s="3"/>
      <c r="D112" s="3"/>
      <c r="O112" s="13"/>
      <c r="P112" s="13"/>
      <c r="Q112" s="3"/>
      <c r="R112" s="3"/>
    </row>
    <row r="113" spans="1:18" x14ac:dyDescent="0.25">
      <c r="A113" s="3"/>
      <c r="B113" s="3"/>
      <c r="C113" s="3"/>
      <c r="D113" s="3"/>
      <c r="O113" s="13"/>
      <c r="P113" s="13"/>
      <c r="Q113" s="3"/>
      <c r="R113" s="3"/>
    </row>
    <row r="114" spans="1:18" x14ac:dyDescent="0.25">
      <c r="A114" s="3"/>
      <c r="B114" s="3"/>
      <c r="C114" s="3"/>
      <c r="D114" s="3"/>
      <c r="O114" s="13"/>
      <c r="P114" s="13"/>
      <c r="Q114" s="3"/>
      <c r="R114" s="3"/>
    </row>
    <row r="115" spans="1:18" x14ac:dyDescent="0.25">
      <c r="A115" s="3"/>
      <c r="B115" s="3"/>
      <c r="C115" s="3"/>
      <c r="D115" s="3"/>
      <c r="O115" s="13"/>
      <c r="P115" s="13"/>
      <c r="Q115" s="3"/>
      <c r="R115" s="3"/>
    </row>
    <row r="116" spans="1:18" x14ac:dyDescent="0.25">
      <c r="A116" s="3"/>
      <c r="B116" s="3"/>
      <c r="C116" s="3"/>
      <c r="D116" s="3"/>
      <c r="O116" s="13"/>
      <c r="P116" s="13"/>
      <c r="Q116" s="3"/>
      <c r="R116" s="3"/>
    </row>
  </sheetData>
  <sortState xmlns:xlrd2="http://schemas.microsoft.com/office/spreadsheetml/2017/richdata2" ref="A2:R494">
    <sortCondition ref="P1:P494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B2C8-FC80-4D9A-8C98-497EA4256D6B}">
  <dimension ref="A1:AB475"/>
  <sheetViews>
    <sheetView zoomScale="70" zoomScaleNormal="70" workbookViewId="0">
      <selection activeCell="Z13" sqref="Z13"/>
    </sheetView>
  </sheetViews>
  <sheetFormatPr defaultRowHeight="15" x14ac:dyDescent="0.25"/>
  <cols>
    <col min="5" max="14" width="9.140625" style="3"/>
  </cols>
  <sheetData>
    <row r="1" spans="1:17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7" t="s">
        <v>22</v>
      </c>
      <c r="P1" s="7" t="s">
        <v>23</v>
      </c>
      <c r="Q1" s="7" t="s">
        <v>24</v>
      </c>
    </row>
    <row r="2" spans="1:17" x14ac:dyDescent="0.25">
      <c r="A2" s="3">
        <v>1.23766233786351E+18</v>
      </c>
      <c r="B2" s="3">
        <v>235.65647999999999</v>
      </c>
      <c r="C2" s="3">
        <v>35.854315</v>
      </c>
      <c r="D2" s="3">
        <v>1.08371E-4</v>
      </c>
      <c r="E2" s="3">
        <v>2.045029999999997</v>
      </c>
      <c r="F2" s="3">
        <v>3.4000399999999971</v>
      </c>
      <c r="G2" s="3">
        <v>4.0615500000000004</v>
      </c>
      <c r="H2" s="3">
        <v>4.438559999999999</v>
      </c>
      <c r="I2" s="3">
        <v>1.35501</v>
      </c>
      <c r="J2" s="3">
        <v>2.0165200000000034</v>
      </c>
      <c r="K2" s="3">
        <v>2.3935300000000019</v>
      </c>
      <c r="L2" s="3">
        <v>0.66151000000000337</v>
      </c>
      <c r="M2" s="3">
        <v>1.0385200000000019</v>
      </c>
      <c r="N2" s="3">
        <v>0.37700999999999851</v>
      </c>
      <c r="O2" s="13">
        <v>0.62097452166511746</v>
      </c>
      <c r="P2" s="13">
        <v>-0.76512384463834826</v>
      </c>
      <c r="Q2" s="13">
        <v>-1.842170424193101</v>
      </c>
    </row>
    <row r="3" spans="1:17" x14ac:dyDescent="0.25">
      <c r="A3" s="3">
        <v>1.2376624731541299E+18</v>
      </c>
      <c r="B3" s="3">
        <v>236.2748</v>
      </c>
      <c r="C3" s="3">
        <v>35.890828999999997</v>
      </c>
      <c r="D3" s="3">
        <v>6.3080749999999998E-3</v>
      </c>
      <c r="E3" s="3">
        <v>0.72406000000000148</v>
      </c>
      <c r="F3" s="3">
        <v>0.86827000000000254</v>
      </c>
      <c r="G3" s="3">
        <v>0.81862000000000279</v>
      </c>
      <c r="H3" s="3">
        <v>0.88660000000000139</v>
      </c>
      <c r="I3" s="3">
        <v>0.14421000000000106</v>
      </c>
      <c r="J3" s="3">
        <v>9.456000000000131E-2</v>
      </c>
      <c r="K3" s="3">
        <v>0.16253999999999991</v>
      </c>
      <c r="L3" s="3">
        <v>-4.964999999999975E-2</v>
      </c>
      <c r="M3" s="3">
        <v>1.8329999999998847E-2</v>
      </c>
      <c r="N3" s="3">
        <v>6.7979999999998597E-2</v>
      </c>
      <c r="O3" s="13">
        <v>7.0133943877003171</v>
      </c>
      <c r="P3" s="13">
        <v>1.2791033455853358</v>
      </c>
      <c r="Q3" s="13">
        <v>-0.11628535789612891</v>
      </c>
    </row>
    <row r="4" spans="1:17" x14ac:dyDescent="0.25">
      <c r="A4" s="3">
        <v>1.23766247369087E+18</v>
      </c>
      <c r="B4" s="3">
        <v>236.21743000000001</v>
      </c>
      <c r="C4" s="3">
        <v>36.479334000000001</v>
      </c>
      <c r="D4" s="3">
        <v>1.1165909999999999E-2</v>
      </c>
      <c r="E4" s="3">
        <v>1.1150700000000029</v>
      </c>
      <c r="F4" s="3">
        <v>1.5368000000000013</v>
      </c>
      <c r="G4" s="3">
        <v>1.693150000000001</v>
      </c>
      <c r="H4" s="3">
        <v>1.8101900000000004</v>
      </c>
      <c r="I4" s="3">
        <v>0.42172999999999838</v>
      </c>
      <c r="J4" s="3">
        <v>0.57807999999999815</v>
      </c>
      <c r="K4" s="3">
        <v>0.69511999999999752</v>
      </c>
      <c r="L4" s="3">
        <v>0.15634999999999977</v>
      </c>
      <c r="M4" s="3">
        <v>0.27338999999999913</v>
      </c>
      <c r="N4" s="3">
        <v>0.11703999999999937</v>
      </c>
      <c r="O4" s="13">
        <v>5.3488902215347451</v>
      </c>
      <c r="P4" s="13">
        <v>0.84979636301627615</v>
      </c>
      <c r="Q4" s="13">
        <v>1.1591594023225642</v>
      </c>
    </row>
    <row r="5" spans="1:17" x14ac:dyDescent="0.25">
      <c r="A5" s="3">
        <v>1.2376625032189701E+18</v>
      </c>
      <c r="B5" s="3">
        <v>236.44120000000001</v>
      </c>
      <c r="C5" s="3">
        <v>36.028097000000002</v>
      </c>
      <c r="D5" s="3">
        <v>1.141854E-2</v>
      </c>
      <c r="E5" s="3">
        <v>1.0157999999999987</v>
      </c>
      <c r="F5" s="3">
        <v>1.3632300000000015</v>
      </c>
      <c r="G5" s="3">
        <v>1.577020000000001</v>
      </c>
      <c r="H5" s="3">
        <v>1.6243999999999996</v>
      </c>
      <c r="I5" s="3">
        <v>0.34743000000000279</v>
      </c>
      <c r="J5" s="3">
        <v>0.56122000000000227</v>
      </c>
      <c r="K5" s="3">
        <v>0.60860000000000092</v>
      </c>
      <c r="L5" s="3">
        <v>0.21378999999999948</v>
      </c>
      <c r="M5" s="3">
        <v>0.26116999999999813</v>
      </c>
      <c r="N5" s="3">
        <v>4.7379999999998645E-2</v>
      </c>
      <c r="O5" s="13">
        <v>5.6023262935042988</v>
      </c>
      <c r="P5" s="13">
        <v>0.85312963584262835</v>
      </c>
      <c r="Q5" s="13">
        <v>0.49564518695209914</v>
      </c>
    </row>
    <row r="6" spans="1:17" x14ac:dyDescent="0.25">
      <c r="A6" s="3">
        <v>1.2376625037555699E+18</v>
      </c>
      <c r="B6" s="3">
        <v>236.20439999999999</v>
      </c>
      <c r="C6" s="3">
        <v>36.563142999999997</v>
      </c>
      <c r="D6" s="3">
        <v>3.8722609999999998E-2</v>
      </c>
      <c r="E6" s="3">
        <v>1.3207799999999992</v>
      </c>
      <c r="F6" s="3">
        <v>1.8275900000000007</v>
      </c>
      <c r="G6" s="3">
        <v>2.0776000000000003</v>
      </c>
      <c r="H6" s="3">
        <v>2.2152799999999999</v>
      </c>
      <c r="I6" s="3">
        <v>0.50681000000000154</v>
      </c>
      <c r="J6" s="3">
        <v>0.75682000000000116</v>
      </c>
      <c r="K6" s="3">
        <v>0.89450000000000074</v>
      </c>
      <c r="L6" s="3">
        <v>0.25000999999999962</v>
      </c>
      <c r="M6" s="3">
        <v>0.3876899999999992</v>
      </c>
      <c r="N6" s="3">
        <v>0.13767999999999958</v>
      </c>
      <c r="O6" s="13">
        <v>4.6458071396278369</v>
      </c>
      <c r="P6" s="13">
        <v>0.59964520071413385</v>
      </c>
      <c r="Q6" s="13">
        <v>1.3190430830701629</v>
      </c>
    </row>
    <row r="7" spans="1:17" x14ac:dyDescent="0.25">
      <c r="A7" s="3">
        <v>1.2376623378636401E+18</v>
      </c>
      <c r="B7" s="3">
        <v>235.95321999999999</v>
      </c>
      <c r="C7" s="3">
        <v>35.634051999999997</v>
      </c>
      <c r="D7" s="3">
        <v>4.8511869999999999E-2</v>
      </c>
      <c r="E7" s="3">
        <v>1.10182</v>
      </c>
      <c r="F7" s="3">
        <v>1.5100799999999985</v>
      </c>
      <c r="G7" s="3">
        <v>1.7710599999999985</v>
      </c>
      <c r="H7" s="3">
        <v>1.9507000000000012</v>
      </c>
      <c r="I7" s="3">
        <v>0.40825999999999851</v>
      </c>
      <c r="J7" s="3">
        <v>0.6692399999999985</v>
      </c>
      <c r="K7" s="3">
        <v>0.84888000000000119</v>
      </c>
      <c r="L7" s="3">
        <v>0.26097999999999999</v>
      </c>
      <c r="M7" s="3">
        <v>0.44062000000000268</v>
      </c>
      <c r="N7" s="3">
        <v>0.17964000000000269</v>
      </c>
      <c r="O7" s="13">
        <v>4.9600852899846304</v>
      </c>
      <c r="P7" s="13">
        <v>0.81208754181632614</v>
      </c>
      <c r="Q7" s="13">
        <v>-1.5188748496357403</v>
      </c>
    </row>
    <row r="8" spans="1:17" x14ac:dyDescent="0.25">
      <c r="A8" s="3">
        <v>1.2376614659863301E+18</v>
      </c>
      <c r="B8" s="3">
        <v>236.42283</v>
      </c>
      <c r="C8" s="3">
        <v>35.660888</v>
      </c>
      <c r="D8" s="3">
        <v>5.498169E-2</v>
      </c>
      <c r="E8" s="3">
        <v>1.5033700000000003</v>
      </c>
      <c r="F8" s="3">
        <v>2.0518000000000001</v>
      </c>
      <c r="G8" s="3">
        <v>2.3140099999999997</v>
      </c>
      <c r="H8" s="3">
        <v>2.5384300000000017</v>
      </c>
      <c r="I8" s="3">
        <v>0.54842999999999975</v>
      </c>
      <c r="J8" s="3">
        <v>0.81063999999999936</v>
      </c>
      <c r="K8" s="3">
        <v>1.0350600000000014</v>
      </c>
      <c r="L8" s="3">
        <v>0.26220999999999961</v>
      </c>
      <c r="M8" s="3">
        <v>0.48663000000000167</v>
      </c>
      <c r="N8" s="3">
        <v>0.22442000000000206</v>
      </c>
      <c r="O8" s="13">
        <v>4.1532790754936402</v>
      </c>
      <c r="P8" s="13">
        <v>0.13832046035869805</v>
      </c>
      <c r="Q8" s="13">
        <v>-0.46289064872971308</v>
      </c>
    </row>
    <row r="9" spans="1:17" x14ac:dyDescent="0.25">
      <c r="A9" s="3">
        <v>1.2376614659863301E+18</v>
      </c>
      <c r="B9" s="3">
        <v>236.43879999999999</v>
      </c>
      <c r="C9" s="3">
        <v>35.659931</v>
      </c>
      <c r="D9" s="3">
        <v>5.5187600000000003E-2</v>
      </c>
      <c r="E9" s="3">
        <v>1.9930699999999977</v>
      </c>
      <c r="F9" s="3">
        <v>2.9022799999999993</v>
      </c>
      <c r="G9" s="3">
        <v>3.3467399999999987</v>
      </c>
      <c r="H9" s="3">
        <v>3.686119999999999</v>
      </c>
      <c r="I9" s="3">
        <v>0.90921000000000163</v>
      </c>
      <c r="J9" s="3">
        <v>1.353670000000001</v>
      </c>
      <c r="K9" s="3">
        <v>1.6930500000000013</v>
      </c>
      <c r="L9" s="3">
        <v>0.44445999999999941</v>
      </c>
      <c r="M9" s="3">
        <v>0.78383999999999965</v>
      </c>
      <c r="N9" s="3">
        <v>0.33938000000000024</v>
      </c>
      <c r="O9" s="13">
        <v>2.1630147961697572</v>
      </c>
      <c r="P9" s="13">
        <v>-0.61369314275426368</v>
      </c>
      <c r="Q9" s="13">
        <v>-0.51144384627413519</v>
      </c>
    </row>
    <row r="10" spans="1:17" x14ac:dyDescent="0.25">
      <c r="A10" s="3">
        <v>1.2376614659863301E+18</v>
      </c>
      <c r="B10" s="3">
        <v>236.43879999999999</v>
      </c>
      <c r="C10" s="3">
        <v>35.659931</v>
      </c>
      <c r="D10" s="3">
        <v>5.5239209999999997E-2</v>
      </c>
      <c r="E10" s="3">
        <v>1.9930699999999977</v>
      </c>
      <c r="F10" s="3">
        <v>2.9022799999999993</v>
      </c>
      <c r="G10" s="3">
        <v>3.3467399999999987</v>
      </c>
      <c r="H10" s="3">
        <v>3.686119999999999</v>
      </c>
      <c r="I10" s="3">
        <v>0.90921000000000163</v>
      </c>
      <c r="J10" s="3">
        <v>1.353670000000001</v>
      </c>
      <c r="K10" s="3">
        <v>1.6930500000000013</v>
      </c>
      <c r="L10" s="3">
        <v>0.44445999999999941</v>
      </c>
      <c r="M10" s="3">
        <v>0.78383999999999965</v>
      </c>
      <c r="N10" s="3">
        <v>0.33938000000000024</v>
      </c>
      <c r="O10" s="13">
        <v>2.1629491630088982</v>
      </c>
      <c r="P10" s="13">
        <v>-0.61365492354480822</v>
      </c>
      <c r="Q10" s="13">
        <v>-0.51144820580268757</v>
      </c>
    </row>
    <row r="11" spans="1:17" x14ac:dyDescent="0.25">
      <c r="A11" s="3">
        <v>1.2376624736909299E+18</v>
      </c>
      <c r="B11" s="3">
        <v>236.28331</v>
      </c>
      <c r="C11" s="3">
        <v>36.184873000000003</v>
      </c>
      <c r="D11" s="3">
        <v>5.8443469999999997E-2</v>
      </c>
      <c r="E11" s="3">
        <v>1.3368899999999968</v>
      </c>
      <c r="F11" s="3">
        <v>1.9572799999999972</v>
      </c>
      <c r="G11" s="3">
        <v>2.2923599999999986</v>
      </c>
      <c r="H11" s="3">
        <v>2.495379999999999</v>
      </c>
      <c r="I11" s="3">
        <v>0.62039000000000044</v>
      </c>
      <c r="J11" s="3">
        <v>0.95547000000000182</v>
      </c>
      <c r="K11" s="3">
        <v>1.1584900000000022</v>
      </c>
      <c r="L11" s="3">
        <v>0.33508000000000138</v>
      </c>
      <c r="M11" s="3">
        <v>0.5381000000000018</v>
      </c>
      <c r="N11" s="3">
        <v>0.20302000000000042</v>
      </c>
      <c r="O11" s="13">
        <v>3.9363919214864835</v>
      </c>
      <c r="P11" s="13">
        <v>0.53252150274517707</v>
      </c>
      <c r="Q11" s="13">
        <v>0.5046192815608147</v>
      </c>
    </row>
    <row r="12" spans="1:17" x14ac:dyDescent="0.25">
      <c r="A12" s="3">
        <v>1.2376625032188301E+18</v>
      </c>
      <c r="B12" s="3">
        <v>236.24143000000001</v>
      </c>
      <c r="C12" s="3">
        <v>36.068829999999998</v>
      </c>
      <c r="D12" s="3">
        <v>5.9998900000000001E-2</v>
      </c>
      <c r="E12" s="3">
        <v>1.8834099999999978</v>
      </c>
      <c r="F12" s="3">
        <v>2.7687799999999996</v>
      </c>
      <c r="G12" s="3">
        <v>3.1812699999999978</v>
      </c>
      <c r="H12" s="3">
        <v>3.5261399999999981</v>
      </c>
      <c r="I12" s="3">
        <v>0.88537000000000177</v>
      </c>
      <c r="J12" s="3">
        <v>1.29786</v>
      </c>
      <c r="K12" s="3">
        <v>1.6427300000000002</v>
      </c>
      <c r="L12" s="3">
        <v>0.41248999999999825</v>
      </c>
      <c r="M12" s="3">
        <v>0.75735999999999848</v>
      </c>
      <c r="N12" s="3">
        <v>0.34487000000000023</v>
      </c>
      <c r="O12" s="13">
        <v>2.3653091879236467</v>
      </c>
      <c r="P12" s="13">
        <v>-0.30213224392654842</v>
      </c>
      <c r="Q12" s="13">
        <v>0.10034400172362466</v>
      </c>
    </row>
    <row r="13" spans="1:17" x14ac:dyDescent="0.25">
      <c r="A13" s="3">
        <v>1.2376625032188301E+18</v>
      </c>
      <c r="B13" s="3">
        <v>236.261</v>
      </c>
      <c r="C13" s="3">
        <v>36.156339000000003</v>
      </c>
      <c r="D13" s="3">
        <v>6.0399269999999998E-2</v>
      </c>
      <c r="E13" s="3">
        <v>1.9595899999999986</v>
      </c>
      <c r="F13" s="3">
        <v>2.8495200000000001</v>
      </c>
      <c r="G13" s="3">
        <v>3.2759700000000009</v>
      </c>
      <c r="H13" s="3">
        <v>3.6084999999999994</v>
      </c>
      <c r="I13" s="3">
        <v>0.88993000000000144</v>
      </c>
      <c r="J13" s="3">
        <v>1.3163800000000023</v>
      </c>
      <c r="K13" s="3">
        <v>1.6489100000000008</v>
      </c>
      <c r="L13" s="3">
        <v>0.42645000000000088</v>
      </c>
      <c r="M13" s="3">
        <v>0.75897999999999932</v>
      </c>
      <c r="N13" s="3">
        <v>0.33252999999999844</v>
      </c>
      <c r="O13" s="13">
        <v>2.2866507345160723</v>
      </c>
      <c r="P13" s="13">
        <v>-0.40687430484357295</v>
      </c>
      <c r="Q13" s="13">
        <v>0.36049119495245641</v>
      </c>
    </row>
    <row r="14" spans="1:17" x14ac:dyDescent="0.25">
      <c r="A14" s="3">
        <v>1.2376625032188301E+18</v>
      </c>
      <c r="B14" s="3">
        <v>236.22997000000001</v>
      </c>
      <c r="C14" s="3">
        <v>36.067765000000001</v>
      </c>
      <c r="D14" s="3">
        <v>6.1005700000000003E-2</v>
      </c>
      <c r="E14" s="3">
        <v>1.8941200000000009</v>
      </c>
      <c r="F14" s="3">
        <v>2.8054799999999993</v>
      </c>
      <c r="G14" s="3">
        <v>3.2270699999999994</v>
      </c>
      <c r="H14" s="3">
        <v>3.5662599999999998</v>
      </c>
      <c r="I14" s="3">
        <v>0.91135999999999839</v>
      </c>
      <c r="J14" s="3">
        <v>1.3329499999999985</v>
      </c>
      <c r="K14" s="3">
        <v>1.6721399999999988</v>
      </c>
      <c r="L14" s="3">
        <v>0.42159000000000013</v>
      </c>
      <c r="M14" s="3">
        <v>0.76078000000000046</v>
      </c>
      <c r="N14" s="3">
        <v>0.33919000000000032</v>
      </c>
      <c r="O14" s="13">
        <v>2.2933588079738962</v>
      </c>
      <c r="P14" s="13">
        <v>-0.33777946619139448</v>
      </c>
      <c r="Q14" s="13">
        <v>6.2844914931847878E-2</v>
      </c>
    </row>
    <row r="15" spans="1:17" x14ac:dyDescent="0.25">
      <c r="A15" s="3">
        <v>1.2376625032188301E+18</v>
      </c>
      <c r="B15" s="3">
        <v>236.22997000000001</v>
      </c>
      <c r="C15" s="3">
        <v>36.067765000000001</v>
      </c>
      <c r="D15" s="3">
        <v>6.1044439999999998E-2</v>
      </c>
      <c r="E15" s="3">
        <v>1.8941200000000009</v>
      </c>
      <c r="F15" s="3">
        <v>2.8054799999999993</v>
      </c>
      <c r="G15" s="3">
        <v>3.2270699999999994</v>
      </c>
      <c r="H15" s="3">
        <v>3.5662599999999998</v>
      </c>
      <c r="I15" s="3">
        <v>0.91135999999999839</v>
      </c>
      <c r="J15" s="3">
        <v>1.3329499999999985</v>
      </c>
      <c r="K15" s="3">
        <v>1.6721399999999988</v>
      </c>
      <c r="L15" s="3">
        <v>0.42159000000000013</v>
      </c>
      <c r="M15" s="3">
        <v>0.76078000000000046</v>
      </c>
      <c r="N15" s="3">
        <v>0.33919000000000032</v>
      </c>
      <c r="O15" s="13">
        <v>2.2933095417725475</v>
      </c>
      <c r="P15" s="13">
        <v>-0.3377507777167903</v>
      </c>
      <c r="Q15" s="13">
        <v>6.284164254013902E-2</v>
      </c>
    </row>
    <row r="16" spans="1:17" x14ac:dyDescent="0.25">
      <c r="A16" s="3">
        <v>1.2376624736909299E+18</v>
      </c>
      <c r="B16" s="3">
        <v>236.38212999999999</v>
      </c>
      <c r="C16" s="3">
        <v>36.217623000000003</v>
      </c>
      <c r="D16" s="3">
        <v>6.1346039999999998E-2</v>
      </c>
      <c r="E16" s="3">
        <v>1.8663600000000002</v>
      </c>
      <c r="F16" s="3">
        <v>2.7294100000000014</v>
      </c>
      <c r="G16" s="3">
        <v>3.1420200000000005</v>
      </c>
      <c r="H16" s="3">
        <v>3.4600000000000009</v>
      </c>
      <c r="I16" s="3">
        <v>0.86305000000000121</v>
      </c>
      <c r="J16" s="3">
        <v>1.2756600000000002</v>
      </c>
      <c r="K16" s="3">
        <v>1.5936400000000006</v>
      </c>
      <c r="L16" s="3">
        <v>0.41260999999999903</v>
      </c>
      <c r="M16" s="3">
        <v>0.73058999999999941</v>
      </c>
      <c r="N16" s="3">
        <v>0.31798000000000037</v>
      </c>
      <c r="O16" s="13">
        <v>2.4624571100378403</v>
      </c>
      <c r="P16" s="13">
        <v>-0.25638525942696572</v>
      </c>
      <c r="Q16" s="13">
        <v>0.7715709924458598</v>
      </c>
    </row>
    <row r="17" spans="1:28" x14ac:dyDescent="0.25">
      <c r="A17" s="3">
        <v>1.2376624736910001E+18</v>
      </c>
      <c r="B17" s="3">
        <v>236.42131000000001</v>
      </c>
      <c r="C17" s="3">
        <v>36.137425999999998</v>
      </c>
      <c r="D17" s="3">
        <v>6.1372290000000003E-2</v>
      </c>
      <c r="E17" s="3">
        <v>0.98522999999999783</v>
      </c>
      <c r="F17" s="3">
        <v>1.309079999999998</v>
      </c>
      <c r="G17" s="3">
        <v>1.5925799999999981</v>
      </c>
      <c r="H17" s="3">
        <v>1.6967699999999972</v>
      </c>
      <c r="I17" s="3">
        <v>0.32385000000000019</v>
      </c>
      <c r="J17" s="3">
        <v>0.60735000000000028</v>
      </c>
      <c r="K17" s="3">
        <v>0.7115399999999994</v>
      </c>
      <c r="L17" s="3">
        <v>0.28350000000000009</v>
      </c>
      <c r="M17" s="3">
        <v>0.3876899999999992</v>
      </c>
      <c r="N17" s="3">
        <v>0.10418999999999912</v>
      </c>
      <c r="O17" s="13">
        <v>5.2261848410375711</v>
      </c>
      <c r="P17" s="13">
        <v>1.1059147724808447</v>
      </c>
      <c r="Q17" s="13">
        <v>0.73418995676448262</v>
      </c>
    </row>
    <row r="18" spans="1:28" x14ac:dyDescent="0.25">
      <c r="A18" s="3">
        <v>1.2376625032188301E+18</v>
      </c>
      <c r="B18" s="3">
        <v>236.16559000000001</v>
      </c>
      <c r="C18" s="3">
        <v>36.137926</v>
      </c>
      <c r="D18" s="3">
        <v>6.1555510000000001E-2</v>
      </c>
      <c r="E18" s="3">
        <v>1.8344699999999996</v>
      </c>
      <c r="F18" s="3">
        <v>2.6386600000000016</v>
      </c>
      <c r="G18" s="3">
        <v>2.9953800000000008</v>
      </c>
      <c r="H18" s="3">
        <v>3.2629599999999996</v>
      </c>
      <c r="I18" s="3">
        <v>0.80419000000000196</v>
      </c>
      <c r="J18" s="3">
        <v>1.1609100000000012</v>
      </c>
      <c r="K18" s="3">
        <v>1.42849</v>
      </c>
      <c r="L18" s="3">
        <v>0.35671999999999926</v>
      </c>
      <c r="M18" s="3">
        <v>0.62429999999999808</v>
      </c>
      <c r="N18" s="3">
        <v>0.26757999999999882</v>
      </c>
      <c r="O18" s="13">
        <v>2.9739891488282901</v>
      </c>
      <c r="P18" s="13">
        <v>-0.28110182461999361</v>
      </c>
      <c r="Q18" s="13">
        <v>0.12431253778019076</v>
      </c>
    </row>
    <row r="19" spans="1:28" x14ac:dyDescent="0.25">
      <c r="A19" s="3">
        <v>1.2376625032189E+18</v>
      </c>
      <c r="B19" s="3">
        <v>236.38392999999999</v>
      </c>
      <c r="C19" s="3">
        <v>36.077117000000001</v>
      </c>
      <c r="D19" s="3">
        <v>6.2095259999999999E-2</v>
      </c>
      <c r="E19" s="3">
        <v>1.0198</v>
      </c>
      <c r="F19" s="3">
        <v>1.3888099999999994</v>
      </c>
      <c r="G19" s="3">
        <v>1.6575300000000013</v>
      </c>
      <c r="H19" s="3">
        <v>1.7898199999999989</v>
      </c>
      <c r="I19" s="3">
        <v>0.36900999999999939</v>
      </c>
      <c r="J19" s="3">
        <v>0.63773000000000124</v>
      </c>
      <c r="K19" s="3">
        <v>0.77001999999999882</v>
      </c>
      <c r="L19" s="3">
        <v>0.26872000000000185</v>
      </c>
      <c r="M19" s="3">
        <v>0.40100999999999942</v>
      </c>
      <c r="N19" s="3">
        <v>0.13228999999999758</v>
      </c>
      <c r="O19" s="13">
        <v>5.0795057006694675</v>
      </c>
      <c r="P19" s="13">
        <v>1.0332071991035909</v>
      </c>
      <c r="Q19" s="13">
        <v>0.499697140632265</v>
      </c>
      <c r="AA19" t="s">
        <v>39</v>
      </c>
      <c r="AB19" t="s">
        <v>43</v>
      </c>
    </row>
    <row r="20" spans="1:28" x14ac:dyDescent="0.25">
      <c r="A20" s="3">
        <v>1.2376625032188301E+18</v>
      </c>
      <c r="B20" s="3">
        <v>236.19077999999999</v>
      </c>
      <c r="C20" s="3">
        <v>36.079214999999998</v>
      </c>
      <c r="D20" s="3">
        <v>6.2184040000000003E-2</v>
      </c>
      <c r="E20" s="3">
        <v>1.78613</v>
      </c>
      <c r="F20" s="3">
        <v>2.6250800000000005</v>
      </c>
      <c r="G20" s="3">
        <v>3.0429499999999976</v>
      </c>
      <c r="H20" s="3">
        <v>3.3318899999999978</v>
      </c>
      <c r="I20" s="3">
        <v>0.83895000000000053</v>
      </c>
      <c r="J20" s="3">
        <v>1.2568199999999976</v>
      </c>
      <c r="K20" s="3">
        <v>1.5457599999999978</v>
      </c>
      <c r="L20" s="3">
        <v>0.41786999999999708</v>
      </c>
      <c r="M20" s="3">
        <v>0.70680999999999727</v>
      </c>
      <c r="N20" s="3">
        <v>0.2889400000000002</v>
      </c>
      <c r="O20" s="13">
        <v>2.6853354667699305</v>
      </c>
      <c r="P20" s="13">
        <v>-0.18180458448725464</v>
      </c>
      <c r="Q20" s="13">
        <v>1.2917645964464897E-2</v>
      </c>
      <c r="AA20" t="s">
        <v>40</v>
      </c>
      <c r="AB20" t="s">
        <v>42</v>
      </c>
    </row>
    <row r="21" spans="1:28" x14ac:dyDescent="0.25">
      <c r="A21" s="3">
        <v>1.2376625032188301E+18</v>
      </c>
      <c r="B21" s="3">
        <v>236.18645000000001</v>
      </c>
      <c r="C21" s="3">
        <v>36.129855999999997</v>
      </c>
      <c r="D21" s="3">
        <v>6.2794680000000005E-2</v>
      </c>
      <c r="E21" s="3">
        <v>1.97194</v>
      </c>
      <c r="F21" s="3">
        <v>2.8778699999999997</v>
      </c>
      <c r="G21" s="3">
        <v>3.305769999999999</v>
      </c>
      <c r="H21" s="3">
        <v>3.6497499999999992</v>
      </c>
      <c r="I21" s="3">
        <v>0.90592999999999968</v>
      </c>
      <c r="J21" s="3">
        <v>1.333829999999999</v>
      </c>
      <c r="K21" s="3">
        <v>1.6778099999999991</v>
      </c>
      <c r="L21" s="3">
        <v>0.42789999999999928</v>
      </c>
      <c r="M21" s="3">
        <v>0.77187999999999946</v>
      </c>
      <c r="N21" s="3">
        <v>0.34398000000000017</v>
      </c>
      <c r="O21" s="13">
        <v>2.2194442398780012</v>
      </c>
      <c r="P21" s="13">
        <v>-0.42391793151961432</v>
      </c>
      <c r="Q21" s="13">
        <v>0.13385867423925782</v>
      </c>
      <c r="AA21" t="s">
        <v>63</v>
      </c>
      <c r="AB21" t="s">
        <v>64</v>
      </c>
    </row>
    <row r="22" spans="1:28" x14ac:dyDescent="0.25">
      <c r="A22" s="3">
        <v>1.2376625032188301E+18</v>
      </c>
      <c r="B22" s="3">
        <v>236.09998999999999</v>
      </c>
      <c r="C22" s="3">
        <v>36.135241000000001</v>
      </c>
      <c r="D22" s="3">
        <v>6.2827939999999999E-2</v>
      </c>
      <c r="E22" s="3">
        <v>1.7394600000000011</v>
      </c>
      <c r="F22" s="3">
        <v>2.538920000000001</v>
      </c>
      <c r="G22" s="3">
        <v>2.9246900000000018</v>
      </c>
      <c r="H22" s="3">
        <v>3.1541500000000013</v>
      </c>
      <c r="I22" s="3">
        <v>0.79945999999999984</v>
      </c>
      <c r="J22" s="3">
        <v>1.1852300000000007</v>
      </c>
      <c r="K22" s="3">
        <v>1.4146900000000002</v>
      </c>
      <c r="L22" s="3">
        <v>0.38577000000000083</v>
      </c>
      <c r="M22" s="3">
        <v>0.61523000000000039</v>
      </c>
      <c r="N22" s="3">
        <v>0.22945999999999955</v>
      </c>
      <c r="O22" s="13">
        <v>3.0852717508477112</v>
      </c>
      <c r="P22" s="13">
        <v>-0.15872726911608998</v>
      </c>
      <c r="Q22" s="13">
        <v>-3.9907715342833543E-2</v>
      </c>
    </row>
    <row r="23" spans="1:28" x14ac:dyDescent="0.25">
      <c r="A23" s="3">
        <v>1.2376625032188301E+18</v>
      </c>
      <c r="B23" s="3">
        <v>236.25030000000001</v>
      </c>
      <c r="C23" s="3">
        <v>36.110351000000001</v>
      </c>
      <c r="D23" s="3">
        <v>6.2856140000000005E-2</v>
      </c>
      <c r="E23" s="3">
        <v>1.8698399999999999</v>
      </c>
      <c r="F23" s="3">
        <v>2.7921600000000026</v>
      </c>
      <c r="G23" s="3">
        <v>3.2268800000000013</v>
      </c>
      <c r="H23" s="3">
        <v>3.6159000000000017</v>
      </c>
      <c r="I23" s="3">
        <v>0.92232000000000269</v>
      </c>
      <c r="J23" s="3">
        <v>1.3570400000000014</v>
      </c>
      <c r="K23" s="3">
        <v>1.7460600000000017</v>
      </c>
      <c r="L23" s="3">
        <v>0.43471999999999866</v>
      </c>
      <c r="M23" s="3">
        <v>0.82373999999999903</v>
      </c>
      <c r="N23" s="3">
        <v>0.38902000000000037</v>
      </c>
      <c r="O23" s="13">
        <v>2.089841090413485</v>
      </c>
      <c r="P23" s="13">
        <v>-0.21975287587036685</v>
      </c>
      <c r="Q23" s="13">
        <v>0.21773418732043009</v>
      </c>
    </row>
    <row r="24" spans="1:28" x14ac:dyDescent="0.25">
      <c r="A24" s="3">
        <v>1.2376624731541299E+18</v>
      </c>
      <c r="B24" s="3">
        <v>236.19515000000001</v>
      </c>
      <c r="C24" s="3">
        <v>35.950268000000001</v>
      </c>
      <c r="D24" s="3">
        <v>6.2868919999999995E-2</v>
      </c>
      <c r="E24" s="3">
        <v>2.010110000000001</v>
      </c>
      <c r="F24" s="3">
        <v>2.8955500000000018</v>
      </c>
      <c r="G24" s="3">
        <v>3.3125600000000013</v>
      </c>
      <c r="H24" s="3">
        <v>3.6143100000000015</v>
      </c>
      <c r="I24" s="3">
        <v>0.88544000000000089</v>
      </c>
      <c r="J24" s="3">
        <v>1.3024500000000003</v>
      </c>
      <c r="K24" s="3">
        <v>1.6042000000000005</v>
      </c>
      <c r="L24" s="3">
        <v>0.41700999999999944</v>
      </c>
      <c r="M24" s="3">
        <v>0.71875999999999962</v>
      </c>
      <c r="N24" s="3">
        <v>0.30175000000000018</v>
      </c>
      <c r="O24" s="13">
        <v>2.40799142607933</v>
      </c>
      <c r="P24" s="13">
        <v>-0.58682915403248903</v>
      </c>
      <c r="Q24" s="13">
        <v>-0.2974534768634175</v>
      </c>
    </row>
    <row r="25" spans="1:28" x14ac:dyDescent="0.25">
      <c r="A25" s="3">
        <v>1.2376625032188301E+18</v>
      </c>
      <c r="B25" s="3">
        <v>236.24133</v>
      </c>
      <c r="C25" s="3">
        <v>36.188203000000001</v>
      </c>
      <c r="D25" s="3">
        <v>6.3321730000000007E-2</v>
      </c>
      <c r="E25" s="3">
        <v>1.8223300000000009</v>
      </c>
      <c r="F25" s="3">
        <v>2.6678800000000003</v>
      </c>
      <c r="G25" s="3">
        <v>3.0645300000000013</v>
      </c>
      <c r="H25" s="3">
        <v>3.3540000000000028</v>
      </c>
      <c r="I25" s="3">
        <v>0.84554999999999936</v>
      </c>
      <c r="J25" s="3">
        <v>1.2422000000000004</v>
      </c>
      <c r="K25" s="3">
        <v>1.5316700000000019</v>
      </c>
      <c r="L25" s="3">
        <v>0.39665000000000106</v>
      </c>
      <c r="M25" s="3">
        <v>0.68612000000000251</v>
      </c>
      <c r="N25" s="3">
        <v>0.28947000000000145</v>
      </c>
      <c r="O25" s="13">
        <v>2.6887481626382481</v>
      </c>
      <c r="P25" s="13">
        <v>-0.22397559012051199</v>
      </c>
      <c r="Q25" s="13">
        <v>0.3966100173059306</v>
      </c>
    </row>
    <row r="26" spans="1:28" x14ac:dyDescent="0.25">
      <c r="A26" s="3">
        <v>1.2376625032188301E+18</v>
      </c>
      <c r="B26" s="3">
        <v>236.23274000000001</v>
      </c>
      <c r="C26" s="3">
        <v>36.138508000000002</v>
      </c>
      <c r="D26" s="3">
        <v>6.3713649999999997E-2</v>
      </c>
      <c r="E26" s="3">
        <v>1.9234699999999982</v>
      </c>
      <c r="F26" s="3">
        <v>2.7790199999999992</v>
      </c>
      <c r="G26" s="3">
        <v>3.1644199999999998</v>
      </c>
      <c r="H26" s="3">
        <v>3.4677199999999981</v>
      </c>
      <c r="I26" s="3">
        <v>0.85555000000000092</v>
      </c>
      <c r="J26" s="3">
        <v>1.2409500000000016</v>
      </c>
      <c r="K26" s="3">
        <v>1.5442499999999999</v>
      </c>
      <c r="L26" s="3">
        <v>0.38540000000000063</v>
      </c>
      <c r="M26" s="3">
        <v>0.68869999999999898</v>
      </c>
      <c r="N26" s="3">
        <v>0.30329999999999835</v>
      </c>
      <c r="O26" s="13">
        <v>2.5968655320135676</v>
      </c>
      <c r="P26" s="13">
        <v>-0.39216378504994837</v>
      </c>
      <c r="Q26" s="13">
        <v>0.26243286415012418</v>
      </c>
    </row>
    <row r="27" spans="1:28" x14ac:dyDescent="0.25">
      <c r="A27" s="3">
        <v>1.23766247369107E+18</v>
      </c>
      <c r="B27" s="3">
        <v>236.64888999999999</v>
      </c>
      <c r="C27" s="3">
        <v>36.163539999999998</v>
      </c>
      <c r="D27" s="3">
        <v>6.3729820000000006E-2</v>
      </c>
      <c r="E27" s="3">
        <v>1.0187100000000022</v>
      </c>
      <c r="F27" s="3">
        <v>1.4552800000000019</v>
      </c>
      <c r="G27" s="3">
        <v>1.7772700000000015</v>
      </c>
      <c r="H27" s="3">
        <v>1.9713700000000003</v>
      </c>
      <c r="I27" s="3">
        <v>0.43656999999999968</v>
      </c>
      <c r="J27" s="3">
        <v>0.75855999999999923</v>
      </c>
      <c r="K27" s="3">
        <v>0.95265999999999806</v>
      </c>
      <c r="L27" s="3">
        <v>0.32198999999999955</v>
      </c>
      <c r="M27" s="3">
        <v>0.51608999999999838</v>
      </c>
      <c r="N27" s="3">
        <v>0.19409999999999883</v>
      </c>
      <c r="O27" s="13">
        <v>4.5339957524030545</v>
      </c>
      <c r="P27" s="13">
        <v>1.1184447125393744</v>
      </c>
      <c r="Q27" s="13">
        <v>1.2642427348305794</v>
      </c>
    </row>
    <row r="28" spans="1:28" x14ac:dyDescent="0.25">
      <c r="A28" s="3">
        <v>1.2376625032188301E+18</v>
      </c>
      <c r="B28" s="3">
        <v>236.09188</v>
      </c>
      <c r="C28" s="3">
        <v>36.105321000000004</v>
      </c>
      <c r="D28" s="3">
        <v>6.3836710000000005E-2</v>
      </c>
      <c r="E28" s="3">
        <v>1.899280000000001</v>
      </c>
      <c r="F28" s="3">
        <v>2.81325</v>
      </c>
      <c r="G28" s="3">
        <v>3.2392199999999995</v>
      </c>
      <c r="H28" s="3">
        <v>3.5721399999999992</v>
      </c>
      <c r="I28" s="3">
        <v>0.91396999999999906</v>
      </c>
      <c r="J28" s="3">
        <v>1.3399399999999986</v>
      </c>
      <c r="K28" s="3">
        <v>1.6728599999999982</v>
      </c>
      <c r="L28" s="3">
        <v>0.42596999999999952</v>
      </c>
      <c r="M28" s="3">
        <v>0.75888999999999918</v>
      </c>
      <c r="N28" s="3">
        <v>0.33291999999999966</v>
      </c>
      <c r="O28" s="13">
        <v>2.3092204891801731</v>
      </c>
      <c r="P28" s="13">
        <v>-0.33368336180664088</v>
      </c>
      <c r="Q28" s="13">
        <v>-0.13876749722496107</v>
      </c>
    </row>
    <row r="29" spans="1:28" x14ac:dyDescent="0.25">
      <c r="A29" s="3">
        <v>1.2376625032189701E+18</v>
      </c>
      <c r="B29" s="3">
        <v>236.44991999999999</v>
      </c>
      <c r="C29" s="3">
        <v>35.928752000000003</v>
      </c>
      <c r="D29" s="3">
        <v>6.3864340000000006E-2</v>
      </c>
      <c r="E29" s="3">
        <v>1.6039500000000011</v>
      </c>
      <c r="F29" s="3">
        <v>2.4474100000000014</v>
      </c>
      <c r="G29" s="3">
        <v>2.8331000000000017</v>
      </c>
      <c r="H29" s="3">
        <v>3.1372299999999989</v>
      </c>
      <c r="I29" s="3">
        <v>0.84346000000000032</v>
      </c>
      <c r="J29" s="3">
        <v>1.2291500000000006</v>
      </c>
      <c r="K29" s="3">
        <v>1.5332799999999978</v>
      </c>
      <c r="L29" s="3">
        <v>0.38569000000000031</v>
      </c>
      <c r="M29" s="3">
        <v>0.68981999999999744</v>
      </c>
      <c r="N29" s="3">
        <v>0.30412999999999712</v>
      </c>
      <c r="O29" s="13">
        <v>2.8130105847932017</v>
      </c>
      <c r="P29" s="13">
        <v>4.5637759746505004E-2</v>
      </c>
      <c r="Q29" s="13">
        <v>0.17838771807504009</v>
      </c>
    </row>
    <row r="30" spans="1:28" x14ac:dyDescent="0.25">
      <c r="A30" s="3">
        <v>1.2376625032187E+18</v>
      </c>
      <c r="B30" s="3">
        <v>235.8664</v>
      </c>
      <c r="C30" s="3">
        <v>36.370778000000001</v>
      </c>
      <c r="D30" s="3">
        <v>6.389388E-2</v>
      </c>
      <c r="E30" s="3">
        <v>2.009529999999998</v>
      </c>
      <c r="F30" s="3">
        <v>2.9230899999999984</v>
      </c>
      <c r="G30" s="3">
        <v>3.3683299999999985</v>
      </c>
      <c r="H30" s="3">
        <v>3.6771299999999982</v>
      </c>
      <c r="I30" s="3">
        <v>0.91356000000000037</v>
      </c>
      <c r="J30" s="3">
        <v>1.3588000000000005</v>
      </c>
      <c r="K30" s="3">
        <v>1.6676000000000002</v>
      </c>
      <c r="L30" s="3">
        <v>0.44524000000000008</v>
      </c>
      <c r="M30" s="3">
        <v>0.75403999999999982</v>
      </c>
      <c r="N30" s="3">
        <v>0.30879999999999974</v>
      </c>
      <c r="O30" s="13">
        <v>2.2688883672056397</v>
      </c>
      <c r="P30" s="13">
        <v>-0.43651925308435013</v>
      </c>
      <c r="Q30" s="13">
        <v>4.8347120218756548E-2</v>
      </c>
    </row>
    <row r="31" spans="1:28" x14ac:dyDescent="0.25">
      <c r="A31" s="3">
        <v>1.2376625032188301E+18</v>
      </c>
      <c r="B31" s="3">
        <v>236.17264</v>
      </c>
      <c r="C31" s="3">
        <v>36.065449999999998</v>
      </c>
      <c r="D31" s="3">
        <v>6.3996040000000004E-2</v>
      </c>
      <c r="E31" s="3">
        <v>1.8203600000000009</v>
      </c>
      <c r="F31" s="3">
        <v>2.7034600000000015</v>
      </c>
      <c r="G31" s="3">
        <v>3.1217800000000011</v>
      </c>
      <c r="H31" s="3">
        <v>3.4220600000000001</v>
      </c>
      <c r="I31" s="3">
        <v>0.88310000000000066</v>
      </c>
      <c r="J31" s="3">
        <v>1.3014200000000002</v>
      </c>
      <c r="K31" s="3">
        <v>1.6016999999999992</v>
      </c>
      <c r="L31" s="3">
        <v>0.41831999999999958</v>
      </c>
      <c r="M31" s="3">
        <v>0.71859999999999857</v>
      </c>
      <c r="N31" s="3">
        <v>0.30027999999999899</v>
      </c>
      <c r="O31" s="13">
        <v>2.5358431041956262</v>
      </c>
      <c r="P31" s="13">
        <v>-0.25234372180782344</v>
      </c>
      <c r="Q31" s="13">
        <v>-6.9802960343348042E-2</v>
      </c>
    </row>
    <row r="32" spans="1:28" x14ac:dyDescent="0.25">
      <c r="A32" s="3">
        <v>1.2376625032189E+18</v>
      </c>
      <c r="B32" s="3">
        <v>236.24023</v>
      </c>
      <c r="C32" s="3">
        <v>36.020007999999997</v>
      </c>
      <c r="D32" s="3">
        <v>6.4113870000000003E-2</v>
      </c>
      <c r="E32" s="3">
        <v>1.8020999999999994</v>
      </c>
      <c r="F32" s="3">
        <v>2.6651299999999978</v>
      </c>
      <c r="G32" s="3">
        <v>3.0672399999999982</v>
      </c>
      <c r="H32" s="3">
        <v>3.3648299999999978</v>
      </c>
      <c r="I32" s="3">
        <v>0.86302999999999841</v>
      </c>
      <c r="J32" s="3">
        <v>1.2651399999999988</v>
      </c>
      <c r="K32" s="3">
        <v>1.5627299999999984</v>
      </c>
      <c r="L32" s="3">
        <v>0.40211000000000041</v>
      </c>
      <c r="M32" s="3">
        <v>0.69969999999999999</v>
      </c>
      <c r="N32" s="3">
        <v>0.29758999999999958</v>
      </c>
      <c r="O32" s="13">
        <v>2.638369917179304</v>
      </c>
      <c r="P32" s="13">
        <v>-0.24005298365591637</v>
      </c>
      <c r="Q32" s="13">
        <v>-3.36133349157429E-2</v>
      </c>
    </row>
    <row r="33" spans="1:17" x14ac:dyDescent="0.25">
      <c r="A33" s="3">
        <v>1.2376614659862001E+18</v>
      </c>
      <c r="B33" s="3">
        <v>236.06752</v>
      </c>
      <c r="C33" s="3">
        <v>35.897171999999998</v>
      </c>
      <c r="D33" s="3">
        <v>6.4131209999999994E-2</v>
      </c>
      <c r="E33" s="3">
        <v>1.8261099999999999</v>
      </c>
      <c r="F33" s="3">
        <v>2.673099999999998</v>
      </c>
      <c r="G33" s="3">
        <v>3.0893699999999988</v>
      </c>
      <c r="H33" s="3">
        <v>3.3738299999999981</v>
      </c>
      <c r="I33" s="3">
        <v>0.84698999999999813</v>
      </c>
      <c r="J33" s="3">
        <v>1.2632599999999989</v>
      </c>
      <c r="K33" s="3">
        <v>1.5477199999999982</v>
      </c>
      <c r="L33" s="3">
        <v>0.41627000000000081</v>
      </c>
      <c r="M33" s="3">
        <v>0.70073000000000008</v>
      </c>
      <c r="N33" s="3">
        <v>0.28445999999999927</v>
      </c>
      <c r="O33" s="13">
        <v>2.6954267011666158</v>
      </c>
      <c r="P33" s="13">
        <v>-0.30465829181768767</v>
      </c>
      <c r="Q33" s="13">
        <v>-0.70603278846878992</v>
      </c>
    </row>
    <row r="34" spans="1:17" x14ac:dyDescent="0.25">
      <c r="A34" s="3">
        <v>1.2376625032188301E+18</v>
      </c>
      <c r="B34" s="3">
        <v>236.23929999999999</v>
      </c>
      <c r="C34" s="3">
        <v>36.117984999999997</v>
      </c>
      <c r="D34" s="3">
        <v>6.4249870000000001E-2</v>
      </c>
      <c r="E34" s="3">
        <v>2.2490700000000032</v>
      </c>
      <c r="F34" s="3">
        <v>3.1645600000000016</v>
      </c>
      <c r="G34" s="3">
        <v>3.6622200000000014</v>
      </c>
      <c r="H34" s="3">
        <v>3.9597900000000017</v>
      </c>
      <c r="I34" s="3">
        <v>0.91548999999999836</v>
      </c>
      <c r="J34" s="3">
        <v>1.4131499999999981</v>
      </c>
      <c r="K34" s="3">
        <v>1.7107199999999985</v>
      </c>
      <c r="L34" s="3">
        <v>0.49765999999999977</v>
      </c>
      <c r="M34" s="3">
        <v>0.7952300000000001</v>
      </c>
      <c r="N34" s="3">
        <v>0.29757000000000033</v>
      </c>
      <c r="O34" s="13">
        <v>1.9268297679387596</v>
      </c>
      <c r="P34" s="13">
        <v>-0.8890798221209355</v>
      </c>
      <c r="Q34" s="13">
        <v>0.21272450385821812</v>
      </c>
    </row>
    <row r="35" spans="1:17" x14ac:dyDescent="0.25">
      <c r="A35" s="3">
        <v>1.23766250321903E+18</v>
      </c>
      <c r="B35" s="3">
        <v>236.62189000000001</v>
      </c>
      <c r="C35" s="3">
        <v>35.936266000000003</v>
      </c>
      <c r="D35" s="3">
        <v>6.4283400000000004E-2</v>
      </c>
      <c r="E35" s="3">
        <v>1.97654</v>
      </c>
      <c r="F35" s="3">
        <v>2.9062100000000015</v>
      </c>
      <c r="G35" s="3">
        <v>3.3224100000000014</v>
      </c>
      <c r="H35" s="3">
        <v>3.6519399999999997</v>
      </c>
      <c r="I35" s="3">
        <v>0.92967000000000155</v>
      </c>
      <c r="J35" s="3">
        <v>1.3458700000000015</v>
      </c>
      <c r="K35" s="3">
        <v>1.6753999999999998</v>
      </c>
      <c r="L35" s="3">
        <v>0.4161999999999999</v>
      </c>
      <c r="M35" s="3">
        <v>0.74572999999999823</v>
      </c>
      <c r="N35" s="3">
        <v>0.32952999999999832</v>
      </c>
      <c r="O35" s="13">
        <v>2.1754942940344182</v>
      </c>
      <c r="P35" s="13">
        <v>-0.55051894305358373</v>
      </c>
      <c r="Q35" s="13">
        <v>0.56243444423812083</v>
      </c>
    </row>
    <row r="36" spans="1:17" x14ac:dyDescent="0.25">
      <c r="A36" s="3">
        <v>1.2376625032188301E+18</v>
      </c>
      <c r="B36" s="3">
        <v>236.10839000000001</v>
      </c>
      <c r="C36" s="3">
        <v>36.062103999999998</v>
      </c>
      <c r="D36" s="3">
        <v>6.4395629999999995E-2</v>
      </c>
      <c r="E36" s="3">
        <v>1.93309</v>
      </c>
      <c r="F36" s="3">
        <v>2.812660000000001</v>
      </c>
      <c r="G36" s="3">
        <v>3.2054500000000026</v>
      </c>
      <c r="H36" s="3">
        <v>3.503580000000003</v>
      </c>
      <c r="I36" s="3">
        <v>0.87957000000000107</v>
      </c>
      <c r="J36" s="3">
        <v>1.2723600000000026</v>
      </c>
      <c r="K36" s="3">
        <v>1.5704900000000031</v>
      </c>
      <c r="L36" s="3">
        <v>0.39279000000000153</v>
      </c>
      <c r="M36" s="3">
        <v>0.69092000000000198</v>
      </c>
      <c r="N36" s="3">
        <v>0.29813000000000045</v>
      </c>
      <c r="O36" s="13">
        <v>2.5617072571391519</v>
      </c>
      <c r="P36" s="13">
        <v>-0.44290918264571782</v>
      </c>
      <c r="Q36" s="13">
        <v>-0.20258886025326014</v>
      </c>
    </row>
    <row r="37" spans="1:17" x14ac:dyDescent="0.25">
      <c r="A37" s="3">
        <v>1.2376625037556401E+18</v>
      </c>
      <c r="B37" s="3">
        <v>236.36396999999999</v>
      </c>
      <c r="C37" s="3">
        <v>36.529536</v>
      </c>
      <c r="D37" s="3">
        <v>6.4439060000000006E-2</v>
      </c>
      <c r="E37" s="3">
        <v>1.8131799999999991</v>
      </c>
      <c r="F37" s="3">
        <v>2.7027499999999982</v>
      </c>
      <c r="G37" s="3">
        <v>3.161699999999998</v>
      </c>
      <c r="H37" s="3">
        <v>3.5358699999999992</v>
      </c>
      <c r="I37" s="3">
        <v>0.88956999999999908</v>
      </c>
      <c r="J37" s="3">
        <v>1.3485199999999988</v>
      </c>
      <c r="K37" s="3">
        <v>1.7226900000000001</v>
      </c>
      <c r="L37" s="3">
        <v>0.45894999999999975</v>
      </c>
      <c r="M37" s="3">
        <v>0.83312000000000097</v>
      </c>
      <c r="N37" s="3">
        <v>0.37417000000000122</v>
      </c>
      <c r="O37" s="13">
        <v>2.1099812080079761</v>
      </c>
      <c r="P37" s="13">
        <v>8.6418246119975388E-3</v>
      </c>
      <c r="Q37" s="13">
        <v>1.5102774332238764</v>
      </c>
    </row>
    <row r="38" spans="1:17" x14ac:dyDescent="0.25">
      <c r="A38" s="3">
        <v>1.23766247369087E+18</v>
      </c>
      <c r="B38" s="3">
        <v>236.31164999999999</v>
      </c>
      <c r="C38" s="3">
        <v>36.406641999999998</v>
      </c>
      <c r="D38" s="3">
        <v>6.4482990000000004E-2</v>
      </c>
      <c r="E38" s="3">
        <v>1.9159700000000015</v>
      </c>
      <c r="F38" s="3">
        <v>2.7629999999999981</v>
      </c>
      <c r="G38" s="3">
        <v>3.1620799999999996</v>
      </c>
      <c r="H38" s="3">
        <v>3.4850600000000007</v>
      </c>
      <c r="I38" s="3">
        <v>0.84702999999999662</v>
      </c>
      <c r="J38" s="3">
        <v>1.2461099999999981</v>
      </c>
      <c r="K38" s="3">
        <v>1.5690899999999992</v>
      </c>
      <c r="L38" s="3">
        <v>0.39908000000000143</v>
      </c>
      <c r="M38" s="3">
        <v>0.72206000000000259</v>
      </c>
      <c r="N38" s="3">
        <v>0.32298000000000116</v>
      </c>
      <c r="O38" s="13">
        <v>2.4820467980571381</v>
      </c>
      <c r="P38" s="13">
        <v>-0.26245326487571663</v>
      </c>
      <c r="Q38" s="13">
        <v>1.1076564197100827</v>
      </c>
    </row>
    <row r="39" spans="1:17" x14ac:dyDescent="0.25">
      <c r="A39" s="3">
        <v>1.2376625032186399E+18</v>
      </c>
      <c r="B39" s="3">
        <v>235.71006</v>
      </c>
      <c r="C39" s="3">
        <v>36.316696</v>
      </c>
      <c r="D39" s="3">
        <v>6.4746970000000001E-2</v>
      </c>
      <c r="E39" s="3">
        <v>1.8437400000000004</v>
      </c>
      <c r="F39" s="3">
        <v>2.6752799999999972</v>
      </c>
      <c r="G39" s="3">
        <v>3.0411199999999994</v>
      </c>
      <c r="H39" s="3">
        <v>3.2991499999999991</v>
      </c>
      <c r="I39" s="3">
        <v>0.83153999999999684</v>
      </c>
      <c r="J39" s="3">
        <v>1.197379999999999</v>
      </c>
      <c r="K39" s="3">
        <v>1.4554099999999988</v>
      </c>
      <c r="L39" s="3">
        <v>0.36584000000000216</v>
      </c>
      <c r="M39" s="3">
        <v>0.62387000000000192</v>
      </c>
      <c r="N39" s="3">
        <v>0.25802999999999976</v>
      </c>
      <c r="O39" s="13">
        <v>2.9781725065790101</v>
      </c>
      <c r="P39" s="13">
        <v>-0.24476600230614015</v>
      </c>
      <c r="Q39" s="13">
        <v>-0.40602639841758253</v>
      </c>
    </row>
    <row r="40" spans="1:17" x14ac:dyDescent="0.25">
      <c r="A40" s="3">
        <v>1.2376623378635799E+18</v>
      </c>
      <c r="B40" s="3">
        <v>235.79899</v>
      </c>
      <c r="C40" s="3">
        <v>35.815162999999998</v>
      </c>
      <c r="D40" s="3">
        <v>6.4833169999999996E-2</v>
      </c>
      <c r="E40" s="3">
        <v>1.0413199999999989</v>
      </c>
      <c r="F40" s="3">
        <v>1.378149999999998</v>
      </c>
      <c r="G40" s="3">
        <v>1.6449099999999994</v>
      </c>
      <c r="H40" s="3">
        <v>1.7672699999999999</v>
      </c>
      <c r="I40" s="3">
        <v>0.33682999999999907</v>
      </c>
      <c r="J40" s="3">
        <v>0.60359000000000052</v>
      </c>
      <c r="K40" s="3">
        <v>0.72595000000000098</v>
      </c>
      <c r="L40" s="3">
        <v>0.26676000000000144</v>
      </c>
      <c r="M40" s="3">
        <v>0.38912000000000191</v>
      </c>
      <c r="N40" s="3">
        <v>0.12236000000000047</v>
      </c>
      <c r="O40" s="13">
        <v>5.298215176963752</v>
      </c>
      <c r="P40" s="13">
        <v>0.95680978053941701</v>
      </c>
      <c r="Q40" s="13">
        <v>-1.3884742247486537</v>
      </c>
    </row>
    <row r="41" spans="1:17" x14ac:dyDescent="0.25">
      <c r="A41" s="3">
        <v>1.2376624731541299E+18</v>
      </c>
      <c r="B41" s="3">
        <v>236.24706</v>
      </c>
      <c r="C41" s="3">
        <v>35.929934000000003</v>
      </c>
      <c r="D41" s="3">
        <v>6.4855990000000002E-2</v>
      </c>
      <c r="E41" s="3">
        <v>2.0538799999999995</v>
      </c>
      <c r="F41" s="3">
        <v>2.9844399999999993</v>
      </c>
      <c r="G41" s="3">
        <v>3.3550599999999982</v>
      </c>
      <c r="H41" s="3">
        <v>3.6664299999999983</v>
      </c>
      <c r="I41" s="3">
        <v>0.93055999999999983</v>
      </c>
      <c r="J41" s="3">
        <v>1.3011799999999987</v>
      </c>
      <c r="K41" s="3">
        <v>1.6125499999999988</v>
      </c>
      <c r="L41" s="3">
        <v>0.37061999999999884</v>
      </c>
      <c r="M41" s="3">
        <v>0.68198999999999899</v>
      </c>
      <c r="N41" s="3">
        <v>0.31137000000000015</v>
      </c>
      <c r="O41" s="13">
        <v>2.3830127288995797</v>
      </c>
      <c r="P41" s="13">
        <v>-0.7088206402863666</v>
      </c>
      <c r="Q41" s="13">
        <v>-0.24221150009395356</v>
      </c>
    </row>
    <row r="42" spans="1:17" x14ac:dyDescent="0.25">
      <c r="A42" s="3">
        <v>1.23766247369087E+18</v>
      </c>
      <c r="B42" s="3">
        <v>236.20194000000001</v>
      </c>
      <c r="C42" s="3">
        <v>36.445641000000002</v>
      </c>
      <c r="D42" s="3">
        <v>6.4901249999999994E-2</v>
      </c>
      <c r="E42" s="3">
        <v>1.5531400000000026</v>
      </c>
      <c r="F42" s="3">
        <v>2.3354900000000001</v>
      </c>
      <c r="G42" s="3">
        <v>2.675060000000002</v>
      </c>
      <c r="H42" s="3">
        <v>2.9899200000000015</v>
      </c>
      <c r="I42" s="3">
        <v>0.78234999999999744</v>
      </c>
      <c r="J42" s="3">
        <v>1.1219199999999994</v>
      </c>
      <c r="K42" s="3">
        <v>1.4367799999999988</v>
      </c>
      <c r="L42" s="3">
        <v>0.33957000000000193</v>
      </c>
      <c r="M42" s="3">
        <v>0.6544300000000014</v>
      </c>
      <c r="N42" s="3">
        <v>0.31485999999999947</v>
      </c>
      <c r="O42" s="13">
        <v>3.0865969668127406</v>
      </c>
      <c r="P42" s="13">
        <v>0.32074535920620567</v>
      </c>
      <c r="Q42" s="13">
        <v>0.97366948868207559</v>
      </c>
    </row>
    <row r="43" spans="1:17" x14ac:dyDescent="0.25">
      <c r="A43" s="3">
        <v>1.2376625032186399E+18</v>
      </c>
      <c r="B43" s="3">
        <v>235.80139</v>
      </c>
      <c r="C43" s="3">
        <v>36.410372000000002</v>
      </c>
      <c r="D43" s="3">
        <v>6.4920919999999993E-2</v>
      </c>
      <c r="E43" s="3">
        <v>1.8927200000000006</v>
      </c>
      <c r="F43" s="3">
        <v>2.7922799999999999</v>
      </c>
      <c r="G43" s="3">
        <v>3.2152399999999997</v>
      </c>
      <c r="H43" s="3">
        <v>3.5327399999999987</v>
      </c>
      <c r="I43" s="3">
        <v>0.89955999999999925</v>
      </c>
      <c r="J43" s="3">
        <v>1.322519999999999</v>
      </c>
      <c r="K43" s="3">
        <v>1.640019999999998</v>
      </c>
      <c r="L43" s="3">
        <v>0.42295999999999978</v>
      </c>
      <c r="M43" s="3">
        <v>0.74045999999999879</v>
      </c>
      <c r="N43" s="3">
        <v>0.31749999999999901</v>
      </c>
      <c r="O43" s="13">
        <v>2.4272047027572867</v>
      </c>
      <c r="P43" s="13">
        <v>-0.23016927330371267</v>
      </c>
      <c r="Q43" s="13">
        <v>1.083253024298278E-2</v>
      </c>
    </row>
    <row r="44" spans="1:17" x14ac:dyDescent="0.25">
      <c r="A44" s="3">
        <v>1.2376625032187E+18</v>
      </c>
      <c r="B44" s="3">
        <v>235.94580999999999</v>
      </c>
      <c r="C44" s="3">
        <v>36.373638999999997</v>
      </c>
      <c r="D44" s="3">
        <v>6.4979609999999993E-2</v>
      </c>
      <c r="E44" s="3">
        <v>1.7072700000000012</v>
      </c>
      <c r="F44" s="3">
        <v>2.4680300000000024</v>
      </c>
      <c r="G44" s="3">
        <v>2.8274400000000028</v>
      </c>
      <c r="H44" s="3">
        <v>3.0700200000000031</v>
      </c>
      <c r="I44" s="3">
        <v>0.76076000000000121</v>
      </c>
      <c r="J44" s="3">
        <v>1.1201700000000017</v>
      </c>
      <c r="K44" s="3">
        <v>1.3627500000000019</v>
      </c>
      <c r="L44" s="3">
        <v>0.35941000000000045</v>
      </c>
      <c r="M44" s="3">
        <v>0.60199000000000069</v>
      </c>
      <c r="N44" s="3">
        <v>0.24258000000000024</v>
      </c>
      <c r="O44" s="13">
        <v>3.2362767214894257</v>
      </c>
      <c r="P44" s="13">
        <v>-1.1877991031938519E-4</v>
      </c>
      <c r="Q44" s="13">
        <v>0.24780038439843771</v>
      </c>
    </row>
    <row r="45" spans="1:17" x14ac:dyDescent="0.25">
      <c r="A45" s="3">
        <v>1.2376625032188301E+18</v>
      </c>
      <c r="B45" s="3">
        <v>236.26456999999999</v>
      </c>
      <c r="C45" s="3">
        <v>36.167524</v>
      </c>
      <c r="D45" s="3">
        <v>6.4985280000000006E-2</v>
      </c>
      <c r="E45" s="3">
        <v>1.8518799999999978</v>
      </c>
      <c r="F45" s="3">
        <v>2.7363399999999984</v>
      </c>
      <c r="G45" s="3">
        <v>3.1441999999999979</v>
      </c>
      <c r="H45" s="3">
        <v>3.4565199999999976</v>
      </c>
      <c r="I45" s="3">
        <v>0.88446000000000069</v>
      </c>
      <c r="J45" s="3">
        <v>1.2923200000000001</v>
      </c>
      <c r="K45" s="3">
        <v>1.6046399999999998</v>
      </c>
      <c r="L45" s="3">
        <v>0.40785999999999945</v>
      </c>
      <c r="M45" s="3">
        <v>0.72017999999999915</v>
      </c>
      <c r="N45" s="3">
        <v>0.31231999999999971</v>
      </c>
      <c r="O45" s="13">
        <v>2.4799791813174852</v>
      </c>
      <c r="P45" s="13">
        <v>-0.26580418461423044</v>
      </c>
      <c r="Q45" s="13">
        <v>0.38722428609656656</v>
      </c>
    </row>
    <row r="46" spans="1:17" x14ac:dyDescent="0.25">
      <c r="A46" s="3">
        <v>1.2376625032188301E+18</v>
      </c>
      <c r="B46" s="3">
        <v>236.26456999999999</v>
      </c>
      <c r="C46" s="3">
        <v>36.167524</v>
      </c>
      <c r="D46" s="3">
        <v>6.4999559999999998E-2</v>
      </c>
      <c r="E46" s="3">
        <v>1.8518799999999978</v>
      </c>
      <c r="F46" s="3">
        <v>2.7363399999999984</v>
      </c>
      <c r="G46" s="3">
        <v>3.1441999999999979</v>
      </c>
      <c r="H46" s="3">
        <v>3.4565199999999976</v>
      </c>
      <c r="I46" s="3">
        <v>0.88446000000000069</v>
      </c>
      <c r="J46" s="3">
        <v>1.2923200000000001</v>
      </c>
      <c r="K46" s="3">
        <v>1.6046399999999998</v>
      </c>
      <c r="L46" s="3">
        <v>0.40785999999999945</v>
      </c>
      <c r="M46" s="3">
        <v>0.72017999999999915</v>
      </c>
      <c r="N46" s="3">
        <v>0.31231999999999971</v>
      </c>
      <c r="O46" s="13">
        <v>2.4799610212412002</v>
      </c>
      <c r="P46" s="13">
        <v>-0.26579360971961685</v>
      </c>
      <c r="Q46" s="13">
        <v>0.3872230798561539</v>
      </c>
    </row>
    <row r="47" spans="1:17" x14ac:dyDescent="0.25">
      <c r="A47" s="3">
        <v>1.2376625032187E+18</v>
      </c>
      <c r="B47" s="3">
        <v>235.80547000000001</v>
      </c>
      <c r="C47" s="3">
        <v>36.275041000000002</v>
      </c>
      <c r="D47" s="3">
        <v>6.5075030000000006E-2</v>
      </c>
      <c r="E47" s="3">
        <v>1.9735700000000023</v>
      </c>
      <c r="F47" s="3">
        <v>2.8438499999999998</v>
      </c>
      <c r="G47" s="3">
        <v>3.2469600000000014</v>
      </c>
      <c r="H47" s="3">
        <v>3.5362600000000004</v>
      </c>
      <c r="I47" s="3">
        <v>0.8702799999999975</v>
      </c>
      <c r="J47" s="3">
        <v>1.2733899999999991</v>
      </c>
      <c r="K47" s="3">
        <v>1.5626899999999981</v>
      </c>
      <c r="L47" s="3">
        <v>0.40311000000000163</v>
      </c>
      <c r="M47" s="3">
        <v>0.69241000000000064</v>
      </c>
      <c r="N47" s="3">
        <v>0.289299999999999</v>
      </c>
      <c r="O47" s="13">
        <v>2.5877794490788468</v>
      </c>
      <c r="P47" s="13">
        <v>-0.42722914867626671</v>
      </c>
      <c r="Q47" s="13">
        <v>-0.30874607246282881</v>
      </c>
    </row>
    <row r="48" spans="1:17" x14ac:dyDescent="0.25">
      <c r="A48" s="3">
        <v>1.2376625032188301E+18</v>
      </c>
      <c r="B48" s="3">
        <v>236.25417999999999</v>
      </c>
      <c r="C48" s="3">
        <v>36.106436000000002</v>
      </c>
      <c r="D48" s="3">
        <v>6.5155870000000005E-2</v>
      </c>
      <c r="E48" s="3">
        <v>2.0028100000000002</v>
      </c>
      <c r="F48" s="3">
        <v>2.8889299999999984</v>
      </c>
      <c r="G48" s="3">
        <v>3.3202700000000007</v>
      </c>
      <c r="H48" s="3">
        <v>3.6051699999999993</v>
      </c>
      <c r="I48" s="3">
        <v>0.88611999999999824</v>
      </c>
      <c r="J48" s="3">
        <v>1.3174600000000005</v>
      </c>
      <c r="K48" s="3">
        <v>1.6023599999999991</v>
      </c>
      <c r="L48" s="3">
        <v>0.43134000000000228</v>
      </c>
      <c r="M48" s="3">
        <v>0.71624000000000088</v>
      </c>
      <c r="N48" s="3">
        <v>0.2848999999999986</v>
      </c>
      <c r="O48" s="13">
        <v>2.3910007955127082</v>
      </c>
      <c r="P48" s="13">
        <v>-0.543515885302846</v>
      </c>
      <c r="Q48" s="13">
        <v>0.21260464591319392</v>
      </c>
    </row>
    <row r="49" spans="1:17" x14ac:dyDescent="0.25">
      <c r="A49" s="3">
        <v>1.2376625032186399E+18</v>
      </c>
      <c r="B49" s="3">
        <v>235.78666999999999</v>
      </c>
      <c r="C49" s="3">
        <v>36.463444000000003</v>
      </c>
      <c r="D49" s="3">
        <v>6.5224270000000001E-2</v>
      </c>
      <c r="E49" s="3">
        <v>1.7988499999999981</v>
      </c>
      <c r="F49" s="3">
        <v>2.6358099999999993</v>
      </c>
      <c r="G49" s="3">
        <v>3.0162899999999979</v>
      </c>
      <c r="H49" s="3">
        <v>3.288450000000001</v>
      </c>
      <c r="I49" s="3">
        <v>0.83696000000000126</v>
      </c>
      <c r="J49" s="3">
        <v>1.2174399999999999</v>
      </c>
      <c r="K49" s="3">
        <v>1.4896000000000029</v>
      </c>
      <c r="L49" s="3">
        <v>0.3804799999999986</v>
      </c>
      <c r="M49" s="3">
        <v>0.65264000000000166</v>
      </c>
      <c r="N49" s="3">
        <v>0.27216000000000307</v>
      </c>
      <c r="O49" s="13">
        <v>2.883856162641139</v>
      </c>
      <c r="P49" s="13">
        <v>-0.10937421919475099</v>
      </c>
      <c r="Q49" s="13">
        <v>0.12109561799365488</v>
      </c>
    </row>
    <row r="50" spans="1:17" x14ac:dyDescent="0.25">
      <c r="A50" s="3">
        <v>1.2376625032186399E+18</v>
      </c>
      <c r="B50" s="3">
        <v>235.81009</v>
      </c>
      <c r="C50" s="3">
        <v>36.410902999999998</v>
      </c>
      <c r="D50" s="3">
        <v>6.5315159999999997E-2</v>
      </c>
      <c r="E50" s="3">
        <v>1.9369399999999999</v>
      </c>
      <c r="F50" s="3">
        <v>2.8146200000000015</v>
      </c>
      <c r="G50" s="3">
        <v>3.2293200000000013</v>
      </c>
      <c r="H50" s="3">
        <v>3.5403200000000012</v>
      </c>
      <c r="I50" s="3">
        <v>0.87768000000000157</v>
      </c>
      <c r="J50" s="3">
        <v>1.2923800000000014</v>
      </c>
      <c r="K50" s="3">
        <v>1.6033800000000014</v>
      </c>
      <c r="L50" s="3">
        <v>0.41469999999999985</v>
      </c>
      <c r="M50" s="3">
        <v>0.72569999999999979</v>
      </c>
      <c r="N50" s="3">
        <v>0.31099999999999994</v>
      </c>
      <c r="O50" s="13">
        <v>2.4853296581453819</v>
      </c>
      <c r="P50" s="13">
        <v>-0.29813953863885428</v>
      </c>
      <c r="Q50" s="13">
        <v>4.0516124008788929E-2</v>
      </c>
    </row>
    <row r="51" spans="1:17" x14ac:dyDescent="0.25">
      <c r="A51" s="3">
        <v>1.23766247369074E+18</v>
      </c>
      <c r="B51" s="3">
        <v>235.81360000000001</v>
      </c>
      <c r="C51" s="3">
        <v>36.473101</v>
      </c>
      <c r="D51" s="3">
        <v>6.5316739999999998E-2</v>
      </c>
      <c r="E51" s="3">
        <v>1.7890300000000003</v>
      </c>
      <c r="F51" s="3">
        <v>2.5791599999999981</v>
      </c>
      <c r="G51" s="3">
        <v>2.9582799999999985</v>
      </c>
      <c r="H51" s="3">
        <v>3.2732599999999969</v>
      </c>
      <c r="I51" s="3">
        <v>0.79012999999999778</v>
      </c>
      <c r="J51" s="3">
        <v>1.1692499999999981</v>
      </c>
      <c r="K51" s="3">
        <v>1.4842299999999966</v>
      </c>
      <c r="L51" s="3">
        <v>0.37912000000000035</v>
      </c>
      <c r="M51" s="3">
        <v>0.69409999999999883</v>
      </c>
      <c r="N51" s="3">
        <v>0.31497999999999848</v>
      </c>
      <c r="O51" s="13">
        <v>2.8610426301371494</v>
      </c>
      <c r="P51" s="13">
        <v>-4.1006311293613415E-3</v>
      </c>
      <c r="Q51" s="13">
        <v>0.22797512939110195</v>
      </c>
    </row>
    <row r="52" spans="1:17" x14ac:dyDescent="0.25">
      <c r="A52" s="3">
        <v>1.2376625032187699E+18</v>
      </c>
      <c r="B52" s="3">
        <v>236.01967999999999</v>
      </c>
      <c r="C52" s="3">
        <v>36.125104999999998</v>
      </c>
      <c r="D52" s="3">
        <v>6.5348059999999999E-2</v>
      </c>
      <c r="E52" s="3">
        <v>1.9589399999999983</v>
      </c>
      <c r="F52" s="3">
        <v>2.8948599999999978</v>
      </c>
      <c r="G52" s="3">
        <v>3.3355999999999995</v>
      </c>
      <c r="H52" s="3">
        <v>3.6846099999999993</v>
      </c>
      <c r="I52" s="3">
        <v>0.93591999999999942</v>
      </c>
      <c r="J52" s="3">
        <v>1.3766600000000011</v>
      </c>
      <c r="K52" s="3">
        <v>1.7256700000000009</v>
      </c>
      <c r="L52" s="3">
        <v>0.44074000000000169</v>
      </c>
      <c r="M52" s="3">
        <v>0.78975000000000151</v>
      </c>
      <c r="N52" s="3">
        <v>0.34900999999999982</v>
      </c>
      <c r="O52" s="13">
        <v>2.1401230080834477</v>
      </c>
      <c r="P52" s="13">
        <v>-0.40155631459317953</v>
      </c>
      <c r="Q52" s="13">
        <v>-0.24342983444730806</v>
      </c>
    </row>
    <row r="53" spans="1:17" x14ac:dyDescent="0.25">
      <c r="A53" s="3">
        <v>1.2376624736910001E+18</v>
      </c>
      <c r="B53" s="3">
        <v>236.37001000000001</v>
      </c>
      <c r="C53" s="3">
        <v>36.133343000000004</v>
      </c>
      <c r="D53" s="3">
        <v>6.5348920000000005E-2</v>
      </c>
      <c r="E53" s="3">
        <v>1.7693000000000012</v>
      </c>
      <c r="F53" s="3">
        <v>2.6161600000000007</v>
      </c>
      <c r="G53" s="3">
        <v>2.9935100000000006</v>
      </c>
      <c r="H53" s="3">
        <v>3.2851400000000019</v>
      </c>
      <c r="I53" s="3">
        <v>0.8468599999999995</v>
      </c>
      <c r="J53" s="3">
        <v>1.2242099999999994</v>
      </c>
      <c r="K53" s="3">
        <v>1.5158400000000007</v>
      </c>
      <c r="L53" s="3">
        <v>0.37734999999999985</v>
      </c>
      <c r="M53" s="3">
        <v>0.66898000000000124</v>
      </c>
      <c r="N53" s="3">
        <v>0.29163000000000139</v>
      </c>
      <c r="O53" s="13">
        <v>2.7513482914334424</v>
      </c>
      <c r="P53" s="13">
        <v>-0.17141916392637349</v>
      </c>
      <c r="Q53" s="13">
        <v>0.53057485435973439</v>
      </c>
    </row>
    <row r="54" spans="1:17" x14ac:dyDescent="0.25">
      <c r="A54" s="3">
        <v>1.23766250321903E+18</v>
      </c>
      <c r="B54" s="3">
        <v>236.63884999999999</v>
      </c>
      <c r="C54" s="3">
        <v>35.784723999999997</v>
      </c>
      <c r="D54" s="3">
        <v>6.5432879999999999E-2</v>
      </c>
      <c r="E54" s="3">
        <v>1.8967999999999989</v>
      </c>
      <c r="F54" s="3">
        <v>2.7572599999999987</v>
      </c>
      <c r="G54" s="3">
        <v>3.1620599999999985</v>
      </c>
      <c r="H54" s="3">
        <v>3.4725699999999993</v>
      </c>
      <c r="I54" s="3">
        <v>0.86045999999999978</v>
      </c>
      <c r="J54" s="3">
        <v>1.2652599999999996</v>
      </c>
      <c r="K54" s="3">
        <v>1.5757700000000003</v>
      </c>
      <c r="L54" s="3">
        <v>0.40479999999999983</v>
      </c>
      <c r="M54" s="3">
        <v>0.71531000000000056</v>
      </c>
      <c r="N54" s="3">
        <v>0.31051000000000073</v>
      </c>
      <c r="O54" s="13">
        <v>2.4751515640258184</v>
      </c>
      <c r="P54" s="13">
        <v>-0.45579974805979923</v>
      </c>
      <c r="Q54" s="13">
        <v>0.23240270311758776</v>
      </c>
    </row>
    <row r="55" spans="1:17" x14ac:dyDescent="0.25">
      <c r="A55" s="3">
        <v>1.2376625032188301E+18</v>
      </c>
      <c r="B55" s="3">
        <v>236.23173</v>
      </c>
      <c r="C55" s="3">
        <v>36.092804000000001</v>
      </c>
      <c r="D55" s="3">
        <v>6.5570669999999998E-2</v>
      </c>
      <c r="E55" s="3">
        <v>1.882950000000001</v>
      </c>
      <c r="F55" s="3">
        <v>2.75929</v>
      </c>
      <c r="G55" s="3">
        <v>3.2014600000000009</v>
      </c>
      <c r="H55" s="3">
        <v>3.5233600000000003</v>
      </c>
      <c r="I55" s="3">
        <v>0.87633999999999901</v>
      </c>
      <c r="J55" s="3">
        <v>1.3185099999999998</v>
      </c>
      <c r="K55" s="3">
        <v>1.6404099999999993</v>
      </c>
      <c r="L55" s="3">
        <v>0.44217000000000084</v>
      </c>
      <c r="M55" s="3">
        <v>0.76407000000000025</v>
      </c>
      <c r="N55" s="3">
        <v>0.32189999999999941</v>
      </c>
      <c r="O55" s="13">
        <v>2.3561677545823416</v>
      </c>
      <c r="P55" s="13">
        <v>-0.29589317450525482</v>
      </c>
      <c r="Q55" s="13">
        <v>0.13306591466100132</v>
      </c>
    </row>
    <row r="56" spans="1:17" x14ac:dyDescent="0.25">
      <c r="A56" s="3">
        <v>1.2376625032188301E+18</v>
      </c>
      <c r="B56" s="3">
        <v>236.15736000000001</v>
      </c>
      <c r="C56" s="3">
        <v>36.030281000000002</v>
      </c>
      <c r="D56" s="3">
        <v>6.5647179999999999E-2</v>
      </c>
      <c r="E56" s="3">
        <v>2.1199899999999978</v>
      </c>
      <c r="F56" s="3">
        <v>2.9894499999999979</v>
      </c>
      <c r="G56" s="3">
        <v>3.3914200000000001</v>
      </c>
      <c r="H56" s="3">
        <v>3.6735599999999984</v>
      </c>
      <c r="I56" s="3">
        <v>0.86946000000000012</v>
      </c>
      <c r="J56" s="3">
        <v>1.2714300000000023</v>
      </c>
      <c r="K56" s="3">
        <v>1.5535700000000006</v>
      </c>
      <c r="L56" s="3">
        <v>0.40197000000000216</v>
      </c>
      <c r="M56" s="3">
        <v>0.68411000000000044</v>
      </c>
      <c r="N56" s="3">
        <v>0.28213999999999828</v>
      </c>
      <c r="O56" s="13">
        <v>2.4672212310556993</v>
      </c>
      <c r="P56" s="13">
        <v>-0.75557517236359339</v>
      </c>
      <c r="Q56" s="13">
        <v>-0.16686503041913486</v>
      </c>
    </row>
    <row r="57" spans="1:17" x14ac:dyDescent="0.25">
      <c r="A57" s="3">
        <v>1.2376625032188301E+18</v>
      </c>
      <c r="B57" s="3">
        <v>236.26403999999999</v>
      </c>
      <c r="C57" s="3">
        <v>36.182251999999998</v>
      </c>
      <c r="D57" s="3">
        <v>6.5654039999999997E-2</v>
      </c>
      <c r="E57" s="3">
        <v>1.9060499999999969</v>
      </c>
      <c r="F57" s="3">
        <v>2.839109999999998</v>
      </c>
      <c r="G57" s="3">
        <v>3.2886299999999977</v>
      </c>
      <c r="H57" s="3">
        <v>3.6416599999999981</v>
      </c>
      <c r="I57" s="3">
        <v>0.93306000000000111</v>
      </c>
      <c r="J57" s="3">
        <v>1.3825800000000008</v>
      </c>
      <c r="K57" s="3">
        <v>1.7356100000000012</v>
      </c>
      <c r="L57" s="3">
        <v>0.4495199999999997</v>
      </c>
      <c r="M57" s="3">
        <v>0.8025500000000001</v>
      </c>
      <c r="N57" s="3">
        <v>0.3530300000000004</v>
      </c>
      <c r="O57" s="13">
        <v>2.0921880762713423</v>
      </c>
      <c r="P57" s="13">
        <v>-0.29961222243984115</v>
      </c>
      <c r="Q57" s="13">
        <v>0.41535764944288167</v>
      </c>
    </row>
    <row r="58" spans="1:17" x14ac:dyDescent="0.25">
      <c r="A58" s="3">
        <v>1.2376625032189E+18</v>
      </c>
      <c r="B58" s="3">
        <v>236.21476999999999</v>
      </c>
      <c r="C58" s="3">
        <v>36.019869999999997</v>
      </c>
      <c r="D58" s="3">
        <v>6.5661650000000002E-2</v>
      </c>
      <c r="E58" s="3">
        <v>1.6394300000000008</v>
      </c>
      <c r="F58" s="3">
        <v>2.4712800000000001</v>
      </c>
      <c r="G58" s="3">
        <v>2.8665699999999994</v>
      </c>
      <c r="H58" s="3">
        <v>3.1563500000000015</v>
      </c>
      <c r="I58" s="3">
        <v>0.83184999999999931</v>
      </c>
      <c r="J58" s="3">
        <v>1.2271399999999986</v>
      </c>
      <c r="K58" s="3">
        <v>1.5169200000000007</v>
      </c>
      <c r="L58" s="3">
        <v>0.39528999999999925</v>
      </c>
      <c r="M58" s="3">
        <v>0.6850700000000014</v>
      </c>
      <c r="N58" s="3">
        <v>0.28978000000000215</v>
      </c>
      <c r="O58" s="13">
        <v>2.8618345445428215</v>
      </c>
      <c r="P58" s="13">
        <v>2.4101626728006573E-2</v>
      </c>
      <c r="Q58" s="13">
        <v>-9.0441022412573902E-2</v>
      </c>
    </row>
    <row r="59" spans="1:17" x14ac:dyDescent="0.25">
      <c r="A59" s="3">
        <v>1.2376624731539999E+18</v>
      </c>
      <c r="B59" s="3">
        <v>235.99902</v>
      </c>
      <c r="C59" s="3">
        <v>36.086818000000001</v>
      </c>
      <c r="D59" s="3">
        <v>6.5674079999999996E-2</v>
      </c>
      <c r="E59" s="3">
        <v>1.7484500000000018</v>
      </c>
      <c r="F59" s="3">
        <v>2.6404100000000028</v>
      </c>
      <c r="G59" s="3">
        <v>3.0121099999999998</v>
      </c>
      <c r="H59" s="3">
        <v>3.3375500000000002</v>
      </c>
      <c r="I59" s="3">
        <v>0.89196000000000097</v>
      </c>
      <c r="J59" s="3">
        <v>1.263659999999998</v>
      </c>
      <c r="K59" s="3">
        <v>1.5890999999999984</v>
      </c>
      <c r="L59" s="3">
        <v>0.37169999999999703</v>
      </c>
      <c r="M59" s="3">
        <v>0.69713999999999743</v>
      </c>
      <c r="N59" s="3">
        <v>0.3254400000000004</v>
      </c>
      <c r="O59" s="13">
        <v>2.6610364467929633</v>
      </c>
      <c r="P59" s="13">
        <v>-0.12509572496935817</v>
      </c>
      <c r="Q59" s="13">
        <v>-0.38084605894503298</v>
      </c>
    </row>
    <row r="60" spans="1:17" x14ac:dyDescent="0.25">
      <c r="A60" s="3">
        <v>1.2376625032188301E+18</v>
      </c>
      <c r="B60" s="3">
        <v>236.27367000000001</v>
      </c>
      <c r="C60" s="3">
        <v>36.115484000000002</v>
      </c>
      <c r="D60" s="3">
        <v>6.5750260000000005E-2</v>
      </c>
      <c r="E60" s="3">
        <v>1.8521899999999967</v>
      </c>
      <c r="F60" s="3">
        <v>2.7235799999999983</v>
      </c>
      <c r="G60" s="3">
        <v>3.1620699999999999</v>
      </c>
      <c r="H60" s="3">
        <v>3.4625199999999978</v>
      </c>
      <c r="I60" s="3">
        <v>0.87139000000000166</v>
      </c>
      <c r="J60" s="3">
        <v>1.3098800000000033</v>
      </c>
      <c r="K60" s="3">
        <v>1.6103300000000011</v>
      </c>
      <c r="L60" s="3">
        <v>0.4384900000000016</v>
      </c>
      <c r="M60" s="3">
        <v>0.73893999999999949</v>
      </c>
      <c r="N60" s="3">
        <v>0.30044999999999789</v>
      </c>
      <c r="O60" s="13">
        <v>2.4520778333239628</v>
      </c>
      <c r="P60" s="13">
        <v>-0.26995148668186125</v>
      </c>
      <c r="Q60" s="13">
        <v>0.27358760805586424</v>
      </c>
    </row>
    <row r="61" spans="1:17" x14ac:dyDescent="0.25">
      <c r="A61" s="3">
        <v>1.2376625032188301E+18</v>
      </c>
      <c r="B61" s="3">
        <v>236.05607000000001</v>
      </c>
      <c r="C61" s="3">
        <v>36.111181999999999</v>
      </c>
      <c r="D61" s="3">
        <v>6.5796610000000005E-2</v>
      </c>
      <c r="E61" s="3">
        <v>1.8721599999999974</v>
      </c>
      <c r="F61" s="3">
        <v>2.7383299999999977</v>
      </c>
      <c r="G61" s="3">
        <v>3.1506199999999982</v>
      </c>
      <c r="H61" s="3">
        <v>3.4721099999999989</v>
      </c>
      <c r="I61" s="3">
        <v>0.86617000000000033</v>
      </c>
      <c r="J61" s="3">
        <v>1.2784600000000008</v>
      </c>
      <c r="K61" s="3">
        <v>1.5999500000000015</v>
      </c>
      <c r="L61" s="3">
        <v>0.41229000000000049</v>
      </c>
      <c r="M61" s="3">
        <v>0.73378000000000121</v>
      </c>
      <c r="N61" s="3">
        <v>0.32149000000000072</v>
      </c>
      <c r="O61" s="13">
        <v>2.5078264440180091</v>
      </c>
      <c r="P61" s="13">
        <v>-0.27711605302171782</v>
      </c>
      <c r="Q61" s="13">
        <v>-0.18728529113086204</v>
      </c>
    </row>
    <row r="62" spans="1:17" x14ac:dyDescent="0.25">
      <c r="A62" s="3">
        <v>1.2376625032189E+18</v>
      </c>
      <c r="B62" s="3">
        <v>236.24889999999999</v>
      </c>
      <c r="C62" s="3">
        <v>35.988132999999998</v>
      </c>
      <c r="D62" s="3">
        <v>6.5869510000000006E-2</v>
      </c>
      <c r="E62" s="3">
        <v>1.8909200000000013</v>
      </c>
      <c r="F62" s="3">
        <v>2.7892299999999999</v>
      </c>
      <c r="G62" s="3">
        <v>3.2072099999999999</v>
      </c>
      <c r="H62" s="3">
        <v>3.5671299999999988</v>
      </c>
      <c r="I62" s="3">
        <v>0.89830999999999861</v>
      </c>
      <c r="J62" s="3">
        <v>1.3162899999999986</v>
      </c>
      <c r="K62" s="3">
        <v>1.6762099999999975</v>
      </c>
      <c r="L62" s="3">
        <v>0.41798000000000002</v>
      </c>
      <c r="M62" s="3">
        <v>0.77789999999999893</v>
      </c>
      <c r="N62" s="3">
        <v>0.35991999999999891</v>
      </c>
      <c r="O62" s="13">
        <v>2.2695921181219449</v>
      </c>
      <c r="P62" s="13">
        <v>-0.31968820591751435</v>
      </c>
      <c r="Q62" s="13">
        <v>-8.7486577022213977E-2</v>
      </c>
    </row>
    <row r="63" spans="1:17" x14ac:dyDescent="0.25">
      <c r="A63" s="3">
        <v>1.2376625032189701E+18</v>
      </c>
      <c r="B63" s="3">
        <v>236.45294999999999</v>
      </c>
      <c r="C63" s="3">
        <v>35.954416000000002</v>
      </c>
      <c r="D63" s="3">
        <v>6.5956790000000001E-2</v>
      </c>
      <c r="E63" s="3">
        <v>1.9209500000000013</v>
      </c>
      <c r="F63" s="3">
        <v>2.8317699999999988</v>
      </c>
      <c r="G63" s="3">
        <v>3.2589800000000011</v>
      </c>
      <c r="H63" s="3">
        <v>3.6038700000000006</v>
      </c>
      <c r="I63" s="3">
        <v>0.91081999999999752</v>
      </c>
      <c r="J63" s="3">
        <v>1.3380299999999998</v>
      </c>
      <c r="K63" s="3">
        <v>1.6829199999999993</v>
      </c>
      <c r="L63" s="3">
        <v>0.42721000000000231</v>
      </c>
      <c r="M63" s="3">
        <v>0.77210000000000178</v>
      </c>
      <c r="N63" s="3">
        <v>0.34488999999999947</v>
      </c>
      <c r="O63" s="13">
        <v>2.2032138171220796</v>
      </c>
      <c r="P63" s="13">
        <v>-0.40899281052803055</v>
      </c>
      <c r="Q63" s="13">
        <v>0.25403270007385603</v>
      </c>
    </row>
    <row r="64" spans="1:17" x14ac:dyDescent="0.25">
      <c r="A64" s="3">
        <v>1.2376625032187E+18</v>
      </c>
      <c r="B64" s="3">
        <v>235.78942000000001</v>
      </c>
      <c r="C64" s="3">
        <v>36.296126999999998</v>
      </c>
      <c r="D64" s="3">
        <v>6.6005069999999999E-2</v>
      </c>
      <c r="E64" s="3">
        <v>1.7686500000000009</v>
      </c>
      <c r="F64" s="3">
        <v>2.56616</v>
      </c>
      <c r="G64" s="3">
        <v>2.9246000000000016</v>
      </c>
      <c r="H64" s="3">
        <v>3.1822499999999998</v>
      </c>
      <c r="I64" s="3">
        <v>0.79750999999999905</v>
      </c>
      <c r="J64" s="3">
        <v>1.1559500000000007</v>
      </c>
      <c r="K64" s="3">
        <v>1.4135999999999989</v>
      </c>
      <c r="L64" s="3">
        <v>0.35844000000000165</v>
      </c>
      <c r="M64" s="3">
        <v>0.6160899999999998</v>
      </c>
      <c r="N64" s="3">
        <v>0.25764999999999816</v>
      </c>
      <c r="O64" s="13">
        <v>3.1098701790526637</v>
      </c>
      <c r="P64" s="13">
        <v>-0.11757591982592901</v>
      </c>
      <c r="Q64" s="13">
        <v>-0.28254855863339101</v>
      </c>
    </row>
    <row r="65" spans="1:17" x14ac:dyDescent="0.25">
      <c r="A65" s="3">
        <v>1.2376625032189701E+18</v>
      </c>
      <c r="B65" s="3">
        <v>236.43817000000001</v>
      </c>
      <c r="C65" s="3">
        <v>35.865676000000001</v>
      </c>
      <c r="D65" s="3">
        <v>6.6037529999999997E-2</v>
      </c>
      <c r="E65" s="3">
        <v>1.9364699999999999</v>
      </c>
      <c r="F65" s="3">
        <v>2.8178699999999992</v>
      </c>
      <c r="G65" s="3">
        <v>3.2472699999999985</v>
      </c>
      <c r="H65" s="3">
        <v>3.5849499999999992</v>
      </c>
      <c r="I65" s="3">
        <v>0.8813999999999993</v>
      </c>
      <c r="J65" s="3">
        <v>1.3107999999999986</v>
      </c>
      <c r="K65" s="3">
        <v>1.6484799999999993</v>
      </c>
      <c r="L65" s="3">
        <v>0.42939999999999934</v>
      </c>
      <c r="M65" s="3">
        <v>0.76707999999999998</v>
      </c>
      <c r="N65" s="3">
        <v>0.33768000000000065</v>
      </c>
      <c r="O65" s="13">
        <v>2.2798967762838962</v>
      </c>
      <c r="P65" s="13">
        <v>-0.44739252621101139</v>
      </c>
      <c r="Q65" s="13">
        <v>9.0004704615341737E-3</v>
      </c>
    </row>
    <row r="66" spans="1:17" x14ac:dyDescent="0.25">
      <c r="A66" s="3">
        <v>1.2376624736909299E+18</v>
      </c>
      <c r="B66" s="3">
        <v>236.33320000000001</v>
      </c>
      <c r="C66" s="3">
        <v>36.342984999999999</v>
      </c>
      <c r="D66" s="3">
        <v>6.6088040000000001E-2</v>
      </c>
      <c r="E66" s="3">
        <v>1.9434199999999997</v>
      </c>
      <c r="F66" s="3">
        <v>2.8417899999999996</v>
      </c>
      <c r="G66" s="3">
        <v>3.2593700000000005</v>
      </c>
      <c r="H66" s="3">
        <v>3.6097599999999979</v>
      </c>
      <c r="I66" s="3">
        <v>0.89836999999999989</v>
      </c>
      <c r="J66" s="3">
        <v>1.3159500000000008</v>
      </c>
      <c r="K66" s="3">
        <v>1.6663399999999982</v>
      </c>
      <c r="L66" s="3">
        <v>0.41758000000000095</v>
      </c>
      <c r="M66" s="3">
        <v>0.76796999999999827</v>
      </c>
      <c r="N66" s="3">
        <v>0.35038999999999731</v>
      </c>
      <c r="O66" s="13">
        <v>2.2169403602043247</v>
      </c>
      <c r="P66" s="13">
        <v>-0.31189223011326761</v>
      </c>
      <c r="Q66" s="13">
        <v>0.98280048714926815</v>
      </c>
    </row>
    <row r="67" spans="1:17" x14ac:dyDescent="0.25">
      <c r="A67" s="3">
        <v>1.2376625037557701E+18</v>
      </c>
      <c r="B67" s="3">
        <v>236.55311</v>
      </c>
      <c r="C67" s="3">
        <v>36.306319999999999</v>
      </c>
      <c r="D67" s="3">
        <v>6.6127720000000001E-2</v>
      </c>
      <c r="E67" s="3">
        <v>1.6878100000000025</v>
      </c>
      <c r="F67" s="3">
        <v>2.5025500000000029</v>
      </c>
      <c r="G67" s="3">
        <v>2.8564700000000016</v>
      </c>
      <c r="H67" s="3">
        <v>3.0897100000000002</v>
      </c>
      <c r="I67" s="3">
        <v>0.81474000000000046</v>
      </c>
      <c r="J67" s="3">
        <v>1.1686599999999991</v>
      </c>
      <c r="K67" s="3">
        <v>1.4018999999999977</v>
      </c>
      <c r="L67" s="3">
        <v>0.35391999999999868</v>
      </c>
      <c r="M67" s="3">
        <v>0.58715999999999724</v>
      </c>
      <c r="N67" s="3">
        <v>0.23323999999999856</v>
      </c>
      <c r="O67" s="13">
        <v>3.0679323176435664</v>
      </c>
      <c r="P67" s="13">
        <v>-6.9173360102067927E-2</v>
      </c>
      <c r="Q67" s="13">
        <v>1.3463785765694194</v>
      </c>
    </row>
    <row r="68" spans="1:17" x14ac:dyDescent="0.25">
      <c r="A68" s="3">
        <v>1.2376625032188301E+18</v>
      </c>
      <c r="B68" s="3">
        <v>236.24598</v>
      </c>
      <c r="C68" s="3">
        <v>36.109456999999999</v>
      </c>
      <c r="D68" s="3">
        <v>6.6295129999999994E-2</v>
      </c>
      <c r="E68" s="3">
        <v>2.2125299999999992</v>
      </c>
      <c r="F68" s="3">
        <v>3.1335699999999989</v>
      </c>
      <c r="G68" s="3">
        <v>3.5693099999999998</v>
      </c>
      <c r="H68" s="3">
        <v>3.8889699999999987</v>
      </c>
      <c r="I68" s="3">
        <v>0.92103999999999964</v>
      </c>
      <c r="J68" s="3">
        <v>1.3567800000000005</v>
      </c>
      <c r="K68" s="3">
        <v>1.6764399999999995</v>
      </c>
      <c r="L68" s="3">
        <v>0.4357400000000009</v>
      </c>
      <c r="M68" s="3">
        <v>0.75539999999999985</v>
      </c>
      <c r="N68" s="3">
        <v>0.31965999999999894</v>
      </c>
      <c r="O68" s="13">
        <v>2.0577948035194198</v>
      </c>
      <c r="P68" s="13">
        <v>-0.84530036916352758</v>
      </c>
      <c r="Q68" s="13">
        <v>0.21403003816665939</v>
      </c>
    </row>
    <row r="69" spans="1:17" x14ac:dyDescent="0.25">
      <c r="A69" s="3">
        <v>1.23766146598626E+18</v>
      </c>
      <c r="B69" s="3">
        <v>236.36339000000001</v>
      </c>
      <c r="C69" s="3">
        <v>35.81127</v>
      </c>
      <c r="D69" s="3">
        <v>6.6331390000000004E-2</v>
      </c>
      <c r="E69" s="3">
        <v>1.9531499999999973</v>
      </c>
      <c r="F69" s="3">
        <v>2.8321899999999971</v>
      </c>
      <c r="G69" s="3">
        <v>3.2434999999999974</v>
      </c>
      <c r="H69" s="3">
        <v>3.5411999999999999</v>
      </c>
      <c r="I69" s="3">
        <v>0.87903999999999982</v>
      </c>
      <c r="J69" s="3">
        <v>1.2903500000000001</v>
      </c>
      <c r="K69" s="3">
        <v>1.5880500000000026</v>
      </c>
      <c r="L69" s="3">
        <v>0.41131000000000029</v>
      </c>
      <c r="M69" s="3">
        <v>0.7090100000000028</v>
      </c>
      <c r="N69" s="3">
        <v>0.29770000000000252</v>
      </c>
      <c r="O69" s="13">
        <v>2.4647735827827049</v>
      </c>
      <c r="P69" s="13">
        <v>-0.54882830971976293</v>
      </c>
      <c r="Q69" s="13">
        <v>-0.29162885926855969</v>
      </c>
    </row>
    <row r="70" spans="1:17" x14ac:dyDescent="0.25">
      <c r="A70" s="3">
        <v>1.2376624736908001E+18</v>
      </c>
      <c r="B70" s="3">
        <v>236.01835</v>
      </c>
      <c r="C70" s="3">
        <v>36.347510999999997</v>
      </c>
      <c r="D70" s="3">
        <v>6.6398659999999998E-2</v>
      </c>
      <c r="E70" s="3">
        <v>1.869130000000002</v>
      </c>
      <c r="F70" s="3">
        <v>2.7234100000000012</v>
      </c>
      <c r="G70" s="3">
        <v>3.1403800000000004</v>
      </c>
      <c r="H70" s="3">
        <v>3.4681500000000014</v>
      </c>
      <c r="I70" s="3">
        <v>0.85427999999999926</v>
      </c>
      <c r="J70" s="3">
        <v>1.2712499999999984</v>
      </c>
      <c r="K70" s="3">
        <v>1.5990199999999994</v>
      </c>
      <c r="L70" s="3">
        <v>0.41696999999999917</v>
      </c>
      <c r="M70" s="3">
        <v>0.74474000000000018</v>
      </c>
      <c r="N70" s="3">
        <v>0.327770000000001</v>
      </c>
      <c r="O70" s="13">
        <v>2.4889501480455922</v>
      </c>
      <c r="P70" s="13">
        <v>-0.1798059466270632</v>
      </c>
      <c r="Q70" s="13">
        <v>0.33003994932580938</v>
      </c>
    </row>
    <row r="71" spans="1:17" x14ac:dyDescent="0.25">
      <c r="A71" s="3">
        <v>1.2376625032189E+18</v>
      </c>
      <c r="B71" s="3">
        <v>236.35445999999999</v>
      </c>
      <c r="C71" s="3">
        <v>36.020178999999999</v>
      </c>
      <c r="D71" s="3">
        <v>6.6449170000000002E-2</v>
      </c>
      <c r="E71" s="3">
        <v>2.0114400000000003</v>
      </c>
      <c r="F71" s="3">
        <v>2.9162999999999997</v>
      </c>
      <c r="G71" s="3">
        <v>3.3345599999999997</v>
      </c>
      <c r="H71" s="3">
        <v>3.6760200000000012</v>
      </c>
      <c r="I71" s="3">
        <v>0.90485999999999933</v>
      </c>
      <c r="J71" s="3">
        <v>1.3231199999999994</v>
      </c>
      <c r="K71" s="3">
        <v>1.6645800000000008</v>
      </c>
      <c r="L71" s="3">
        <v>0.41826000000000008</v>
      </c>
      <c r="M71" s="3">
        <v>0.75972000000000151</v>
      </c>
      <c r="N71" s="3">
        <v>0.34146000000000143</v>
      </c>
      <c r="O71" s="13">
        <v>2.2038580490172053</v>
      </c>
      <c r="P71" s="13">
        <v>-0.53222112923618303</v>
      </c>
      <c r="Q71" s="13">
        <v>0.21873537093130935</v>
      </c>
    </row>
    <row r="72" spans="1:17" x14ac:dyDescent="0.25">
      <c r="A72" s="3">
        <v>1.23766247369087E+18</v>
      </c>
      <c r="B72" s="3">
        <v>236.21849</v>
      </c>
      <c r="C72" s="3">
        <v>36.333888000000002</v>
      </c>
      <c r="D72" s="3">
        <v>6.6489409999999999E-2</v>
      </c>
      <c r="E72" s="3">
        <v>1.5154099999999993</v>
      </c>
      <c r="F72" s="3">
        <v>2.3124499999999983</v>
      </c>
      <c r="G72" s="3">
        <v>2.7183400000000013</v>
      </c>
      <c r="H72" s="3">
        <v>3.0335699999999992</v>
      </c>
      <c r="I72" s="3">
        <v>0.79703999999999908</v>
      </c>
      <c r="J72" s="3">
        <v>1.2029300000000021</v>
      </c>
      <c r="K72" s="3">
        <v>1.51816</v>
      </c>
      <c r="L72" s="3">
        <v>0.40589000000000297</v>
      </c>
      <c r="M72" s="3">
        <v>0.72112000000000087</v>
      </c>
      <c r="N72" s="3">
        <v>0.3152299999999979</v>
      </c>
      <c r="O72" s="13">
        <v>2.8846991432976536</v>
      </c>
      <c r="P72" s="13">
        <v>0.37755778455865768</v>
      </c>
      <c r="Q72" s="13">
        <v>0.71251892184347099</v>
      </c>
    </row>
    <row r="73" spans="1:17" x14ac:dyDescent="0.25">
      <c r="A73" s="3">
        <v>1.2376614659861299E+18</v>
      </c>
      <c r="B73" s="3">
        <v>235.9846</v>
      </c>
      <c r="C73" s="3">
        <v>35.897812000000002</v>
      </c>
      <c r="D73" s="3">
        <v>6.6573939999999998E-2</v>
      </c>
      <c r="E73" s="3">
        <v>1.8771599999999999</v>
      </c>
      <c r="F73" s="3">
        <v>2.7173900000000017</v>
      </c>
      <c r="G73" s="3">
        <v>3.1031900000000014</v>
      </c>
      <c r="H73" s="3">
        <v>3.3945299999999996</v>
      </c>
      <c r="I73" s="3">
        <v>0.84023000000000181</v>
      </c>
      <c r="J73" s="3">
        <v>1.2260300000000015</v>
      </c>
      <c r="K73" s="3">
        <v>1.5173699999999997</v>
      </c>
      <c r="L73" s="3">
        <v>0.3857999999999997</v>
      </c>
      <c r="M73" s="3">
        <v>0.67713999999999785</v>
      </c>
      <c r="N73" s="3">
        <v>0.29133999999999816</v>
      </c>
      <c r="O73" s="13">
        <v>2.7589272945324352</v>
      </c>
      <c r="P73" s="13">
        <v>-0.38374829955667022</v>
      </c>
      <c r="Q73" s="13">
        <v>-0.86913584162277047</v>
      </c>
    </row>
    <row r="74" spans="1:17" x14ac:dyDescent="0.25">
      <c r="A74" s="3">
        <v>1.2376625032188301E+18</v>
      </c>
      <c r="B74" s="3">
        <v>236.21942000000001</v>
      </c>
      <c r="C74" s="3">
        <v>36.215575000000001</v>
      </c>
      <c r="D74" s="3">
        <v>6.6674170000000005E-2</v>
      </c>
      <c r="E74" s="3">
        <v>2.0042399999999994</v>
      </c>
      <c r="F74" s="3">
        <v>2.8588200000000015</v>
      </c>
      <c r="G74" s="3">
        <v>3.2528900000000007</v>
      </c>
      <c r="H74" s="3">
        <v>3.5459300000000002</v>
      </c>
      <c r="I74" s="3">
        <v>0.85458000000000212</v>
      </c>
      <c r="J74" s="3">
        <v>1.2486500000000014</v>
      </c>
      <c r="K74" s="3">
        <v>1.5416900000000009</v>
      </c>
      <c r="L74" s="3">
        <v>0.39406999999999925</v>
      </c>
      <c r="M74" s="3">
        <v>0.68710999999999878</v>
      </c>
      <c r="N74" s="3">
        <v>0.29303999999999952</v>
      </c>
      <c r="O74" s="13">
        <v>2.5404438566197016</v>
      </c>
      <c r="P74" s="13">
        <v>-0.50053306497752681</v>
      </c>
      <c r="Q74" s="13">
        <v>0.42973912218099375</v>
      </c>
    </row>
    <row r="75" spans="1:17" x14ac:dyDescent="0.25">
      <c r="A75" s="3">
        <v>1.23766233786351E+18</v>
      </c>
      <c r="B75" s="3">
        <v>235.67094</v>
      </c>
      <c r="C75" s="3">
        <v>35.869135999999997</v>
      </c>
      <c r="D75" s="3">
        <v>6.6760009999999995E-2</v>
      </c>
      <c r="E75" s="3">
        <v>1.6348999999999982</v>
      </c>
      <c r="F75" s="3">
        <v>2.4556199999999997</v>
      </c>
      <c r="G75" s="3">
        <v>2.8477099999999993</v>
      </c>
      <c r="H75" s="3">
        <v>3.1529500000000006</v>
      </c>
      <c r="I75" s="3">
        <v>0.82072000000000145</v>
      </c>
      <c r="J75" s="3">
        <v>1.2128100000000011</v>
      </c>
      <c r="K75" s="3">
        <v>1.5180500000000023</v>
      </c>
      <c r="L75" s="3">
        <v>0.39208999999999961</v>
      </c>
      <c r="M75" s="3">
        <v>0.69733000000000089</v>
      </c>
      <c r="N75" s="3">
        <v>0.30524000000000129</v>
      </c>
      <c r="O75" s="13">
        <v>2.9671712801760215</v>
      </c>
      <c r="P75" s="13">
        <v>3.7493077048404315E-2</v>
      </c>
      <c r="Q75" s="13">
        <v>-1.6148537320871685</v>
      </c>
    </row>
    <row r="76" spans="1:17" x14ac:dyDescent="0.25">
      <c r="A76" s="3">
        <v>1.23766247369087E+18</v>
      </c>
      <c r="B76" s="3">
        <v>236.14635000000001</v>
      </c>
      <c r="C76" s="3">
        <v>36.440747000000002</v>
      </c>
      <c r="D76" s="3">
        <v>6.6768380000000002E-2</v>
      </c>
      <c r="E76" s="3">
        <v>1.9153699999999994</v>
      </c>
      <c r="F76" s="3">
        <v>2.8350299999999997</v>
      </c>
      <c r="G76" s="3">
        <v>3.2627900000000007</v>
      </c>
      <c r="H76" s="3">
        <v>3.6264800000000008</v>
      </c>
      <c r="I76" s="3">
        <v>0.91966000000000037</v>
      </c>
      <c r="J76" s="3">
        <v>1.3474200000000014</v>
      </c>
      <c r="K76" s="3">
        <v>1.7111100000000015</v>
      </c>
      <c r="L76" s="3">
        <v>0.42776000000000103</v>
      </c>
      <c r="M76" s="3">
        <v>0.7914500000000011</v>
      </c>
      <c r="N76" s="3">
        <v>0.36369000000000007</v>
      </c>
      <c r="O76" s="13">
        <v>2.1474180502460527</v>
      </c>
      <c r="P76" s="13">
        <v>-0.22025708551375422</v>
      </c>
      <c r="Q76" s="13">
        <v>0.82434213614018437</v>
      </c>
    </row>
    <row r="77" spans="1:17" x14ac:dyDescent="0.25">
      <c r="A77" s="3">
        <v>1.2376625032189E+18</v>
      </c>
      <c r="B77" s="3">
        <v>236.31521000000001</v>
      </c>
      <c r="C77" s="3">
        <v>36.017164000000001</v>
      </c>
      <c r="D77" s="3">
        <v>6.683443E-2</v>
      </c>
      <c r="E77" s="3">
        <v>1.9855599999999995</v>
      </c>
      <c r="F77" s="3">
        <v>2.8892299999999977</v>
      </c>
      <c r="G77" s="3">
        <v>3.304829999999999</v>
      </c>
      <c r="H77" s="3">
        <v>3.6335699999999989</v>
      </c>
      <c r="I77" s="3">
        <v>0.9036699999999982</v>
      </c>
      <c r="J77" s="3">
        <v>1.3192699999999995</v>
      </c>
      <c r="K77" s="3">
        <v>1.6480099999999993</v>
      </c>
      <c r="L77" s="3">
        <v>0.4156000000000013</v>
      </c>
      <c r="M77" s="3">
        <v>0.74434000000000111</v>
      </c>
      <c r="N77" s="3">
        <v>0.32873999999999981</v>
      </c>
      <c r="O77" s="13">
        <v>2.2769156827393608</v>
      </c>
      <c r="P77" s="13">
        <v>-0.50818958168529682</v>
      </c>
      <c r="Q77" s="13">
        <v>0.12363429411702902</v>
      </c>
    </row>
    <row r="78" spans="1:17" x14ac:dyDescent="0.25">
      <c r="A78" s="3">
        <v>1.2376624736908001E+18</v>
      </c>
      <c r="B78" s="3">
        <v>236.14118999999999</v>
      </c>
      <c r="C78" s="3">
        <v>36.477392999999999</v>
      </c>
      <c r="D78" s="3">
        <v>6.6917630000000006E-2</v>
      </c>
      <c r="E78" s="3">
        <v>1.8567400000000021</v>
      </c>
      <c r="F78" s="3">
        <v>2.7475900000000006</v>
      </c>
      <c r="G78" s="3">
        <v>3.165140000000001</v>
      </c>
      <c r="H78" s="3">
        <v>3.5187400000000011</v>
      </c>
      <c r="I78" s="3">
        <v>0.89084999999999859</v>
      </c>
      <c r="J78" s="3">
        <v>1.3083999999999989</v>
      </c>
      <c r="K78" s="3">
        <v>1.661999999999999</v>
      </c>
      <c r="L78" s="3">
        <v>0.41755000000000031</v>
      </c>
      <c r="M78" s="3">
        <v>0.77115000000000045</v>
      </c>
      <c r="N78" s="3">
        <v>0.35360000000000014</v>
      </c>
      <c r="O78" s="13">
        <v>2.306730892062955</v>
      </c>
      <c r="P78" s="13">
        <v>-0.11685495710593737</v>
      </c>
      <c r="Q78" s="13">
        <v>0.9095096431358205</v>
      </c>
    </row>
    <row r="79" spans="1:17" x14ac:dyDescent="0.25">
      <c r="A79" s="3">
        <v>1.2376625032189E+18</v>
      </c>
      <c r="B79" s="3">
        <v>236.36476999999999</v>
      </c>
      <c r="C79" s="3">
        <v>36.013185</v>
      </c>
      <c r="D79" s="3">
        <v>6.6954180000000002E-2</v>
      </c>
      <c r="E79" s="3">
        <v>1.9879899999999999</v>
      </c>
      <c r="F79" s="3">
        <v>2.9320899999999988</v>
      </c>
      <c r="G79" s="3">
        <v>3.3717400000000008</v>
      </c>
      <c r="H79" s="3">
        <v>3.7352000000000007</v>
      </c>
      <c r="I79" s="3">
        <v>0.94409999999999883</v>
      </c>
      <c r="J79" s="3">
        <v>1.3837500000000009</v>
      </c>
      <c r="K79" s="3">
        <v>1.7472100000000008</v>
      </c>
      <c r="L79" s="3">
        <v>0.43965000000000209</v>
      </c>
      <c r="M79" s="3">
        <v>0.80311000000000199</v>
      </c>
      <c r="N79" s="3">
        <v>0.36345999999999989</v>
      </c>
      <c r="O79" s="13">
        <v>2.0051698550465407</v>
      </c>
      <c r="P79" s="13">
        <v>-0.48225292735446212</v>
      </c>
      <c r="Q79" s="13">
        <v>0.21093258571496962</v>
      </c>
    </row>
    <row r="80" spans="1:17" x14ac:dyDescent="0.25">
      <c r="A80" s="3">
        <v>1.23766250321903E+18</v>
      </c>
      <c r="B80" s="3">
        <v>236.59724</v>
      </c>
      <c r="C80" s="3">
        <v>35.946224000000001</v>
      </c>
      <c r="D80" s="3">
        <v>6.7003170000000001E-2</v>
      </c>
      <c r="E80" s="3">
        <v>1.8468900000000019</v>
      </c>
      <c r="F80" s="3">
        <v>2.6915700000000022</v>
      </c>
      <c r="G80" s="3">
        <v>3.0783799999999992</v>
      </c>
      <c r="H80" s="3">
        <v>3.3844700000000003</v>
      </c>
      <c r="I80" s="3">
        <v>0.84468000000000032</v>
      </c>
      <c r="J80" s="3">
        <v>1.2314899999999973</v>
      </c>
      <c r="K80" s="3">
        <v>1.5375799999999984</v>
      </c>
      <c r="L80" s="3">
        <v>0.38680999999999699</v>
      </c>
      <c r="M80" s="3">
        <v>0.69289999999999807</v>
      </c>
      <c r="N80" s="3">
        <v>0.30609000000000108</v>
      </c>
      <c r="O80" s="13">
        <v>2.6021790496031589</v>
      </c>
      <c r="P80" s="13">
        <v>-0.33194848226247059</v>
      </c>
      <c r="Q80" s="13">
        <v>0.55189009641868836</v>
      </c>
    </row>
    <row r="81" spans="1:17" x14ac:dyDescent="0.25">
      <c r="A81" s="3">
        <v>1.2376625032188301E+18</v>
      </c>
      <c r="B81" s="3">
        <v>236.08357000000001</v>
      </c>
      <c r="C81" s="3">
        <v>36.118487999999999</v>
      </c>
      <c r="D81" s="3">
        <v>6.7073629999999995E-2</v>
      </c>
      <c r="E81" s="3">
        <v>1.8969799999999992</v>
      </c>
      <c r="F81" s="3">
        <v>2.7920300000000005</v>
      </c>
      <c r="G81" s="3">
        <v>3.2015000000000011</v>
      </c>
      <c r="H81" s="3">
        <v>3.5157300000000014</v>
      </c>
      <c r="I81" s="3">
        <v>0.89505000000000123</v>
      </c>
      <c r="J81" s="3">
        <v>1.3045200000000019</v>
      </c>
      <c r="K81" s="3">
        <v>1.6187500000000021</v>
      </c>
      <c r="L81" s="3">
        <v>0.40947000000000067</v>
      </c>
      <c r="M81" s="3">
        <v>0.7237000000000009</v>
      </c>
      <c r="N81" s="3">
        <v>0.31423000000000023</v>
      </c>
      <c r="O81" s="13">
        <v>2.4522280139287012</v>
      </c>
      <c r="P81" s="13">
        <v>-0.34527147801880631</v>
      </c>
      <c r="Q81" s="13">
        <v>-0.11998963621329865</v>
      </c>
    </row>
    <row r="82" spans="1:17" x14ac:dyDescent="0.25">
      <c r="A82" s="3">
        <v>1.2376624736910001E+18</v>
      </c>
      <c r="B82" s="3">
        <v>236.43284</v>
      </c>
      <c r="C82" s="3">
        <v>36.130147999999998</v>
      </c>
      <c r="D82" s="3">
        <v>6.7119040000000005E-2</v>
      </c>
      <c r="E82" s="3">
        <v>1.8868599999999986</v>
      </c>
      <c r="F82" s="3">
        <v>2.7563899999999997</v>
      </c>
      <c r="G82" s="3">
        <v>3.1540900000000001</v>
      </c>
      <c r="H82" s="3">
        <v>3.4734300000000005</v>
      </c>
      <c r="I82" s="3">
        <v>0.86953000000000102</v>
      </c>
      <c r="J82" s="3">
        <v>1.2672300000000014</v>
      </c>
      <c r="K82" s="3">
        <v>1.5865700000000018</v>
      </c>
      <c r="L82" s="3">
        <v>0.39770000000000039</v>
      </c>
      <c r="M82" s="3">
        <v>0.71704000000000079</v>
      </c>
      <c r="N82" s="3">
        <v>0.3193400000000004</v>
      </c>
      <c r="O82" s="13">
        <v>2.4659676790274045</v>
      </c>
      <c r="P82" s="13">
        <v>-0.32456755308667434</v>
      </c>
      <c r="Q82" s="13">
        <v>0.6608029969672734</v>
      </c>
    </row>
    <row r="83" spans="1:17" x14ac:dyDescent="0.25">
      <c r="A83" s="3">
        <v>1.2376625037557701E+18</v>
      </c>
      <c r="B83" s="3">
        <v>236.58447000000001</v>
      </c>
      <c r="C83" s="3">
        <v>36.317391000000001</v>
      </c>
      <c r="D83" s="3">
        <v>6.7139190000000001E-2</v>
      </c>
      <c r="E83" s="3">
        <v>1.813209999999998</v>
      </c>
      <c r="F83" s="3">
        <v>2.6355199999999996</v>
      </c>
      <c r="G83" s="3">
        <v>3.0365199999999994</v>
      </c>
      <c r="H83" s="3">
        <v>3.3049299999999988</v>
      </c>
      <c r="I83" s="3">
        <v>0.82231000000000165</v>
      </c>
      <c r="J83" s="3">
        <v>1.2233100000000015</v>
      </c>
      <c r="K83" s="3">
        <v>1.4917200000000008</v>
      </c>
      <c r="L83" s="3">
        <v>0.4009999999999998</v>
      </c>
      <c r="M83" s="3">
        <v>0.66940999999999917</v>
      </c>
      <c r="N83" s="3">
        <v>0.26840999999999937</v>
      </c>
      <c r="O83" s="13">
        <v>2.7124186957461247</v>
      </c>
      <c r="P83" s="13">
        <v>-0.19293443376184732</v>
      </c>
      <c r="Q83" s="13">
        <v>1.4497408242898862</v>
      </c>
    </row>
    <row r="84" spans="1:17" x14ac:dyDescent="0.25">
      <c r="A84" s="3">
        <v>1.2376625032189701E+18</v>
      </c>
      <c r="B84" s="3">
        <v>236.51518999999999</v>
      </c>
      <c r="C84" s="3">
        <v>35.948939000000003</v>
      </c>
      <c r="D84" s="3">
        <v>6.7181210000000005E-2</v>
      </c>
      <c r="E84" s="3">
        <v>1.9525100000000002</v>
      </c>
      <c r="F84" s="3">
        <v>2.8408200000000008</v>
      </c>
      <c r="G84" s="3">
        <v>3.2486800000000002</v>
      </c>
      <c r="H84" s="3">
        <v>3.5651400000000013</v>
      </c>
      <c r="I84" s="3">
        <v>0.8883100000000006</v>
      </c>
      <c r="J84" s="3">
        <v>1.29617</v>
      </c>
      <c r="K84" s="3">
        <v>1.6126300000000011</v>
      </c>
      <c r="L84" s="3">
        <v>0.40785999999999945</v>
      </c>
      <c r="M84" s="3">
        <v>0.72432000000000052</v>
      </c>
      <c r="N84" s="3">
        <v>0.31646000000000107</v>
      </c>
      <c r="O84" s="13">
        <v>2.3588611714367991</v>
      </c>
      <c r="P84" s="13">
        <v>-0.49618287623231955</v>
      </c>
      <c r="Q84" s="13">
        <v>0.37751824357513813</v>
      </c>
    </row>
    <row r="85" spans="1:17" x14ac:dyDescent="0.25">
      <c r="A85" s="3">
        <v>1.23766247369074E+18</v>
      </c>
      <c r="B85" s="3">
        <v>235.96458999999999</v>
      </c>
      <c r="C85" s="3">
        <v>36.526887000000002</v>
      </c>
      <c r="D85" s="3">
        <v>6.7256919999999998E-2</v>
      </c>
      <c r="E85" s="3">
        <v>0.77464999999999939</v>
      </c>
      <c r="F85" s="3">
        <v>1.275640000000001</v>
      </c>
      <c r="G85" s="3">
        <v>1.6906800000000004</v>
      </c>
      <c r="H85" s="3">
        <v>1.8536400000000004</v>
      </c>
      <c r="I85" s="3">
        <v>0.5009900000000016</v>
      </c>
      <c r="J85" s="3">
        <v>0.91603000000000101</v>
      </c>
      <c r="K85" s="3">
        <v>1.078990000000001</v>
      </c>
      <c r="L85" s="3">
        <v>0.41503999999999941</v>
      </c>
      <c r="M85" s="3">
        <v>0.5779999999999994</v>
      </c>
      <c r="N85" s="3">
        <v>0.16295999999999999</v>
      </c>
      <c r="O85" s="13">
        <v>4.4711824621717806</v>
      </c>
      <c r="P85" s="13">
        <v>1.6151893849236041</v>
      </c>
      <c r="Q85" s="13">
        <v>0.6650428229708456</v>
      </c>
    </row>
    <row r="86" spans="1:17" x14ac:dyDescent="0.25">
      <c r="A86" s="3">
        <v>1.23766247369074E+18</v>
      </c>
      <c r="B86" s="3">
        <v>235.87022999999999</v>
      </c>
      <c r="C86" s="3">
        <v>36.612698999999999</v>
      </c>
      <c r="D86" s="3">
        <v>6.7274340000000002E-2</v>
      </c>
      <c r="E86" s="3">
        <v>1.8501499999999993</v>
      </c>
      <c r="F86" s="3">
        <v>2.6800999999999995</v>
      </c>
      <c r="G86" s="3">
        <v>3.0853599999999979</v>
      </c>
      <c r="H86" s="3">
        <v>3.3864799999999988</v>
      </c>
      <c r="I86" s="3">
        <v>0.82995000000000019</v>
      </c>
      <c r="J86" s="3">
        <v>1.2352099999999986</v>
      </c>
      <c r="K86" s="3">
        <v>1.5363299999999995</v>
      </c>
      <c r="L86" s="3">
        <v>0.4052599999999984</v>
      </c>
      <c r="M86" s="3">
        <v>0.70637999999999934</v>
      </c>
      <c r="N86" s="3">
        <v>0.30112000000000094</v>
      </c>
      <c r="O86" s="13">
        <v>2.6723635385181903</v>
      </c>
      <c r="P86" s="13">
        <v>-8.8825125915228745E-2</v>
      </c>
      <c r="Q86" s="13">
        <v>0.68251644211626239</v>
      </c>
    </row>
    <row r="87" spans="1:17" x14ac:dyDescent="0.25">
      <c r="A87" s="3">
        <v>1.23766247369074E+18</v>
      </c>
      <c r="B87" s="3">
        <v>235.96593999999999</v>
      </c>
      <c r="C87" s="3">
        <v>36.560442999999999</v>
      </c>
      <c r="D87" s="3">
        <v>6.7340609999999995E-2</v>
      </c>
      <c r="E87" s="3">
        <v>1.8488100000000003</v>
      </c>
      <c r="F87" s="3">
        <v>2.7378399999999985</v>
      </c>
      <c r="G87" s="3">
        <v>3.1393899999999988</v>
      </c>
      <c r="H87" s="3">
        <v>3.4502999999999986</v>
      </c>
      <c r="I87" s="3">
        <v>0.88902999999999821</v>
      </c>
      <c r="J87" s="3">
        <v>1.2905799999999985</v>
      </c>
      <c r="K87" s="3">
        <v>1.6014899999999983</v>
      </c>
      <c r="L87" s="3">
        <v>0.4015500000000003</v>
      </c>
      <c r="M87" s="3">
        <v>0.71246000000000009</v>
      </c>
      <c r="N87" s="3">
        <v>0.3109099999999998</v>
      </c>
      <c r="O87" s="13">
        <v>2.5163722852844796</v>
      </c>
      <c r="P87" s="13">
        <v>-0.13641904962855592</v>
      </c>
      <c r="Q87" s="13">
        <v>0.73757206588677626</v>
      </c>
    </row>
    <row r="88" spans="1:17" x14ac:dyDescent="0.25">
      <c r="A88" s="3">
        <v>1.2376624736909299E+18</v>
      </c>
      <c r="B88" s="3">
        <v>236.32599999999999</v>
      </c>
      <c r="C88" s="3">
        <v>36.213644000000002</v>
      </c>
      <c r="D88" s="3">
        <v>6.7534540000000004E-2</v>
      </c>
      <c r="E88" s="3">
        <v>1.9074799999999996</v>
      </c>
      <c r="F88" s="3">
        <v>2.7887000000000022</v>
      </c>
      <c r="G88" s="3">
        <v>3.2061600000000006</v>
      </c>
      <c r="H88" s="3">
        <v>3.5120100000000001</v>
      </c>
      <c r="I88" s="3">
        <v>0.88122000000000256</v>
      </c>
      <c r="J88" s="3">
        <v>1.2986800000000009</v>
      </c>
      <c r="K88" s="3">
        <v>1.6045300000000005</v>
      </c>
      <c r="L88" s="3">
        <v>0.41745999999999839</v>
      </c>
      <c r="M88" s="3">
        <v>0.7233099999999979</v>
      </c>
      <c r="N88" s="3">
        <v>0.30584999999999951</v>
      </c>
      <c r="O88" s="13">
        <v>2.4203967620226825</v>
      </c>
      <c r="P88" s="13">
        <v>-0.34054108055450949</v>
      </c>
      <c r="Q88" s="13">
        <v>0.63530323847568804</v>
      </c>
    </row>
    <row r="89" spans="1:17" x14ac:dyDescent="0.25">
      <c r="A89" s="3">
        <v>1.2376625032187699E+18</v>
      </c>
      <c r="B89" s="3">
        <v>236.09370999999999</v>
      </c>
      <c r="C89" s="3">
        <v>36.178286</v>
      </c>
      <c r="D89" s="3">
        <v>6.7626790000000006E-2</v>
      </c>
      <c r="E89" s="3">
        <v>1.7988499999999981</v>
      </c>
      <c r="F89" s="3">
        <v>2.6768399999999986</v>
      </c>
      <c r="G89" s="3">
        <v>3.07789</v>
      </c>
      <c r="H89" s="3">
        <v>3.3715099999999989</v>
      </c>
      <c r="I89" s="3">
        <v>0.87799000000000049</v>
      </c>
      <c r="J89" s="3">
        <v>1.279040000000002</v>
      </c>
      <c r="K89" s="3">
        <v>1.5726600000000008</v>
      </c>
      <c r="L89" s="3">
        <v>0.40105000000000146</v>
      </c>
      <c r="M89" s="3">
        <v>0.69467000000000034</v>
      </c>
      <c r="N89" s="3">
        <v>0.29361999999999888</v>
      </c>
      <c r="O89" s="13">
        <v>2.6339482051371808</v>
      </c>
      <c r="P89" s="13">
        <v>-0.19428994544810682</v>
      </c>
      <c r="Q89" s="13">
        <v>4.6123537837104676E-2</v>
      </c>
    </row>
    <row r="90" spans="1:17" x14ac:dyDescent="0.25">
      <c r="A90" s="3">
        <v>1.2376625032188301E+18</v>
      </c>
      <c r="B90" s="3">
        <v>236.11035000000001</v>
      </c>
      <c r="C90" s="3">
        <v>36.119973000000002</v>
      </c>
      <c r="D90" s="3">
        <v>6.7648449999999999E-2</v>
      </c>
      <c r="E90" s="3">
        <v>1.8811199999999992</v>
      </c>
      <c r="F90" s="3">
        <v>2.781369999999999</v>
      </c>
      <c r="G90" s="3">
        <v>3.2020599999999995</v>
      </c>
      <c r="H90" s="3">
        <v>3.5395499999999984</v>
      </c>
      <c r="I90" s="3">
        <v>0.90024999999999977</v>
      </c>
      <c r="J90" s="3">
        <v>1.3209400000000002</v>
      </c>
      <c r="K90" s="3">
        <v>1.6584299999999992</v>
      </c>
      <c r="L90" s="3">
        <v>0.42069000000000045</v>
      </c>
      <c r="M90" s="3">
        <v>0.75817999999999941</v>
      </c>
      <c r="N90" s="3">
        <v>0.33748999999999896</v>
      </c>
      <c r="O90" s="13">
        <v>2.3434342052231609</v>
      </c>
      <c r="P90" s="13">
        <v>-0.28656459642063503</v>
      </c>
      <c r="Q90" s="13">
        <v>-5.8104556039857959E-2</v>
      </c>
    </row>
    <row r="91" spans="1:17" x14ac:dyDescent="0.25">
      <c r="A91" s="3">
        <v>1.23766250321903E+18</v>
      </c>
      <c r="B91" s="3">
        <v>236.61057</v>
      </c>
      <c r="C91" s="3">
        <v>35.901086999999997</v>
      </c>
      <c r="D91" s="3">
        <v>6.7894540000000003E-2</v>
      </c>
      <c r="E91" s="3">
        <v>1.6896699999999996</v>
      </c>
      <c r="F91" s="3">
        <v>2.5334800000000008</v>
      </c>
      <c r="G91" s="3">
        <v>2.9314199999999992</v>
      </c>
      <c r="H91" s="3">
        <v>3.2116299999999995</v>
      </c>
      <c r="I91" s="3">
        <v>0.84381000000000128</v>
      </c>
      <c r="J91" s="3">
        <v>1.2417499999999997</v>
      </c>
      <c r="K91" s="3">
        <v>1.52196</v>
      </c>
      <c r="L91" s="3">
        <v>0.39793999999999841</v>
      </c>
      <c r="M91" s="3">
        <v>0.6781499999999987</v>
      </c>
      <c r="N91" s="3">
        <v>0.28021000000000029</v>
      </c>
      <c r="O91" s="13">
        <v>2.7544103213449374</v>
      </c>
      <c r="P91" s="13">
        <v>-0.12593767537940204</v>
      </c>
      <c r="Q91" s="13">
        <v>0.44817890139696653</v>
      </c>
    </row>
    <row r="92" spans="1:17" x14ac:dyDescent="0.25">
      <c r="A92" s="3">
        <v>1.2376614659861299E+18</v>
      </c>
      <c r="B92" s="3">
        <v>235.94979000000001</v>
      </c>
      <c r="C92" s="3">
        <v>35.964848000000003</v>
      </c>
      <c r="D92" s="3">
        <v>6.8176280000000006E-2</v>
      </c>
      <c r="E92" s="3">
        <v>1.0882000000000005</v>
      </c>
      <c r="F92" s="3">
        <v>1.5284000000000013</v>
      </c>
      <c r="G92" s="3">
        <v>1.8585700000000003</v>
      </c>
      <c r="H92" s="3">
        <v>1.9844499999999989</v>
      </c>
      <c r="I92" s="3">
        <v>0.44020000000000081</v>
      </c>
      <c r="J92" s="3">
        <v>0.77036999999999978</v>
      </c>
      <c r="K92" s="3">
        <v>0.89624999999999844</v>
      </c>
      <c r="L92" s="3">
        <v>0.33016999999999896</v>
      </c>
      <c r="M92" s="3">
        <v>0.45604999999999762</v>
      </c>
      <c r="N92" s="3">
        <v>0.12587999999999866</v>
      </c>
      <c r="O92" s="13">
        <v>4.8004232446318698</v>
      </c>
      <c r="P92" s="13">
        <v>0.89649895871328844</v>
      </c>
      <c r="Q92" s="13">
        <v>-0.73161519420441168</v>
      </c>
    </row>
    <row r="93" spans="1:17" x14ac:dyDescent="0.25">
      <c r="A93" s="3">
        <v>1.2376625037558999E+18</v>
      </c>
      <c r="B93" s="3">
        <v>236.80717999999999</v>
      </c>
      <c r="C93" s="3">
        <v>36.161382000000003</v>
      </c>
      <c r="D93" s="3">
        <v>6.8195469999999994E-2</v>
      </c>
      <c r="E93" s="3">
        <v>1.9433100000000003</v>
      </c>
      <c r="F93" s="3">
        <v>2.7389499999999991</v>
      </c>
      <c r="G93" s="3">
        <v>3.0961700000000008</v>
      </c>
      <c r="H93" s="3">
        <v>3.3600399999999979</v>
      </c>
      <c r="I93" s="3">
        <v>0.79563999999999879</v>
      </c>
      <c r="J93" s="3">
        <v>1.1528600000000004</v>
      </c>
      <c r="K93" s="3">
        <v>1.4167299999999976</v>
      </c>
      <c r="L93" s="3">
        <v>0.35722000000000165</v>
      </c>
      <c r="M93" s="3">
        <v>0.62108999999999881</v>
      </c>
      <c r="N93" s="3">
        <v>0.26386999999999716</v>
      </c>
      <c r="O93" s="13">
        <v>2.7948532211070818</v>
      </c>
      <c r="P93" s="13">
        <v>-0.46759060705650829</v>
      </c>
      <c r="Q93" s="13">
        <v>1.5535360491171384</v>
      </c>
    </row>
    <row r="94" spans="1:17" x14ac:dyDescent="0.25">
      <c r="A94" s="3">
        <v>1.23766247369074E+18</v>
      </c>
      <c r="B94" s="3">
        <v>235.99565000000001</v>
      </c>
      <c r="C94" s="3">
        <v>36.567264999999999</v>
      </c>
      <c r="D94" s="3">
        <v>6.846621E-2</v>
      </c>
      <c r="E94" s="3">
        <v>1.3670399999999994</v>
      </c>
      <c r="F94" s="3">
        <v>1.9974100000000021</v>
      </c>
      <c r="G94" s="3">
        <v>2.3528400000000005</v>
      </c>
      <c r="H94" s="3">
        <v>2.5597600000000007</v>
      </c>
      <c r="I94" s="3">
        <v>0.63037000000000276</v>
      </c>
      <c r="J94" s="3">
        <v>0.98580000000000112</v>
      </c>
      <c r="K94" s="3">
        <v>1.1927200000000013</v>
      </c>
      <c r="L94" s="3">
        <v>0.35542999999999836</v>
      </c>
      <c r="M94" s="3">
        <v>0.56234999999999857</v>
      </c>
      <c r="N94" s="3">
        <v>0.20692000000000021</v>
      </c>
      <c r="O94" s="13">
        <v>3.8317643723093746</v>
      </c>
      <c r="P94" s="13">
        <v>0.6314194646861665</v>
      </c>
      <c r="Q94" s="13">
        <v>0.84971941206446233</v>
      </c>
    </row>
    <row r="95" spans="1:17" x14ac:dyDescent="0.25">
      <c r="A95" s="3">
        <v>1.2376624736908001E+18</v>
      </c>
      <c r="B95" s="3">
        <v>236.03367</v>
      </c>
      <c r="C95" s="3">
        <v>36.556773</v>
      </c>
      <c r="D95" s="3">
        <v>6.8495280000000006E-2</v>
      </c>
      <c r="E95" s="3">
        <v>1.7509900000000016</v>
      </c>
      <c r="F95" s="3">
        <v>2.5737000000000005</v>
      </c>
      <c r="G95" s="3">
        <v>2.9553600000000007</v>
      </c>
      <c r="H95" s="3">
        <v>3.2679700000000018</v>
      </c>
      <c r="I95" s="3">
        <v>0.82270999999999894</v>
      </c>
      <c r="J95" s="3">
        <v>1.2043699999999991</v>
      </c>
      <c r="K95" s="3">
        <v>1.5169800000000002</v>
      </c>
      <c r="L95" s="3">
        <v>0.38166000000000011</v>
      </c>
      <c r="M95" s="3">
        <v>0.69427000000000127</v>
      </c>
      <c r="N95" s="3">
        <v>0.31261000000000116</v>
      </c>
      <c r="O95" s="13">
        <v>2.7643371058624875</v>
      </c>
      <c r="P95" s="13">
        <v>4.9207450756514379E-2</v>
      </c>
      <c r="Q95" s="13">
        <v>0.88998036736254038</v>
      </c>
    </row>
    <row r="96" spans="1:17" x14ac:dyDescent="0.25">
      <c r="A96" s="3">
        <v>1.2376624731539999E+18</v>
      </c>
      <c r="B96" s="3">
        <v>235.94121000000001</v>
      </c>
      <c r="C96" s="3">
        <v>36.107756999999999</v>
      </c>
      <c r="D96" s="3">
        <v>6.8518010000000004E-2</v>
      </c>
      <c r="E96" s="3">
        <v>1.8187500000000014</v>
      </c>
      <c r="F96" s="3">
        <v>2.6358999999999995</v>
      </c>
      <c r="G96" s="3">
        <v>3.0136400000000005</v>
      </c>
      <c r="H96" s="3">
        <v>3.3060799999999997</v>
      </c>
      <c r="I96" s="3">
        <v>0.81714999999999804</v>
      </c>
      <c r="J96" s="3">
        <v>1.1948899999999991</v>
      </c>
      <c r="K96" s="3">
        <v>1.4873299999999983</v>
      </c>
      <c r="L96" s="3">
        <v>0.37774000000000107</v>
      </c>
      <c r="M96" s="3">
        <v>0.67018000000000022</v>
      </c>
      <c r="N96" s="3">
        <v>0.29243999999999915</v>
      </c>
      <c r="O96" s="13">
        <v>2.8567750034698114</v>
      </c>
      <c r="P96" s="13">
        <v>-0.21326224465977367</v>
      </c>
      <c r="Q96" s="13">
        <v>-0.43003333323201809</v>
      </c>
    </row>
    <row r="97" spans="1:17" x14ac:dyDescent="0.25">
      <c r="A97" s="3">
        <v>1.2376625032187699E+18</v>
      </c>
      <c r="B97" s="3">
        <v>236.0421</v>
      </c>
      <c r="C97" s="3">
        <v>36.258574000000003</v>
      </c>
      <c r="D97" s="3">
        <v>6.8584859999999997E-2</v>
      </c>
      <c r="E97" s="3">
        <v>1.6225700000000032</v>
      </c>
      <c r="F97" s="3">
        <v>2.4696700000000007</v>
      </c>
      <c r="G97" s="3">
        <v>2.8996500000000012</v>
      </c>
      <c r="H97" s="3">
        <v>3.2720800000000025</v>
      </c>
      <c r="I97" s="3">
        <v>0.84709999999999752</v>
      </c>
      <c r="J97" s="3">
        <v>1.277079999999998</v>
      </c>
      <c r="K97" s="3">
        <v>1.6495099999999994</v>
      </c>
      <c r="L97" s="3">
        <v>0.42998000000000047</v>
      </c>
      <c r="M97" s="3">
        <v>0.80241000000000184</v>
      </c>
      <c r="N97" s="3">
        <v>0.37243000000000137</v>
      </c>
      <c r="O97" s="13">
        <v>2.5010017841444916</v>
      </c>
      <c r="P97" s="13">
        <v>0.25279408129478936</v>
      </c>
      <c r="Q97" s="13">
        <v>0.15113514828800437</v>
      </c>
    </row>
    <row r="98" spans="1:17" x14ac:dyDescent="0.25">
      <c r="A98" s="3">
        <v>1.2376625032188301E+18</v>
      </c>
      <c r="B98" s="3">
        <v>236.21589</v>
      </c>
      <c r="C98" s="3">
        <v>36.166634999999999</v>
      </c>
      <c r="D98" s="3">
        <v>6.8595450000000002E-2</v>
      </c>
      <c r="E98" s="3">
        <v>1.8478600000000007</v>
      </c>
      <c r="F98" s="3">
        <v>2.7456099999999992</v>
      </c>
      <c r="G98" s="3">
        <v>3.1833299999999998</v>
      </c>
      <c r="H98" s="3">
        <v>3.5115099999999995</v>
      </c>
      <c r="I98" s="3">
        <v>0.89774999999999849</v>
      </c>
      <c r="J98" s="3">
        <v>1.335469999999999</v>
      </c>
      <c r="K98" s="3">
        <v>1.6636499999999987</v>
      </c>
      <c r="L98" s="3">
        <v>0.43772000000000055</v>
      </c>
      <c r="M98" s="3">
        <v>0.76590000000000025</v>
      </c>
      <c r="N98" s="3">
        <v>0.32817999999999969</v>
      </c>
      <c r="O98" s="13">
        <v>2.3224824060832714</v>
      </c>
      <c r="P98" s="13">
        <v>-0.22473323976204082</v>
      </c>
      <c r="Q98" s="13">
        <v>0.27680094150374063</v>
      </c>
    </row>
    <row r="99" spans="1:17" x14ac:dyDescent="0.25">
      <c r="A99" s="3">
        <v>1.23766247369074E+18</v>
      </c>
      <c r="B99" s="3">
        <v>236.01264</v>
      </c>
      <c r="C99" s="3">
        <v>36.597296999999998</v>
      </c>
      <c r="D99" s="3">
        <v>6.8684869999999995E-2</v>
      </c>
      <c r="E99" s="3">
        <v>1.8165699999999987</v>
      </c>
      <c r="F99" s="3">
        <v>2.6432899999999986</v>
      </c>
      <c r="G99" s="3">
        <v>3.0209599999999988</v>
      </c>
      <c r="H99" s="3">
        <v>3.3230299999999975</v>
      </c>
      <c r="I99" s="3">
        <v>0.8267199999999999</v>
      </c>
      <c r="J99" s="3">
        <v>1.2043900000000001</v>
      </c>
      <c r="K99" s="3">
        <v>1.5064599999999988</v>
      </c>
      <c r="L99" s="3">
        <v>0.37767000000000017</v>
      </c>
      <c r="M99" s="3">
        <v>0.6797399999999989</v>
      </c>
      <c r="N99" s="3">
        <v>0.30206999999999873</v>
      </c>
      <c r="O99" s="13">
        <v>2.7547145733009573</v>
      </c>
      <c r="P99" s="13">
        <v>-5.9527961586132307E-2</v>
      </c>
      <c r="Q99" s="13">
        <v>0.94828291138221532</v>
      </c>
    </row>
    <row r="100" spans="1:17" x14ac:dyDescent="0.25">
      <c r="A100" s="3">
        <v>1.23766247315426E+18</v>
      </c>
      <c r="B100" s="3">
        <v>236.56117</v>
      </c>
      <c r="C100" s="3">
        <v>35.739919</v>
      </c>
      <c r="D100" s="3">
        <v>6.869741E-2</v>
      </c>
      <c r="E100" s="3">
        <v>1.275500000000001</v>
      </c>
      <c r="F100" s="3">
        <v>1.9152900000000024</v>
      </c>
      <c r="G100" s="3">
        <v>2.2789800000000007</v>
      </c>
      <c r="H100" s="3">
        <v>2.5149800000000013</v>
      </c>
      <c r="I100" s="3">
        <v>0.63979000000000141</v>
      </c>
      <c r="J100" s="3">
        <v>1.0034799999999997</v>
      </c>
      <c r="K100" s="3">
        <v>1.2394800000000004</v>
      </c>
      <c r="L100" s="3">
        <v>0.36368999999999829</v>
      </c>
      <c r="M100" s="3">
        <v>0.59968999999999895</v>
      </c>
      <c r="N100" s="3">
        <v>0.23600000000000065</v>
      </c>
      <c r="O100" s="13">
        <v>3.7248535378976135</v>
      </c>
      <c r="P100" s="13">
        <v>0.53795839410107327</v>
      </c>
      <c r="Q100" s="13">
        <v>-2.9091333517190187E-2</v>
      </c>
    </row>
    <row r="101" spans="1:17" x14ac:dyDescent="0.25">
      <c r="A101" s="3">
        <v>1.2376614659863301E+18</v>
      </c>
      <c r="B101" s="3">
        <v>236.32719</v>
      </c>
      <c r="C101" s="3">
        <v>35.705584000000002</v>
      </c>
      <c r="D101" s="3">
        <v>6.8698999999999996E-2</v>
      </c>
      <c r="E101" s="3">
        <v>1.5968499999999999</v>
      </c>
      <c r="F101" s="3">
        <v>2.3666499999999999</v>
      </c>
      <c r="G101" s="3">
        <v>2.7378499999999981</v>
      </c>
      <c r="H101" s="3">
        <v>3.0450099999999978</v>
      </c>
      <c r="I101" s="3">
        <v>0.76980000000000004</v>
      </c>
      <c r="J101" s="3">
        <v>1.1409999999999982</v>
      </c>
      <c r="K101" s="3">
        <v>1.4481599999999979</v>
      </c>
      <c r="L101" s="3">
        <v>0.3711999999999982</v>
      </c>
      <c r="M101" s="3">
        <v>0.67835999999999785</v>
      </c>
      <c r="N101" s="3">
        <v>0.30715999999999966</v>
      </c>
      <c r="O101" s="13">
        <v>3.0445421714523073</v>
      </c>
      <c r="P101" s="13">
        <v>4.441549311027107E-2</v>
      </c>
      <c r="Q101" s="13">
        <v>-0.61550366149741131</v>
      </c>
    </row>
    <row r="102" spans="1:17" x14ac:dyDescent="0.25">
      <c r="A102" s="3">
        <v>1.2376625032189E+18</v>
      </c>
      <c r="B102" s="3">
        <v>236.34595999999999</v>
      </c>
      <c r="C102" s="3">
        <v>36.106417999999998</v>
      </c>
      <c r="D102" s="3">
        <v>6.8745210000000001E-2</v>
      </c>
      <c r="E102" s="3">
        <v>1.9429799999999986</v>
      </c>
      <c r="F102" s="3">
        <v>2.8477899999999998</v>
      </c>
      <c r="G102" s="3">
        <v>3.2625100000000007</v>
      </c>
      <c r="H102" s="3">
        <v>3.5661400000000008</v>
      </c>
      <c r="I102" s="3">
        <v>0.90481000000000122</v>
      </c>
      <c r="J102" s="3">
        <v>1.3195300000000021</v>
      </c>
      <c r="K102" s="3">
        <v>1.6231600000000022</v>
      </c>
      <c r="L102" s="3">
        <v>0.41472000000000087</v>
      </c>
      <c r="M102" s="3">
        <v>0.71835000000000093</v>
      </c>
      <c r="N102" s="3">
        <v>0.30363000000000007</v>
      </c>
      <c r="O102" s="13">
        <v>2.3647163778553844</v>
      </c>
      <c r="P102" s="13">
        <v>-0.449229862149638</v>
      </c>
      <c r="Q102" s="13">
        <v>0.40311105703620864</v>
      </c>
    </row>
    <row r="103" spans="1:17" x14ac:dyDescent="0.25">
      <c r="A103" s="3">
        <v>1.2376624736910001E+18</v>
      </c>
      <c r="B103" s="3">
        <v>236.36196000000001</v>
      </c>
      <c r="C103" s="3">
        <v>36.155037</v>
      </c>
      <c r="D103" s="3">
        <v>6.8889779999999998E-2</v>
      </c>
      <c r="E103" s="3">
        <v>1.8213399999999993</v>
      </c>
      <c r="F103" s="3">
        <v>2.6524799999999971</v>
      </c>
      <c r="G103" s="3">
        <v>3.040619999999997</v>
      </c>
      <c r="H103" s="3">
        <v>3.3378999999999976</v>
      </c>
      <c r="I103" s="3">
        <v>0.83113999999999777</v>
      </c>
      <c r="J103" s="3">
        <v>1.2192799999999977</v>
      </c>
      <c r="K103" s="3">
        <v>1.5165599999999984</v>
      </c>
      <c r="L103" s="3">
        <v>0.38813999999999993</v>
      </c>
      <c r="M103" s="3">
        <v>0.68542000000000058</v>
      </c>
      <c r="N103" s="3">
        <v>0.29728000000000065</v>
      </c>
      <c r="O103" s="13">
        <v>2.6951915732202631</v>
      </c>
      <c r="P103" s="13">
        <v>-0.21867204836572643</v>
      </c>
      <c r="Q103" s="13">
        <v>0.57660830938027496</v>
      </c>
    </row>
    <row r="104" spans="1:17" x14ac:dyDescent="0.25">
      <c r="A104" s="3">
        <v>1.23766247315406E+18</v>
      </c>
      <c r="B104" s="3">
        <v>236.03241</v>
      </c>
      <c r="C104" s="3">
        <v>36.017156</v>
      </c>
      <c r="D104" s="3">
        <v>6.8977289999999997E-2</v>
      </c>
      <c r="E104" s="3">
        <v>1.7911199999999994</v>
      </c>
      <c r="F104" s="3">
        <v>2.6652400000000007</v>
      </c>
      <c r="G104" s="3">
        <v>3.1387599999999978</v>
      </c>
      <c r="H104" s="3">
        <v>3.4508799999999979</v>
      </c>
      <c r="I104" s="3">
        <v>0.87412000000000134</v>
      </c>
      <c r="J104" s="3">
        <v>1.3476399999999984</v>
      </c>
      <c r="K104" s="3">
        <v>1.6597599999999986</v>
      </c>
      <c r="L104" s="3">
        <v>0.47351999999999705</v>
      </c>
      <c r="M104" s="3">
        <v>0.78563999999999723</v>
      </c>
      <c r="N104" s="3">
        <v>0.31212000000000018</v>
      </c>
      <c r="O104" s="13">
        <v>2.3980197631992746</v>
      </c>
      <c r="P104" s="13">
        <v>-0.15548624522949289</v>
      </c>
      <c r="Q104" s="13">
        <v>-0.49202323934418224</v>
      </c>
    </row>
    <row r="105" spans="1:17" x14ac:dyDescent="0.25">
      <c r="A105" s="3">
        <v>1.2376614659861299E+18</v>
      </c>
      <c r="B105" s="3">
        <v>235.89382000000001</v>
      </c>
      <c r="C105" s="3">
        <v>35.877684000000002</v>
      </c>
      <c r="D105" s="3">
        <v>6.9098850000000003E-2</v>
      </c>
      <c r="E105" s="3">
        <v>1.4157999999999973</v>
      </c>
      <c r="F105" s="3">
        <v>2.083319999999997</v>
      </c>
      <c r="G105" s="3">
        <v>2.4720899999999979</v>
      </c>
      <c r="H105" s="3">
        <v>2.7341799999999985</v>
      </c>
      <c r="I105" s="3">
        <v>0.66751999999999967</v>
      </c>
      <c r="J105" s="3">
        <v>1.0562900000000006</v>
      </c>
      <c r="K105" s="3">
        <v>1.3183800000000012</v>
      </c>
      <c r="L105" s="3">
        <v>0.38877000000000095</v>
      </c>
      <c r="M105" s="3">
        <v>0.65086000000000155</v>
      </c>
      <c r="N105" s="3">
        <v>0.2620900000000006</v>
      </c>
      <c r="O105" s="13">
        <v>3.5327036983122579</v>
      </c>
      <c r="P105" s="13">
        <v>0.42081893966857264</v>
      </c>
      <c r="Q105" s="13">
        <v>-1.0954785497340216</v>
      </c>
    </row>
    <row r="106" spans="1:17" x14ac:dyDescent="0.25">
      <c r="A106" s="3">
        <v>1.2376625032189E+18</v>
      </c>
      <c r="B106" s="3">
        <v>236.28028</v>
      </c>
      <c r="C106" s="3">
        <v>36.090775999999998</v>
      </c>
      <c r="D106" s="3">
        <v>6.9101659999999995E-2</v>
      </c>
      <c r="E106" s="3">
        <v>1.8897899999999979</v>
      </c>
      <c r="F106" s="3">
        <v>2.8221600000000002</v>
      </c>
      <c r="G106" s="3">
        <v>3.2669999999999995</v>
      </c>
      <c r="H106" s="3">
        <v>3.6051099999999998</v>
      </c>
      <c r="I106" s="3">
        <v>0.93237000000000236</v>
      </c>
      <c r="J106" s="3">
        <v>1.3772100000000016</v>
      </c>
      <c r="K106" s="3">
        <v>1.715320000000002</v>
      </c>
      <c r="L106" s="3">
        <v>0.44483999999999924</v>
      </c>
      <c r="M106" s="3">
        <v>0.78294999999999959</v>
      </c>
      <c r="N106" s="3">
        <v>0.33811000000000035</v>
      </c>
      <c r="O106" s="13">
        <v>2.1632030962775097</v>
      </c>
      <c r="P106" s="13">
        <v>-0.322006689850106</v>
      </c>
      <c r="Q106" s="13">
        <v>0.21611123493039933</v>
      </c>
    </row>
    <row r="107" spans="1:17" x14ac:dyDescent="0.25">
      <c r="A107" s="3">
        <v>1.2376623378635799E+18</v>
      </c>
      <c r="B107" s="3">
        <v>235.88793999999999</v>
      </c>
      <c r="C107" s="3">
        <v>35.759864999999998</v>
      </c>
      <c r="D107" s="3">
        <v>6.9166039999999998E-2</v>
      </c>
      <c r="E107" s="3">
        <v>1.9090199999999982</v>
      </c>
      <c r="F107" s="3">
        <v>2.7794199999999982</v>
      </c>
      <c r="G107" s="3">
        <v>3.1769099999999995</v>
      </c>
      <c r="H107" s="3">
        <v>3.4670599999999983</v>
      </c>
      <c r="I107" s="3">
        <v>0.87040000000000006</v>
      </c>
      <c r="J107" s="3">
        <v>1.2678900000000013</v>
      </c>
      <c r="K107" s="3">
        <v>1.5580400000000001</v>
      </c>
      <c r="L107" s="3">
        <v>0.39749000000000123</v>
      </c>
      <c r="M107" s="3">
        <v>0.68764000000000003</v>
      </c>
      <c r="N107" s="3">
        <v>0.2901499999999988</v>
      </c>
      <c r="O107" s="13">
        <v>2.6683305968793021</v>
      </c>
      <c r="P107" s="13">
        <v>-0.48401801777704034</v>
      </c>
      <c r="Q107" s="13">
        <v>-1.4299427649538423</v>
      </c>
    </row>
    <row r="108" spans="1:17" x14ac:dyDescent="0.25">
      <c r="A108" s="3">
        <v>1.2376614659863301E+18</v>
      </c>
      <c r="B108" s="3">
        <v>236.30957000000001</v>
      </c>
      <c r="C108" s="3">
        <v>35.697831999999998</v>
      </c>
      <c r="D108" s="3">
        <v>6.9270659999999998E-2</v>
      </c>
      <c r="E108" s="3">
        <v>1.9167699999999996</v>
      </c>
      <c r="F108" s="3">
        <v>2.8183199999999999</v>
      </c>
      <c r="G108" s="3">
        <v>3.2471199999999989</v>
      </c>
      <c r="H108" s="3">
        <v>3.5528300000000002</v>
      </c>
      <c r="I108" s="3">
        <v>0.9015500000000003</v>
      </c>
      <c r="J108" s="3">
        <v>1.3303499999999993</v>
      </c>
      <c r="K108" s="3">
        <v>1.6360600000000005</v>
      </c>
      <c r="L108" s="3">
        <v>0.42879999999999896</v>
      </c>
      <c r="M108" s="3">
        <v>0.73451000000000022</v>
      </c>
      <c r="N108" s="3">
        <v>0.30571000000000126</v>
      </c>
      <c r="O108" s="13">
        <v>2.3815623613012065</v>
      </c>
      <c r="P108" s="13">
        <v>-0.51540146898437411</v>
      </c>
      <c r="Q108" s="13">
        <v>-0.70093449413551512</v>
      </c>
    </row>
    <row r="109" spans="1:17" x14ac:dyDescent="0.25">
      <c r="A109" s="3">
        <v>1.2376624736909299E+18</v>
      </c>
      <c r="B109" s="3">
        <v>236.19955999999999</v>
      </c>
      <c r="C109" s="3">
        <v>36.264617999999999</v>
      </c>
      <c r="D109" s="3">
        <v>6.9475839999999997E-2</v>
      </c>
      <c r="E109" s="3">
        <v>1.72682</v>
      </c>
      <c r="F109" s="3">
        <v>2.5693999999999981</v>
      </c>
      <c r="G109" s="3">
        <v>2.9609699999999997</v>
      </c>
      <c r="H109" s="3">
        <v>3.2605900000000005</v>
      </c>
      <c r="I109" s="3">
        <v>0.84257999999999811</v>
      </c>
      <c r="J109" s="3">
        <v>1.2341499999999996</v>
      </c>
      <c r="K109" s="3">
        <v>1.5337700000000005</v>
      </c>
      <c r="L109" s="3">
        <v>0.39157000000000153</v>
      </c>
      <c r="M109" s="3">
        <v>0.69119000000000241</v>
      </c>
      <c r="N109" s="3">
        <v>0.29962000000000089</v>
      </c>
      <c r="O109" s="13">
        <v>2.7390747016768002</v>
      </c>
      <c r="P109" s="13">
        <v>-3.2355509753253055E-2</v>
      </c>
      <c r="Q109" s="13">
        <v>0.49636100063411981</v>
      </c>
    </row>
    <row r="110" spans="1:17" x14ac:dyDescent="0.25">
      <c r="A110" s="3">
        <v>1.2376625032188301E+18</v>
      </c>
      <c r="B110" s="3">
        <v>236.20070000000001</v>
      </c>
      <c r="C110" s="3">
        <v>36.100549000000001</v>
      </c>
      <c r="D110" s="3">
        <v>6.9494669999999995E-2</v>
      </c>
      <c r="E110" s="3">
        <v>1.9367800000000024</v>
      </c>
      <c r="F110" s="3">
        <v>2.839739999999999</v>
      </c>
      <c r="G110" s="3">
        <v>3.282980000000002</v>
      </c>
      <c r="H110" s="3">
        <v>3.5942500000000024</v>
      </c>
      <c r="I110" s="3">
        <v>0.90295999999999665</v>
      </c>
      <c r="J110" s="3">
        <v>1.3461999999999996</v>
      </c>
      <c r="K110" s="3">
        <v>1.65747</v>
      </c>
      <c r="L110" s="3">
        <v>0.44324000000000296</v>
      </c>
      <c r="M110" s="3">
        <v>0.75451000000000334</v>
      </c>
      <c r="N110" s="3">
        <v>0.31127000000000038</v>
      </c>
      <c r="O110" s="13">
        <v>2.2915942037883914</v>
      </c>
      <c r="P110" s="13">
        <v>-0.40536028854461503</v>
      </c>
      <c r="Q110" s="13">
        <v>7.8583135327647186E-2</v>
      </c>
    </row>
    <row r="111" spans="1:17" x14ac:dyDescent="0.25">
      <c r="A111" s="3">
        <v>1.23766247315406E+18</v>
      </c>
      <c r="B111" s="3">
        <v>236.11779000000001</v>
      </c>
      <c r="C111" s="3">
        <v>35.985916000000003</v>
      </c>
      <c r="D111" s="3">
        <v>6.9518380000000005E-2</v>
      </c>
      <c r="E111" s="3">
        <v>1.5199800000000003</v>
      </c>
      <c r="F111" s="3">
        <v>2.155190000000001</v>
      </c>
      <c r="G111" s="3">
        <v>2.4218000000000011</v>
      </c>
      <c r="H111" s="3">
        <v>2.6474200000000003</v>
      </c>
      <c r="I111" s="3">
        <v>0.63521000000000072</v>
      </c>
      <c r="J111" s="3">
        <v>0.90182000000000073</v>
      </c>
      <c r="K111" s="3">
        <v>1.12744</v>
      </c>
      <c r="L111" s="3">
        <v>0.26661000000000001</v>
      </c>
      <c r="M111" s="3">
        <v>0.49222999999999928</v>
      </c>
      <c r="N111" s="3">
        <v>0.22561999999999927</v>
      </c>
      <c r="O111" s="13">
        <v>3.9535489303522051</v>
      </c>
      <c r="P111" s="13">
        <v>0.17944758788200041</v>
      </c>
      <c r="Q111" s="13">
        <v>-0.32415863306620502</v>
      </c>
    </row>
    <row r="112" spans="1:17" x14ac:dyDescent="0.25">
      <c r="A112" s="3">
        <v>1.2376624736910001E+18</v>
      </c>
      <c r="B112" s="3">
        <v>236.44767999999999</v>
      </c>
      <c r="C112" s="3">
        <v>36.254269000000001</v>
      </c>
      <c r="D112" s="3">
        <v>6.9524959999999997E-2</v>
      </c>
      <c r="E112" s="3">
        <v>1.7307799999999993</v>
      </c>
      <c r="F112" s="3">
        <v>2.5426099999999998</v>
      </c>
      <c r="G112" s="3">
        <v>2.907709999999998</v>
      </c>
      <c r="H112" s="3">
        <v>3.2039099999999987</v>
      </c>
      <c r="I112" s="3">
        <v>0.8118300000000005</v>
      </c>
      <c r="J112" s="3">
        <v>1.1769299999999987</v>
      </c>
      <c r="K112" s="3">
        <v>1.4731299999999994</v>
      </c>
      <c r="L112" s="3">
        <v>0.3650999999999982</v>
      </c>
      <c r="M112" s="3">
        <v>0.66129999999999889</v>
      </c>
      <c r="N112" s="3">
        <v>0.29620000000000068</v>
      </c>
      <c r="O112" s="13">
        <v>2.8448995048026355</v>
      </c>
      <c r="P112" s="13">
        <v>-5.247725449275701E-2</v>
      </c>
      <c r="Q112" s="13">
        <v>1.0098679193796691</v>
      </c>
    </row>
    <row r="113" spans="1:17" x14ac:dyDescent="0.25">
      <c r="A113" s="3">
        <v>1.2376625032188301E+18</v>
      </c>
      <c r="B113" s="3">
        <v>236.18898999999999</v>
      </c>
      <c r="C113" s="3">
        <v>36.075564999999997</v>
      </c>
      <c r="D113" s="3">
        <v>6.9587010000000005E-2</v>
      </c>
      <c r="E113" s="3">
        <v>2.0155799999999999</v>
      </c>
      <c r="F113" s="3">
        <v>2.9882999999999988</v>
      </c>
      <c r="G113" s="3">
        <v>3.4763599999999979</v>
      </c>
      <c r="H113" s="3">
        <v>3.8529199999999992</v>
      </c>
      <c r="I113" s="3">
        <v>0.97271999999999892</v>
      </c>
      <c r="J113" s="3">
        <v>1.460779999999998</v>
      </c>
      <c r="K113" s="3">
        <v>1.8373399999999993</v>
      </c>
      <c r="L113" s="3">
        <v>0.48805999999999905</v>
      </c>
      <c r="M113" s="3">
        <v>0.86462000000000039</v>
      </c>
      <c r="N113" s="3">
        <v>0.37656000000000134</v>
      </c>
      <c r="O113" s="13">
        <v>1.7661051736013245</v>
      </c>
      <c r="P113" s="13">
        <v>-0.46956077573921856</v>
      </c>
      <c r="Q113" s="13">
        <v>-1.624294691437253E-2</v>
      </c>
    </row>
    <row r="114" spans="1:17" x14ac:dyDescent="0.25">
      <c r="A114" s="3">
        <v>1.2376625032189701E+18</v>
      </c>
      <c r="B114" s="3">
        <v>236.47274999999999</v>
      </c>
      <c r="C114" s="3">
        <v>35.867583000000003</v>
      </c>
      <c r="D114" s="3">
        <v>6.9827539999999994E-2</v>
      </c>
      <c r="E114" s="3">
        <v>1.9350500000000004</v>
      </c>
      <c r="F114" s="3">
        <v>2.8243800000000014</v>
      </c>
      <c r="G114" s="3">
        <v>3.2430900000000022</v>
      </c>
      <c r="H114" s="3">
        <v>3.5643600000000024</v>
      </c>
      <c r="I114" s="3">
        <v>0.88933000000000106</v>
      </c>
      <c r="J114" s="3">
        <v>1.3080400000000019</v>
      </c>
      <c r="K114" s="3">
        <v>1.629310000000002</v>
      </c>
      <c r="L114" s="3">
        <v>0.4187100000000008</v>
      </c>
      <c r="M114" s="3">
        <v>0.73998000000000097</v>
      </c>
      <c r="N114" s="3">
        <v>0.32127000000000017</v>
      </c>
      <c r="O114" s="13">
        <v>2.3332563017116192</v>
      </c>
      <c r="P114" s="13">
        <v>-0.47709108334815636</v>
      </c>
      <c r="Q114" s="13">
        <v>8.1424525613385271E-2</v>
      </c>
    </row>
    <row r="115" spans="1:17" x14ac:dyDescent="0.25">
      <c r="A115" s="3">
        <v>1.2376625032188301E+18</v>
      </c>
      <c r="B115" s="3">
        <v>236.28272999999999</v>
      </c>
      <c r="C115" s="3">
        <v>36.146397999999998</v>
      </c>
      <c r="D115" s="3">
        <v>6.9879839999999999E-2</v>
      </c>
      <c r="E115" s="3">
        <v>2.05105</v>
      </c>
      <c r="F115" s="3">
        <v>2.9937299999999993</v>
      </c>
      <c r="G115" s="3">
        <v>3.4453800000000001</v>
      </c>
      <c r="H115" s="3">
        <v>3.794789999999999</v>
      </c>
      <c r="I115" s="3">
        <v>0.9426799999999993</v>
      </c>
      <c r="J115" s="3">
        <v>1.3943300000000001</v>
      </c>
      <c r="K115" s="3">
        <v>1.743739999999999</v>
      </c>
      <c r="L115" s="3">
        <v>0.45165000000000077</v>
      </c>
      <c r="M115" s="3">
        <v>0.80105999999999966</v>
      </c>
      <c r="N115" s="3">
        <v>0.34940999999999889</v>
      </c>
      <c r="O115" s="13">
        <v>1.9713738977659465</v>
      </c>
      <c r="P115" s="13">
        <v>-0.54558260893084343</v>
      </c>
      <c r="Q115" s="13">
        <v>0.37078876965439583</v>
      </c>
    </row>
    <row r="116" spans="1:17" x14ac:dyDescent="0.25">
      <c r="A116" s="3">
        <v>1.2376625032188301E+18</v>
      </c>
      <c r="B116" s="3">
        <v>236.16618</v>
      </c>
      <c r="C116" s="3">
        <v>36.115782000000003</v>
      </c>
      <c r="D116" s="3">
        <v>6.9903430000000003E-2</v>
      </c>
      <c r="E116" s="3">
        <v>1.87941</v>
      </c>
      <c r="F116" s="3">
        <v>2.788219999999999</v>
      </c>
      <c r="G116" s="3">
        <v>3.2105400000000017</v>
      </c>
      <c r="H116" s="3">
        <v>3.5251200000000011</v>
      </c>
      <c r="I116" s="3">
        <v>0.90880999999999901</v>
      </c>
      <c r="J116" s="3">
        <v>1.3311300000000017</v>
      </c>
      <c r="K116" s="3">
        <v>1.6457100000000011</v>
      </c>
      <c r="L116" s="3">
        <v>0.42232000000000269</v>
      </c>
      <c r="M116" s="3">
        <v>0.73690000000000211</v>
      </c>
      <c r="N116" s="3">
        <v>0.31457999999999942</v>
      </c>
      <c r="O116" s="13">
        <v>2.3762369018579386</v>
      </c>
      <c r="P116" s="13">
        <v>-0.32130306735547559</v>
      </c>
      <c r="Q116" s="13">
        <v>4.0876589605983053E-2</v>
      </c>
    </row>
    <row r="117" spans="1:17" x14ac:dyDescent="0.25">
      <c r="A117" s="3">
        <v>1.2376625032188301E+18</v>
      </c>
      <c r="B117" s="3">
        <v>236.21960000000001</v>
      </c>
      <c r="C117" s="3">
        <v>36.069102999999998</v>
      </c>
      <c r="D117" s="3">
        <v>7.0070649999999998E-2</v>
      </c>
      <c r="E117" s="3">
        <v>1.9077300000000008</v>
      </c>
      <c r="F117" s="3">
        <v>2.7561300000000024</v>
      </c>
      <c r="G117" s="3">
        <v>3.1597200000000001</v>
      </c>
      <c r="H117" s="3">
        <v>3.4456799999999994</v>
      </c>
      <c r="I117" s="3">
        <v>0.8484000000000016</v>
      </c>
      <c r="J117" s="3">
        <v>1.2519899999999993</v>
      </c>
      <c r="K117" s="3">
        <v>1.5379499999999986</v>
      </c>
      <c r="L117" s="3">
        <v>0.40358999999999767</v>
      </c>
      <c r="M117" s="3">
        <v>0.689549999999997</v>
      </c>
      <c r="N117" s="3">
        <v>0.28595999999999933</v>
      </c>
      <c r="O117" s="13">
        <v>2.6195785363533024</v>
      </c>
      <c r="P117" s="13">
        <v>-0.39011552040903563</v>
      </c>
      <c r="Q117" s="13">
        <v>5.4687453359464573E-2</v>
      </c>
    </row>
    <row r="118" spans="1:17" x14ac:dyDescent="0.25">
      <c r="A118" s="3">
        <v>1.2376625037557701E+18</v>
      </c>
      <c r="B118" s="3">
        <v>236.68040999999999</v>
      </c>
      <c r="C118" s="3">
        <v>36.370685999999999</v>
      </c>
      <c r="D118" s="3">
        <v>7.0162059999999998E-2</v>
      </c>
      <c r="E118" s="3">
        <v>2.013539999999999</v>
      </c>
      <c r="F118" s="3">
        <v>2.9621999999999993</v>
      </c>
      <c r="G118" s="3">
        <v>3.5021599999999999</v>
      </c>
      <c r="H118" s="3">
        <v>3.9202100000000009</v>
      </c>
      <c r="I118" s="3">
        <v>0.94866000000000028</v>
      </c>
      <c r="J118" s="3">
        <v>1.4886200000000009</v>
      </c>
      <c r="K118" s="3">
        <v>1.9066700000000019</v>
      </c>
      <c r="L118" s="3">
        <v>0.53996000000000066</v>
      </c>
      <c r="M118" s="3">
        <v>0.95801000000000158</v>
      </c>
      <c r="N118" s="3">
        <v>0.41805000000000092</v>
      </c>
      <c r="O118" s="13">
        <v>1.4203352331028218</v>
      </c>
      <c r="P118" s="13">
        <v>-0.29620326212700127</v>
      </c>
      <c r="Q118" s="13">
        <v>1.7779916211205042</v>
      </c>
    </row>
    <row r="119" spans="1:17" x14ac:dyDescent="0.25">
      <c r="A119" s="3">
        <v>1.2376625032189701E+18</v>
      </c>
      <c r="B119" s="3">
        <v>236.46317999999999</v>
      </c>
      <c r="C119" s="3">
        <v>35.880783000000001</v>
      </c>
      <c r="D119" s="3">
        <v>7.0235480000000003E-2</v>
      </c>
      <c r="E119" s="3">
        <v>1.2341000000000015</v>
      </c>
      <c r="F119" s="3">
        <v>1.7068900000000014</v>
      </c>
      <c r="G119" s="3">
        <v>1.9939</v>
      </c>
      <c r="H119" s="3">
        <v>2.1535399999999996</v>
      </c>
      <c r="I119" s="3">
        <v>0.47278999999999982</v>
      </c>
      <c r="J119" s="3">
        <v>0.75979999999999848</v>
      </c>
      <c r="K119" s="3">
        <v>0.91943999999999804</v>
      </c>
      <c r="L119" s="3">
        <v>0.28700999999999866</v>
      </c>
      <c r="M119" s="3">
        <v>0.44664999999999822</v>
      </c>
      <c r="N119" s="3">
        <v>0.15963999999999956</v>
      </c>
      <c r="O119" s="13">
        <v>4.5686190592973617</v>
      </c>
      <c r="P119" s="13">
        <v>0.6169898047876442</v>
      </c>
      <c r="Q119" s="13">
        <v>0.1598981343046702</v>
      </c>
    </row>
    <row r="120" spans="1:17" x14ac:dyDescent="0.25">
      <c r="A120" s="3">
        <v>1.2376625032189E+18</v>
      </c>
      <c r="B120" s="3">
        <v>236.30726000000001</v>
      </c>
      <c r="C120" s="3">
        <v>35.975124000000001</v>
      </c>
      <c r="D120" s="3">
        <v>7.2928850000000003E-2</v>
      </c>
      <c r="E120" s="3">
        <v>1.6879799999999996</v>
      </c>
      <c r="F120" s="3">
        <v>2.5587699999999991</v>
      </c>
      <c r="G120" s="3">
        <v>2.9646799999999978</v>
      </c>
      <c r="H120" s="3">
        <v>3.2880499999999984</v>
      </c>
      <c r="I120" s="3">
        <v>0.87078999999999951</v>
      </c>
      <c r="J120" s="3">
        <v>1.2766999999999982</v>
      </c>
      <c r="K120" s="3">
        <v>1.6000699999999988</v>
      </c>
      <c r="L120" s="3">
        <v>0.40590999999999866</v>
      </c>
      <c r="M120" s="3">
        <v>0.72927999999999926</v>
      </c>
      <c r="N120" s="3">
        <v>0.3233700000000006</v>
      </c>
      <c r="O120" s="13">
        <v>2.5917483250041222</v>
      </c>
      <c r="P120" s="13">
        <v>-3.985230371277159E-2</v>
      </c>
      <c r="Q120" s="13">
        <v>-9.6845206716864481E-3</v>
      </c>
    </row>
    <row r="121" spans="1:17" x14ac:dyDescent="0.25">
      <c r="A121" s="3">
        <v>1.2376625032189E+18</v>
      </c>
      <c r="B121" s="3">
        <v>236.25632999999999</v>
      </c>
      <c r="C121" s="3">
        <v>35.971592999999999</v>
      </c>
      <c r="D121" s="3">
        <v>7.3039900000000005E-2</v>
      </c>
      <c r="E121" s="3">
        <v>1.8752199999999988</v>
      </c>
      <c r="F121" s="3">
        <v>2.7383799999999994</v>
      </c>
      <c r="G121" s="3">
        <v>3.1311399999999985</v>
      </c>
      <c r="H121" s="3">
        <v>3.4303999999999988</v>
      </c>
      <c r="I121" s="3">
        <v>0.86316000000000059</v>
      </c>
      <c r="J121" s="3">
        <v>1.2559199999999997</v>
      </c>
      <c r="K121" s="3">
        <v>1.55518</v>
      </c>
      <c r="L121" s="3">
        <v>0.39275999999999911</v>
      </c>
      <c r="M121" s="3">
        <v>0.69201999999999941</v>
      </c>
      <c r="N121" s="3">
        <v>0.2992600000000003</v>
      </c>
      <c r="O121" s="13">
        <v>2.601115235345167</v>
      </c>
      <c r="P121" s="13">
        <v>-0.36695572164421242</v>
      </c>
      <c r="Q121" s="13">
        <v>-0.11484218217936813</v>
      </c>
    </row>
    <row r="122" spans="1:17" x14ac:dyDescent="0.25">
      <c r="A122" s="3">
        <v>1.2376624736908001E+18</v>
      </c>
      <c r="B122" s="3">
        <v>236.01910000000001</v>
      </c>
      <c r="C122" s="3">
        <v>36.502639000000002</v>
      </c>
      <c r="D122" s="3">
        <v>7.6159580000000004E-2</v>
      </c>
      <c r="E122" s="3">
        <v>2.2064500000000002</v>
      </c>
      <c r="F122" s="3">
        <v>3.2058199999999992</v>
      </c>
      <c r="G122" s="3">
        <v>3.6615900000000003</v>
      </c>
      <c r="H122" s="3">
        <v>4.014050000000001</v>
      </c>
      <c r="I122" s="3">
        <v>0.99936999999999898</v>
      </c>
      <c r="J122" s="3">
        <v>1.4551400000000001</v>
      </c>
      <c r="K122" s="3">
        <v>1.8076000000000008</v>
      </c>
      <c r="L122" s="3">
        <v>0.45577000000000112</v>
      </c>
      <c r="M122" s="3">
        <v>0.80823000000000178</v>
      </c>
      <c r="N122" s="3">
        <v>0.35246000000000066</v>
      </c>
      <c r="O122" s="13">
        <v>1.7361694072864642</v>
      </c>
      <c r="P122" s="13">
        <v>-0.6978047570057484</v>
      </c>
      <c r="Q122" s="13">
        <v>0.69685141900650949</v>
      </c>
    </row>
    <row r="123" spans="1:17" x14ac:dyDescent="0.25">
      <c r="A123" s="3">
        <v>1.2376624736910001E+18</v>
      </c>
      <c r="B123" s="3">
        <v>236.33983000000001</v>
      </c>
      <c r="C123" s="3">
        <v>36.146178999999997</v>
      </c>
      <c r="D123" s="3">
        <v>7.6160549999999994E-2</v>
      </c>
      <c r="E123" s="3">
        <v>1.16066</v>
      </c>
      <c r="F123" s="3">
        <v>1.5989599999999982</v>
      </c>
      <c r="G123" s="3">
        <v>1.89011</v>
      </c>
      <c r="H123" s="3">
        <v>1.9593099999999986</v>
      </c>
      <c r="I123" s="3">
        <v>0.43829999999999814</v>
      </c>
      <c r="J123" s="3">
        <v>0.72944999999999993</v>
      </c>
      <c r="K123" s="3">
        <v>0.79864999999999853</v>
      </c>
      <c r="L123" s="3">
        <v>0.2911500000000018</v>
      </c>
      <c r="M123" s="3">
        <v>0.36035000000000039</v>
      </c>
      <c r="N123" s="3">
        <v>6.9199999999998596E-2</v>
      </c>
      <c r="O123" s="13">
        <v>4.9406600623709744</v>
      </c>
      <c r="P123" s="13">
        <v>0.72791258613709187</v>
      </c>
      <c r="Q123" s="13">
        <v>0.54694877245538542</v>
      </c>
    </row>
    <row r="124" spans="1:17" x14ac:dyDescent="0.25">
      <c r="A124" s="3">
        <v>1.23766247315439E+18</v>
      </c>
      <c r="B124" s="3">
        <v>236.78066000000001</v>
      </c>
      <c r="C124" s="3">
        <v>35.613542000000002</v>
      </c>
      <c r="D124" s="3">
        <v>7.661917E-2</v>
      </c>
      <c r="E124" s="3">
        <v>1.5633200000000009</v>
      </c>
      <c r="F124" s="3">
        <v>2.3697400000000002</v>
      </c>
      <c r="G124" s="3">
        <v>2.7716799999999999</v>
      </c>
      <c r="H124" s="3">
        <v>3.0207000000000015</v>
      </c>
      <c r="I124" s="3">
        <v>0.80641999999999925</v>
      </c>
      <c r="J124" s="3">
        <v>1.208359999999999</v>
      </c>
      <c r="K124" s="3">
        <v>1.4573800000000006</v>
      </c>
      <c r="L124" s="3">
        <v>0.40193999999999974</v>
      </c>
      <c r="M124" s="3">
        <v>0.65096000000000132</v>
      </c>
      <c r="N124" s="3">
        <v>0.24902000000000157</v>
      </c>
      <c r="O124" s="13">
        <v>2.9807402096702518</v>
      </c>
      <c r="P124" s="13">
        <v>-2.8919685913354302E-2</v>
      </c>
      <c r="Q124" s="13">
        <v>8.2440504071245382E-2</v>
      </c>
    </row>
    <row r="125" spans="1:17" x14ac:dyDescent="0.25">
      <c r="A125" s="3">
        <v>1.2376624736908001E+18</v>
      </c>
      <c r="B125" s="3">
        <v>235.99455</v>
      </c>
      <c r="C125" s="3">
        <v>36.352677</v>
      </c>
      <c r="D125" s="3">
        <v>7.6676350000000004E-2</v>
      </c>
      <c r="E125" s="3">
        <v>1.4058199999999985</v>
      </c>
      <c r="F125" s="3">
        <v>1.995350000000002</v>
      </c>
      <c r="G125" s="3">
        <v>2.3792299999999997</v>
      </c>
      <c r="H125" s="3">
        <v>2.6124100000000006</v>
      </c>
      <c r="I125" s="3">
        <v>0.58953000000000344</v>
      </c>
      <c r="J125" s="3">
        <v>0.97341000000000122</v>
      </c>
      <c r="K125" s="3">
        <v>1.206590000000002</v>
      </c>
      <c r="L125" s="3">
        <v>0.38387999999999778</v>
      </c>
      <c r="M125" s="3">
        <v>0.61705999999999861</v>
      </c>
      <c r="N125" s="3">
        <v>0.23318000000000083</v>
      </c>
      <c r="O125" s="13">
        <v>3.7363045165213538</v>
      </c>
      <c r="P125" s="13">
        <v>0.59237904238343497</v>
      </c>
      <c r="Q125" s="13">
        <v>0.32774214838683075</v>
      </c>
    </row>
    <row r="126" spans="1:17" x14ac:dyDescent="0.25">
      <c r="A126" s="3">
        <v>1.23766250375571E+18</v>
      </c>
      <c r="B126" s="3">
        <v>236.5035</v>
      </c>
      <c r="C126" s="3">
        <v>36.567419999999998</v>
      </c>
      <c r="D126" s="3">
        <v>7.6745499999999994E-2</v>
      </c>
      <c r="E126" s="3">
        <v>1.9929099999999984</v>
      </c>
      <c r="F126" s="3">
        <v>2.9065099999999973</v>
      </c>
      <c r="G126" s="3">
        <v>3.3240099999999977</v>
      </c>
      <c r="H126" s="3">
        <v>3.6084499999999977</v>
      </c>
      <c r="I126" s="3">
        <v>0.91359999999999886</v>
      </c>
      <c r="J126" s="3">
        <v>1.3310999999999993</v>
      </c>
      <c r="K126" s="3">
        <v>1.6155399999999993</v>
      </c>
      <c r="L126" s="3">
        <v>0.41750000000000043</v>
      </c>
      <c r="M126" s="3">
        <v>0.70194000000000045</v>
      </c>
      <c r="N126" s="3">
        <v>0.28444000000000003</v>
      </c>
      <c r="O126" s="13">
        <v>2.2815816802412714</v>
      </c>
      <c r="P126" s="13">
        <v>-0.41990378433439701</v>
      </c>
      <c r="Q126" s="13">
        <v>1.888505677327343</v>
      </c>
    </row>
    <row r="127" spans="1:17" x14ac:dyDescent="0.25">
      <c r="A127" s="3">
        <v>1.23766247369074E+18</v>
      </c>
      <c r="B127" s="3">
        <v>235.81650999999999</v>
      </c>
      <c r="C127" s="3">
        <v>36.460304999999998</v>
      </c>
      <c r="D127" s="3">
        <v>7.6923850000000002E-2</v>
      </c>
      <c r="E127" s="3">
        <v>1.7542000000000009</v>
      </c>
      <c r="F127" s="3">
        <v>2.6090600000000013</v>
      </c>
      <c r="G127" s="3">
        <v>3.0526800000000005</v>
      </c>
      <c r="H127" s="3">
        <v>3.3891700000000018</v>
      </c>
      <c r="I127" s="3">
        <v>0.8548600000000004</v>
      </c>
      <c r="J127" s="3">
        <v>1.2984799999999996</v>
      </c>
      <c r="K127" s="3">
        <v>1.6349700000000009</v>
      </c>
      <c r="L127" s="3">
        <v>0.44361999999999924</v>
      </c>
      <c r="M127" s="3">
        <v>0.78011000000000053</v>
      </c>
      <c r="N127" s="3">
        <v>0.33649000000000129</v>
      </c>
      <c r="O127" s="13">
        <v>2.4755735384918407</v>
      </c>
      <c r="P127" s="13">
        <v>7.8679671095538126E-2</v>
      </c>
      <c r="Q127" s="13">
        <v>0.17412653091269756</v>
      </c>
    </row>
    <row r="128" spans="1:17" x14ac:dyDescent="0.25">
      <c r="A128" s="3">
        <v>1.2376625037556401E+18</v>
      </c>
      <c r="B128" s="3">
        <v>236.34941000000001</v>
      </c>
      <c r="C128" s="3">
        <v>36.446942999999997</v>
      </c>
      <c r="D128" s="3">
        <v>7.7082109999999995E-2</v>
      </c>
      <c r="E128" s="3">
        <v>1.9877000000000002</v>
      </c>
      <c r="F128" s="3">
        <v>2.8009000000000022</v>
      </c>
      <c r="G128" s="3">
        <v>3.1931700000000021</v>
      </c>
      <c r="H128" s="3">
        <v>3.4911800000000017</v>
      </c>
      <c r="I128" s="3">
        <v>0.81320000000000192</v>
      </c>
      <c r="J128" s="3">
        <v>1.2054700000000018</v>
      </c>
      <c r="K128" s="3">
        <v>1.5034800000000015</v>
      </c>
      <c r="L128" s="3">
        <v>0.3922699999999999</v>
      </c>
      <c r="M128" s="3">
        <v>0.69027999999999956</v>
      </c>
      <c r="N128" s="3">
        <v>0.29800999999999966</v>
      </c>
      <c r="O128" s="13">
        <v>2.5726607146769114</v>
      </c>
      <c r="P128" s="13">
        <v>-0.36935149095757219</v>
      </c>
      <c r="Q128" s="13">
        <v>1.298982826719008</v>
      </c>
    </row>
    <row r="129" spans="1:17" x14ac:dyDescent="0.25">
      <c r="A129" s="3">
        <v>1.2376625032186399E+18</v>
      </c>
      <c r="B129" s="3">
        <v>235.71032</v>
      </c>
      <c r="C129" s="3">
        <v>36.468029999999999</v>
      </c>
      <c r="D129" s="3">
        <v>7.7096479999999995E-2</v>
      </c>
      <c r="E129" s="3">
        <v>1.5555199999999978</v>
      </c>
      <c r="F129" s="3">
        <v>2.3722899999999996</v>
      </c>
      <c r="G129" s="3">
        <v>2.7745899999999999</v>
      </c>
      <c r="H129" s="3">
        <v>3.0311199999999978</v>
      </c>
      <c r="I129" s="3">
        <v>0.81677000000000177</v>
      </c>
      <c r="J129" s="3">
        <v>1.2190700000000021</v>
      </c>
      <c r="K129" s="3">
        <v>1.4756</v>
      </c>
      <c r="L129" s="3">
        <v>0.40230000000000032</v>
      </c>
      <c r="M129" s="3">
        <v>0.65882999999999825</v>
      </c>
      <c r="N129" s="3">
        <v>0.25652999999999793</v>
      </c>
      <c r="O129" s="13">
        <v>3.072114134321049</v>
      </c>
      <c r="P129" s="13">
        <v>0.29216199883669386</v>
      </c>
      <c r="Q129" s="13">
        <v>-4.7694869914178213E-2</v>
      </c>
    </row>
    <row r="130" spans="1:17" x14ac:dyDescent="0.25">
      <c r="A130" s="3">
        <v>1.2376625032191601E+18</v>
      </c>
      <c r="B130" s="3">
        <v>236.86004</v>
      </c>
      <c r="C130" s="3">
        <v>35.613812000000003</v>
      </c>
      <c r="D130" s="3">
        <v>7.7129989999999995E-2</v>
      </c>
      <c r="E130" s="3">
        <v>2.6345400000000012</v>
      </c>
      <c r="F130" s="3">
        <v>3.7821700000000007</v>
      </c>
      <c r="G130" s="3">
        <v>4.3340999999999994</v>
      </c>
      <c r="H130" s="3">
        <v>4.7490799999999993</v>
      </c>
      <c r="I130" s="3">
        <v>1.1476299999999995</v>
      </c>
      <c r="J130" s="3">
        <v>1.6995599999999982</v>
      </c>
      <c r="K130" s="3">
        <v>2.1145399999999981</v>
      </c>
      <c r="L130" s="3">
        <v>0.5519299999999987</v>
      </c>
      <c r="M130" s="3">
        <v>0.9669099999999986</v>
      </c>
      <c r="N130" s="3">
        <v>0.4149799999999999</v>
      </c>
      <c r="O130" s="13">
        <v>0.56918040287169747</v>
      </c>
      <c r="P130" s="13">
        <v>-1.6335807983206794</v>
      </c>
      <c r="Q130" s="13">
        <v>0.23626635577036775</v>
      </c>
    </row>
    <row r="131" spans="1:17" x14ac:dyDescent="0.25">
      <c r="A131" s="3">
        <v>1.2376624731543301E+18</v>
      </c>
      <c r="B131" s="3">
        <v>236.69871000000001</v>
      </c>
      <c r="C131" s="3">
        <v>35.664239000000002</v>
      </c>
      <c r="D131" s="3">
        <v>7.7354980000000004E-2</v>
      </c>
      <c r="E131" s="3">
        <v>1.3555300000000017</v>
      </c>
      <c r="F131" s="3">
        <v>2.0026200000000003</v>
      </c>
      <c r="G131" s="3">
        <v>2.3590800000000023</v>
      </c>
      <c r="H131" s="3">
        <v>2.5781000000000027</v>
      </c>
      <c r="I131" s="3">
        <v>0.64708999999999861</v>
      </c>
      <c r="J131" s="3">
        <v>1.0035500000000006</v>
      </c>
      <c r="K131" s="3">
        <v>1.222570000000001</v>
      </c>
      <c r="L131" s="3">
        <v>0.356460000000002</v>
      </c>
      <c r="M131" s="3">
        <v>0.57548000000000243</v>
      </c>
      <c r="N131" s="3">
        <v>0.21902000000000044</v>
      </c>
      <c r="O131" s="13">
        <v>3.6960448755172899</v>
      </c>
      <c r="P131" s="13">
        <v>0.35793452439924001</v>
      </c>
      <c r="Q131" s="13">
        <v>7.2268843327813276E-2</v>
      </c>
    </row>
    <row r="132" spans="1:17" x14ac:dyDescent="0.25">
      <c r="A132" s="3">
        <v>1.23766233786351E+18</v>
      </c>
      <c r="B132" s="3">
        <v>235.68944999999999</v>
      </c>
      <c r="C132" s="3">
        <v>35.818849999999998</v>
      </c>
      <c r="D132" s="3">
        <v>7.7530189999999999E-2</v>
      </c>
      <c r="E132" s="3">
        <v>1.2448399999999999</v>
      </c>
      <c r="F132" s="3">
        <v>1.8238699999999994</v>
      </c>
      <c r="G132" s="3">
        <v>2.2119700000000009</v>
      </c>
      <c r="H132" s="3">
        <v>2.404679999999999</v>
      </c>
      <c r="I132" s="3">
        <v>0.57902999999999949</v>
      </c>
      <c r="J132" s="3">
        <v>0.96713000000000093</v>
      </c>
      <c r="K132" s="3">
        <v>1.1598399999999991</v>
      </c>
      <c r="L132" s="3">
        <v>0.38810000000000144</v>
      </c>
      <c r="M132" s="3">
        <v>0.5808099999999996</v>
      </c>
      <c r="N132" s="3">
        <v>0.19270999999999816</v>
      </c>
      <c r="O132" s="13">
        <v>4.0772491232535506</v>
      </c>
      <c r="P132" s="13">
        <v>0.6546927974426513</v>
      </c>
      <c r="Q132" s="13">
        <v>-1.6769612355030332</v>
      </c>
    </row>
    <row r="133" spans="1:17" x14ac:dyDescent="0.25">
      <c r="A133" s="3">
        <v>1.2376625032188301E+18</v>
      </c>
      <c r="B133" s="3">
        <v>236.07399000000001</v>
      </c>
      <c r="C133" s="3">
        <v>36.047853000000003</v>
      </c>
      <c r="D133" s="3">
        <v>7.7739509999999998E-2</v>
      </c>
      <c r="E133" s="3">
        <v>1.0270200000000003</v>
      </c>
      <c r="F133" s="3">
        <v>1.4312400000000025</v>
      </c>
      <c r="G133" s="3">
        <v>1.7621099999999998</v>
      </c>
      <c r="H133" s="3">
        <v>1.8667500000000032</v>
      </c>
      <c r="I133" s="3">
        <v>0.40422000000000224</v>
      </c>
      <c r="J133" s="3">
        <v>0.73508999999999958</v>
      </c>
      <c r="K133" s="3">
        <v>0.83973000000000297</v>
      </c>
      <c r="L133" s="3">
        <v>0.33086999999999733</v>
      </c>
      <c r="M133" s="3">
        <v>0.43551000000000073</v>
      </c>
      <c r="N133" s="3">
        <v>0.1046400000000034</v>
      </c>
      <c r="O133" s="13">
        <v>4.9363408872668115</v>
      </c>
      <c r="P133" s="13">
        <v>1.0157029437196679</v>
      </c>
      <c r="Q133" s="13">
        <v>-0.25839501031312356</v>
      </c>
    </row>
    <row r="134" spans="1:17" x14ac:dyDescent="0.25">
      <c r="A134" s="3">
        <v>1.2376614659862001E+18</v>
      </c>
      <c r="B134" s="3">
        <v>236.04667000000001</v>
      </c>
      <c r="C134" s="3">
        <v>35.737752999999998</v>
      </c>
      <c r="D134" s="3">
        <v>7.8103790000000006E-2</v>
      </c>
      <c r="E134" s="3">
        <v>1.7243200000000023</v>
      </c>
      <c r="F134" s="3">
        <v>2.6331700000000033</v>
      </c>
      <c r="G134" s="3">
        <v>3.0092300000000023</v>
      </c>
      <c r="H134" s="3">
        <v>3.3559300000000007</v>
      </c>
      <c r="I134" s="3">
        <v>0.90885000000000105</v>
      </c>
      <c r="J134" s="3">
        <v>1.28491</v>
      </c>
      <c r="K134" s="3">
        <v>1.6316099999999985</v>
      </c>
      <c r="L134" s="3">
        <v>0.37605999999999895</v>
      </c>
      <c r="M134" s="3">
        <v>0.7227599999999974</v>
      </c>
      <c r="N134" s="3">
        <v>0.34669999999999845</v>
      </c>
      <c r="O134" s="13">
        <v>2.5701045217612251</v>
      </c>
      <c r="P134" s="13">
        <v>-0.16584787870597945</v>
      </c>
      <c r="Q134" s="13">
        <v>-1.1589827333963172</v>
      </c>
    </row>
    <row r="135" spans="1:17" x14ac:dyDescent="0.25">
      <c r="A135" s="3">
        <v>1.2376624736910001E+18</v>
      </c>
      <c r="B135" s="3">
        <v>236.43274</v>
      </c>
      <c r="C135" s="3">
        <v>36.196925999999998</v>
      </c>
      <c r="D135" s="3">
        <v>7.8127470000000004E-2</v>
      </c>
      <c r="E135" s="3">
        <v>1.9456500000000005</v>
      </c>
      <c r="F135" s="3">
        <v>2.8880900000000018</v>
      </c>
      <c r="G135" s="3">
        <v>3.3123300000000011</v>
      </c>
      <c r="H135" s="3">
        <v>3.6543400000000013</v>
      </c>
      <c r="I135" s="3">
        <v>0.94244000000000128</v>
      </c>
      <c r="J135" s="3">
        <v>1.3666800000000006</v>
      </c>
      <c r="K135" s="3">
        <v>1.7086900000000007</v>
      </c>
      <c r="L135" s="3">
        <v>0.42423999999999928</v>
      </c>
      <c r="M135" s="3">
        <v>0.76624999999999943</v>
      </c>
      <c r="N135" s="3">
        <v>0.34201000000000015</v>
      </c>
      <c r="O135" s="13">
        <v>2.1048290851614464</v>
      </c>
      <c r="P135" s="13">
        <v>-0.39214842495342705</v>
      </c>
      <c r="Q135" s="13">
        <v>0.80923988448121864</v>
      </c>
    </row>
    <row r="136" spans="1:17" x14ac:dyDescent="0.25">
      <c r="A136" s="3">
        <v>1.2376625032189701E+18</v>
      </c>
      <c r="B136" s="3">
        <v>236.59008</v>
      </c>
      <c r="C136" s="3">
        <v>35.966523000000002</v>
      </c>
      <c r="D136" s="3">
        <v>7.8327850000000004E-2</v>
      </c>
      <c r="E136" s="3">
        <v>1.3028999999999975</v>
      </c>
      <c r="F136" s="3">
        <v>1.9116999999999997</v>
      </c>
      <c r="G136" s="3">
        <v>2.306989999999999</v>
      </c>
      <c r="H136" s="3">
        <v>2.4812799999999982</v>
      </c>
      <c r="I136" s="3">
        <v>0.60880000000000223</v>
      </c>
      <c r="J136" s="3">
        <v>1.0040900000000015</v>
      </c>
      <c r="K136" s="3">
        <v>1.1783800000000006</v>
      </c>
      <c r="L136" s="3">
        <v>0.39528999999999925</v>
      </c>
      <c r="M136" s="3">
        <v>0.56957999999999842</v>
      </c>
      <c r="N136" s="3">
        <v>0.17428999999999917</v>
      </c>
      <c r="O136" s="13">
        <v>3.8226133826170923</v>
      </c>
      <c r="P136" s="13">
        <v>0.52744408009133603</v>
      </c>
      <c r="Q136" s="13">
        <v>0.59303758451290078</v>
      </c>
    </row>
    <row r="137" spans="1:17" x14ac:dyDescent="0.25">
      <c r="A137" s="3">
        <v>1.2376625032189701E+18</v>
      </c>
      <c r="B137" s="3">
        <v>236.40135000000001</v>
      </c>
      <c r="C137" s="3">
        <v>35.955989000000002</v>
      </c>
      <c r="D137" s="3">
        <v>7.8679209999999999E-2</v>
      </c>
      <c r="E137" s="3">
        <v>1.91648</v>
      </c>
      <c r="F137" s="3">
        <v>2.85595</v>
      </c>
      <c r="G137" s="3">
        <v>3.2884199999999986</v>
      </c>
      <c r="H137" s="3">
        <v>3.6365399999999983</v>
      </c>
      <c r="I137" s="3">
        <v>0.93947000000000003</v>
      </c>
      <c r="J137" s="3">
        <v>1.3719399999999986</v>
      </c>
      <c r="K137" s="3">
        <v>1.7200599999999984</v>
      </c>
      <c r="L137" s="3">
        <v>0.43246999999999858</v>
      </c>
      <c r="M137" s="3">
        <v>0.78058999999999834</v>
      </c>
      <c r="N137" s="3">
        <v>0.34811999999999976</v>
      </c>
      <c r="O137" s="13">
        <v>2.1136739664493005</v>
      </c>
      <c r="P137" s="13">
        <v>-0.4018743256020782</v>
      </c>
      <c r="Q137" s="13">
        <v>0.13767390325994661</v>
      </c>
    </row>
    <row r="138" spans="1:17" x14ac:dyDescent="0.25">
      <c r="A138" s="3">
        <v>1.2376624731541299E+18</v>
      </c>
      <c r="B138" s="3">
        <v>236.17926</v>
      </c>
      <c r="C138" s="3">
        <v>35.961862000000004</v>
      </c>
      <c r="D138" s="3">
        <v>7.8951750000000001E-2</v>
      </c>
      <c r="E138" s="3">
        <v>1.323640000000001</v>
      </c>
      <c r="F138" s="3">
        <v>1.8381100000000004</v>
      </c>
      <c r="G138" s="3">
        <v>2.1798999999999999</v>
      </c>
      <c r="H138" s="3">
        <v>2.3146099999999983</v>
      </c>
      <c r="I138" s="3">
        <v>0.51446999999999932</v>
      </c>
      <c r="J138" s="3">
        <v>0.85625999999999891</v>
      </c>
      <c r="K138" s="3">
        <v>0.99096999999999724</v>
      </c>
      <c r="L138" s="3">
        <v>0.34178999999999959</v>
      </c>
      <c r="M138" s="3">
        <v>0.47649999999999793</v>
      </c>
      <c r="N138" s="3">
        <v>0.13470999999999833</v>
      </c>
      <c r="O138" s="13">
        <v>4.3643532640053468</v>
      </c>
      <c r="P138" s="13">
        <v>0.49197227997729909</v>
      </c>
      <c r="Q138" s="13">
        <v>-0.26031716115989595</v>
      </c>
    </row>
    <row r="139" spans="1:17" x14ac:dyDescent="0.25">
      <c r="A139" s="3">
        <v>1.2376625037558999E+18</v>
      </c>
      <c r="B139" s="3">
        <v>236.86503999999999</v>
      </c>
      <c r="C139" s="3">
        <v>36.109698000000002</v>
      </c>
      <c r="D139" s="3">
        <v>7.9126660000000001E-2</v>
      </c>
      <c r="E139" s="3">
        <v>1.7972000000000001</v>
      </c>
      <c r="F139" s="3">
        <v>2.6917100000000005</v>
      </c>
      <c r="G139" s="3">
        <v>3.0828699999999998</v>
      </c>
      <c r="H139" s="3">
        <v>3.3936999999999991</v>
      </c>
      <c r="I139" s="3">
        <v>0.89451000000000036</v>
      </c>
      <c r="J139" s="3">
        <v>1.2856699999999996</v>
      </c>
      <c r="K139" s="3">
        <v>1.5964999999999989</v>
      </c>
      <c r="L139" s="3">
        <v>0.39115999999999929</v>
      </c>
      <c r="M139" s="3">
        <v>0.70198999999999856</v>
      </c>
      <c r="N139" s="3">
        <v>0.31082999999999927</v>
      </c>
      <c r="O139" s="13">
        <v>2.4231959917341483</v>
      </c>
      <c r="P139" s="13">
        <v>-0.23316838820850794</v>
      </c>
      <c r="Q139" s="13">
        <v>1.5094683936508315</v>
      </c>
    </row>
    <row r="140" spans="1:17" x14ac:dyDescent="0.25">
      <c r="A140" s="3">
        <v>1.23766250321903E+18</v>
      </c>
      <c r="B140" s="3">
        <v>236.65884</v>
      </c>
      <c r="C140" s="3">
        <v>35.783759000000003</v>
      </c>
      <c r="D140" s="3">
        <v>7.9188430000000004E-2</v>
      </c>
      <c r="E140" s="3">
        <v>1.89283</v>
      </c>
      <c r="F140" s="3">
        <v>2.7773800000000008</v>
      </c>
      <c r="G140" s="3">
        <v>3.18919</v>
      </c>
      <c r="H140" s="3">
        <v>3.5195000000000007</v>
      </c>
      <c r="I140" s="3">
        <v>0.88455000000000084</v>
      </c>
      <c r="J140" s="3">
        <v>1.29636</v>
      </c>
      <c r="K140" s="3">
        <v>1.6266700000000007</v>
      </c>
      <c r="L140" s="3">
        <v>0.41180999999999912</v>
      </c>
      <c r="M140" s="3">
        <v>0.74211999999999989</v>
      </c>
      <c r="N140" s="3">
        <v>0.33031000000000077</v>
      </c>
      <c r="O140" s="13">
        <v>2.3258819494204017</v>
      </c>
      <c r="P140" s="13">
        <v>-0.42649969984756964</v>
      </c>
      <c r="Q140" s="13">
        <v>0.2668620203359876</v>
      </c>
    </row>
    <row r="141" spans="1:17" x14ac:dyDescent="0.25">
      <c r="A141" s="3">
        <v>1.23766146598626E+18</v>
      </c>
      <c r="B141" s="3">
        <v>236.32692</v>
      </c>
      <c r="C141" s="3">
        <v>35.785758000000001</v>
      </c>
      <c r="D141" s="3">
        <v>7.9190570000000002E-2</v>
      </c>
      <c r="E141" s="3">
        <v>1.5953900000000019</v>
      </c>
      <c r="F141" s="3">
        <v>2.3593900000000012</v>
      </c>
      <c r="G141" s="3">
        <v>2.7613599999999998</v>
      </c>
      <c r="H141" s="3">
        <v>3.0565200000000026</v>
      </c>
      <c r="I141" s="3">
        <v>0.76399999999999935</v>
      </c>
      <c r="J141" s="3">
        <v>1.165969999999998</v>
      </c>
      <c r="K141" s="3">
        <v>1.4611300000000007</v>
      </c>
      <c r="L141" s="3">
        <v>0.40196999999999861</v>
      </c>
      <c r="M141" s="3">
        <v>0.69713000000000136</v>
      </c>
      <c r="N141" s="3">
        <v>0.29516000000000275</v>
      </c>
      <c r="O141" s="13">
        <v>2.9807046376966944</v>
      </c>
      <c r="P141" s="13">
        <v>8.5367659932997664E-2</v>
      </c>
      <c r="Q141" s="13">
        <v>-0.42085009249454969</v>
      </c>
    </row>
    <row r="142" spans="1:17" x14ac:dyDescent="0.25">
      <c r="A142" s="3">
        <v>1.23766250321903E+18</v>
      </c>
      <c r="B142" s="3">
        <v>236.62267</v>
      </c>
      <c r="C142" s="3">
        <v>35.791443000000001</v>
      </c>
      <c r="D142" s="3">
        <v>7.9249940000000005E-2</v>
      </c>
      <c r="E142" s="3">
        <v>1.9754900000000006</v>
      </c>
      <c r="F142" s="3">
        <v>2.9167500000000004</v>
      </c>
      <c r="G142" s="3">
        <v>3.3417000000000012</v>
      </c>
      <c r="H142" s="3">
        <v>3.6707400000000021</v>
      </c>
      <c r="I142" s="3">
        <v>0.94125999999999976</v>
      </c>
      <c r="J142" s="3">
        <v>1.3662100000000006</v>
      </c>
      <c r="K142" s="3">
        <v>1.6952500000000015</v>
      </c>
      <c r="L142" s="3">
        <v>0.42495000000000083</v>
      </c>
      <c r="M142" s="3">
        <v>0.75399000000000171</v>
      </c>
      <c r="N142" s="3">
        <v>0.32904000000000089</v>
      </c>
      <c r="O142" s="13">
        <v>2.1197622412705712</v>
      </c>
      <c r="P142" s="13">
        <v>-0.58463438620165742</v>
      </c>
      <c r="Q142" s="13">
        <v>0.1944481467277788</v>
      </c>
    </row>
    <row r="143" spans="1:17" x14ac:dyDescent="0.25">
      <c r="A143" s="3">
        <v>1.2376625032191601E+18</v>
      </c>
      <c r="B143" s="3">
        <v>236.7884</v>
      </c>
      <c r="C143" s="3">
        <v>35.646155</v>
      </c>
      <c r="D143" s="3">
        <v>7.9413300000000006E-2</v>
      </c>
      <c r="E143" s="3">
        <v>2.1463899999999985</v>
      </c>
      <c r="F143" s="3">
        <v>3.1296899999999983</v>
      </c>
      <c r="G143" s="3">
        <v>3.5780999999999992</v>
      </c>
      <c r="H143" s="3">
        <v>3.9019199999999987</v>
      </c>
      <c r="I143" s="3">
        <v>0.98329999999999984</v>
      </c>
      <c r="J143" s="3">
        <v>1.4317100000000007</v>
      </c>
      <c r="K143" s="3">
        <v>1.7555300000000003</v>
      </c>
      <c r="L143" s="3">
        <v>0.44841000000000086</v>
      </c>
      <c r="M143" s="3">
        <v>0.77223000000000042</v>
      </c>
      <c r="N143" s="3">
        <v>0.32381999999999955</v>
      </c>
      <c r="O143" s="13">
        <v>1.8395171285734639</v>
      </c>
      <c r="P143" s="13">
        <v>-0.92511713676999674</v>
      </c>
      <c r="Q143" s="13">
        <v>0.17571106399510256</v>
      </c>
    </row>
    <row r="144" spans="1:17" x14ac:dyDescent="0.25">
      <c r="A144" s="3">
        <v>1.23766146598626E+18</v>
      </c>
      <c r="B144" s="3">
        <v>236.30838</v>
      </c>
      <c r="C144" s="3">
        <v>35.770892000000003</v>
      </c>
      <c r="D144" s="3">
        <v>7.9482280000000002E-2</v>
      </c>
      <c r="E144" s="3">
        <v>1.9666899999999998</v>
      </c>
      <c r="F144" s="3">
        <v>2.9360900000000001</v>
      </c>
      <c r="G144" s="3">
        <v>3.4224100000000011</v>
      </c>
      <c r="H144" s="3">
        <v>3.7992000000000008</v>
      </c>
      <c r="I144" s="3">
        <v>0.96940000000000026</v>
      </c>
      <c r="J144" s="3">
        <v>1.4557200000000012</v>
      </c>
      <c r="K144" s="3">
        <v>1.832510000000001</v>
      </c>
      <c r="L144" s="3">
        <v>0.48632000000000097</v>
      </c>
      <c r="M144" s="3">
        <v>0.86311000000000071</v>
      </c>
      <c r="N144" s="3">
        <v>0.37678999999999974</v>
      </c>
      <c r="O144" s="13">
        <v>1.8013205022960723</v>
      </c>
      <c r="P144" s="13">
        <v>-0.48107663506534354</v>
      </c>
      <c r="Q144" s="13">
        <v>-0.53002119494631472</v>
      </c>
    </row>
    <row r="145" spans="1:17" x14ac:dyDescent="0.25">
      <c r="A145" s="3">
        <v>1.2376625032190999E+18</v>
      </c>
      <c r="B145" s="3">
        <v>236.73812000000001</v>
      </c>
      <c r="C145" s="3">
        <v>35.655124999999998</v>
      </c>
      <c r="D145" s="3">
        <v>7.9570520000000006E-2</v>
      </c>
      <c r="E145" s="3">
        <v>1.9329000000000001</v>
      </c>
      <c r="F145" s="3">
        <v>2.8248299999999986</v>
      </c>
      <c r="G145" s="3">
        <v>3.2573800000000013</v>
      </c>
      <c r="H145" s="3">
        <v>3.6179400000000008</v>
      </c>
      <c r="I145" s="3">
        <v>0.89192999999999856</v>
      </c>
      <c r="J145" s="3">
        <v>1.3244800000000012</v>
      </c>
      <c r="K145" s="3">
        <v>1.6850400000000008</v>
      </c>
      <c r="L145" s="3">
        <v>0.43255000000000265</v>
      </c>
      <c r="M145" s="3">
        <v>0.7931100000000022</v>
      </c>
      <c r="N145" s="3">
        <v>0.36055999999999955</v>
      </c>
      <c r="O145" s="13">
        <v>2.1261955266859109</v>
      </c>
      <c r="P145" s="13">
        <v>-0.48355280840293274</v>
      </c>
      <c r="Q145" s="13">
        <v>0.11761203335975501</v>
      </c>
    </row>
    <row r="146" spans="1:17" x14ac:dyDescent="0.25">
      <c r="A146" s="3">
        <v>1.2376625032191601E+18</v>
      </c>
      <c r="B146" s="3">
        <v>236.79683</v>
      </c>
      <c r="C146" s="3">
        <v>35.660555000000002</v>
      </c>
      <c r="D146" s="3">
        <v>8.0674369999999995E-2</v>
      </c>
      <c r="E146" s="3">
        <v>1.90137</v>
      </c>
      <c r="F146" s="3">
        <v>2.8122700000000016</v>
      </c>
      <c r="G146" s="3">
        <v>3.22926</v>
      </c>
      <c r="H146" s="3">
        <v>3.5687700000000007</v>
      </c>
      <c r="I146" s="3">
        <v>0.9109000000000016</v>
      </c>
      <c r="J146" s="3">
        <v>1.32789</v>
      </c>
      <c r="K146" s="3">
        <v>1.6674000000000007</v>
      </c>
      <c r="L146" s="3">
        <v>0.41698999999999842</v>
      </c>
      <c r="M146" s="3">
        <v>0.75649999999999906</v>
      </c>
      <c r="N146" s="3">
        <v>0.33951000000000064</v>
      </c>
      <c r="O146" s="13">
        <v>2.2036050555273095</v>
      </c>
      <c r="P146" s="13">
        <v>-0.48474583977425673</v>
      </c>
      <c r="Q146" s="13">
        <v>0.24393017579574378</v>
      </c>
    </row>
    <row r="147" spans="1:17" x14ac:dyDescent="0.25">
      <c r="A147" s="3">
        <v>1.2376625032190999E+18</v>
      </c>
      <c r="B147" s="3">
        <v>236.76319000000001</v>
      </c>
      <c r="C147" s="3">
        <v>35.650075999999999</v>
      </c>
      <c r="D147" s="3">
        <v>8.0797430000000003E-2</v>
      </c>
      <c r="E147" s="3">
        <v>2.0993500000000012</v>
      </c>
      <c r="F147" s="3">
        <v>3.0246400000000015</v>
      </c>
      <c r="G147" s="3">
        <v>3.4539299999999997</v>
      </c>
      <c r="H147" s="3">
        <v>3.7759700000000009</v>
      </c>
      <c r="I147" s="3">
        <v>0.92529000000000039</v>
      </c>
      <c r="J147" s="3">
        <v>1.3545799999999986</v>
      </c>
      <c r="K147" s="3">
        <v>1.6766199999999998</v>
      </c>
      <c r="L147" s="3">
        <v>0.42928999999999817</v>
      </c>
      <c r="M147" s="3">
        <v>0.75132999999999939</v>
      </c>
      <c r="N147" s="3">
        <v>0.32204000000000121</v>
      </c>
      <c r="O147" s="13">
        <v>2.0600147689283781</v>
      </c>
      <c r="P147" s="13">
        <v>-0.82230569151153621</v>
      </c>
      <c r="Q147" s="13">
        <v>0.14987846265104196</v>
      </c>
    </row>
    <row r="148" spans="1:17" x14ac:dyDescent="0.25">
      <c r="A148" s="3">
        <v>1.23766247369074E+18</v>
      </c>
      <c r="B148" s="3">
        <v>235.93932000000001</v>
      </c>
      <c r="C148" s="3">
        <v>36.537877999999999</v>
      </c>
      <c r="D148" s="3">
        <v>9.3138219999999994E-2</v>
      </c>
      <c r="E148" s="3">
        <v>1.963009999999997</v>
      </c>
      <c r="F148" s="3">
        <v>2.9200599999999994</v>
      </c>
      <c r="G148" s="3">
        <v>3.4103999999999992</v>
      </c>
      <c r="H148" s="3">
        <v>3.7576699999999974</v>
      </c>
      <c r="I148" s="3">
        <v>0.9570500000000024</v>
      </c>
      <c r="J148" s="3">
        <v>1.4473900000000022</v>
      </c>
      <c r="K148" s="3">
        <v>1.7946600000000004</v>
      </c>
      <c r="L148" s="3">
        <v>0.49033999999999978</v>
      </c>
      <c r="M148" s="3">
        <v>0.83760999999999797</v>
      </c>
      <c r="N148" s="3">
        <v>0.34726999999999819</v>
      </c>
      <c r="O148" s="13">
        <v>1.8936894727418445</v>
      </c>
      <c r="P148" s="13">
        <v>-0.2461546388016892</v>
      </c>
      <c r="Q148" s="13">
        <v>0.60554787184555359</v>
      </c>
    </row>
    <row r="149" spans="1:17" x14ac:dyDescent="0.25">
      <c r="A149" s="3">
        <v>1.2376625032187E+18</v>
      </c>
      <c r="B149" s="3">
        <v>235.90908999999999</v>
      </c>
      <c r="C149" s="3">
        <v>36.285921000000002</v>
      </c>
      <c r="D149" s="3">
        <v>9.3240450000000002E-2</v>
      </c>
      <c r="E149" s="3">
        <v>1.2844700000000024</v>
      </c>
      <c r="F149" s="3">
        <v>1.9025800000000004</v>
      </c>
      <c r="G149" s="3">
        <v>2.2638500000000015</v>
      </c>
      <c r="H149" s="3">
        <v>2.4659600000000026</v>
      </c>
      <c r="I149" s="3">
        <v>0.61810999999999794</v>
      </c>
      <c r="J149" s="3">
        <v>0.97937999999999903</v>
      </c>
      <c r="K149" s="3">
        <v>1.1814900000000002</v>
      </c>
      <c r="L149" s="3">
        <v>0.36127000000000109</v>
      </c>
      <c r="M149" s="3">
        <v>0.56338000000000221</v>
      </c>
      <c r="N149" s="3">
        <v>0.20211000000000112</v>
      </c>
      <c r="O149" s="13">
        <v>3.9193033425919812</v>
      </c>
      <c r="P149" s="13">
        <v>0.70410750332139505</v>
      </c>
      <c r="Q149" s="13">
        <v>-4.538769907654646E-2</v>
      </c>
    </row>
    <row r="150" spans="1:17" x14ac:dyDescent="0.25">
      <c r="A150" s="3">
        <v>1.2376625032187E+18</v>
      </c>
      <c r="B150" s="3">
        <v>235.87171000000001</v>
      </c>
      <c r="C150" s="3">
        <v>36.279058999999997</v>
      </c>
      <c r="D150" s="3">
        <v>9.3569559999999996E-2</v>
      </c>
      <c r="E150" s="3">
        <v>1.9155499999999996</v>
      </c>
      <c r="F150" s="3">
        <v>2.8702100000000002</v>
      </c>
      <c r="G150" s="3">
        <v>3.3750800000000005</v>
      </c>
      <c r="H150" s="3">
        <v>3.7692600000000009</v>
      </c>
      <c r="I150" s="3">
        <v>0.95466000000000051</v>
      </c>
      <c r="J150" s="3">
        <v>1.4595300000000009</v>
      </c>
      <c r="K150" s="3">
        <v>1.8537100000000013</v>
      </c>
      <c r="L150" s="3">
        <v>0.50487000000000037</v>
      </c>
      <c r="M150" s="3">
        <v>0.89905000000000079</v>
      </c>
      <c r="N150" s="3">
        <v>0.39418000000000042</v>
      </c>
      <c r="O150" s="13">
        <v>1.7825736123174192</v>
      </c>
      <c r="P150" s="13">
        <v>-0.17338423972545108</v>
      </c>
      <c r="Q150" s="13">
        <v>-0.18005003438541148</v>
      </c>
    </row>
    <row r="151" spans="1:17" x14ac:dyDescent="0.25">
      <c r="A151" s="3">
        <v>1.2376625032187E+18</v>
      </c>
      <c r="B151" s="3">
        <v>235.89401000000001</v>
      </c>
      <c r="C151" s="3">
        <v>36.218031000000003</v>
      </c>
      <c r="D151" s="3">
        <v>0.1075565</v>
      </c>
      <c r="E151" s="3">
        <v>1.2833900000000007</v>
      </c>
      <c r="F151" s="3">
        <v>1.836549999999999</v>
      </c>
      <c r="G151" s="3">
        <v>2.1531500000000001</v>
      </c>
      <c r="H151" s="3">
        <v>2.2952200000000005</v>
      </c>
      <c r="I151" s="3">
        <v>0.55315999999999832</v>
      </c>
      <c r="J151" s="3">
        <v>0.86975999999999942</v>
      </c>
      <c r="K151" s="3">
        <v>1.0118299999999998</v>
      </c>
      <c r="L151" s="3">
        <v>0.3166000000000011</v>
      </c>
      <c r="M151" s="3">
        <v>0.45867000000000147</v>
      </c>
      <c r="N151" s="3">
        <v>0.14207000000000036</v>
      </c>
      <c r="O151" s="13">
        <v>4.3602252572585778</v>
      </c>
      <c r="P151" s="13">
        <v>0.63415969346545509</v>
      </c>
      <c r="Q151" s="13">
        <v>-0.23630727319779821</v>
      </c>
    </row>
    <row r="152" spans="1:17" x14ac:dyDescent="0.25">
      <c r="A152" s="3">
        <v>1.23766233786351E+18</v>
      </c>
      <c r="B152" s="3">
        <v>235.75324000000001</v>
      </c>
      <c r="C152" s="3">
        <v>35.804855000000003</v>
      </c>
      <c r="D152" s="3">
        <v>0.1153564</v>
      </c>
      <c r="E152" s="3">
        <v>1.509129999999999</v>
      </c>
      <c r="F152" s="3">
        <v>2.3636799999999987</v>
      </c>
      <c r="G152" s="3">
        <v>2.8628999999999998</v>
      </c>
      <c r="H152" s="3">
        <v>3.0991299999999988</v>
      </c>
      <c r="I152" s="3">
        <v>0.8545499999999997</v>
      </c>
      <c r="J152" s="3">
        <v>1.3537700000000008</v>
      </c>
      <c r="K152" s="3">
        <v>1.5899999999999999</v>
      </c>
      <c r="L152" s="3">
        <v>0.49922000000000111</v>
      </c>
      <c r="M152" s="3">
        <v>0.73545000000000016</v>
      </c>
      <c r="N152" s="3">
        <v>0.23622999999999905</v>
      </c>
      <c r="O152" s="13">
        <v>2.7909926185003147</v>
      </c>
      <c r="P152" s="13">
        <v>0.19805396694402141</v>
      </c>
      <c r="Q152" s="13">
        <v>-1.6561739978772998</v>
      </c>
    </row>
    <row r="153" spans="1:17" x14ac:dyDescent="0.25">
      <c r="A153" s="3">
        <v>1.23766250375584E+18</v>
      </c>
      <c r="B153" s="3">
        <v>236.7253</v>
      </c>
      <c r="C153" s="3">
        <v>36.269435000000001</v>
      </c>
      <c r="D153" s="3">
        <v>0.1156571</v>
      </c>
      <c r="E153" s="3">
        <v>1.6920300000000026</v>
      </c>
      <c r="F153" s="3">
        <v>2.6279900000000005</v>
      </c>
      <c r="G153" s="3">
        <v>3.1277399999999993</v>
      </c>
      <c r="H153" s="3">
        <v>3.4899400000000007</v>
      </c>
      <c r="I153" s="3">
        <v>0.9359599999999979</v>
      </c>
      <c r="J153" s="3">
        <v>1.4357099999999967</v>
      </c>
      <c r="K153" s="3">
        <v>1.7979099999999981</v>
      </c>
      <c r="L153" s="3">
        <v>0.49974999999999881</v>
      </c>
      <c r="M153" s="3">
        <v>0.86195000000000022</v>
      </c>
      <c r="N153" s="3">
        <v>0.36220000000000141</v>
      </c>
      <c r="O153" s="13">
        <v>1.8948381864668127</v>
      </c>
      <c r="P153" s="13">
        <v>0.11916992598066616</v>
      </c>
      <c r="Q153" s="13">
        <v>1.5880249565765219</v>
      </c>
    </row>
    <row r="154" spans="1:17" x14ac:dyDescent="0.25">
      <c r="A154" s="3">
        <v>1.23766247315426E+18</v>
      </c>
      <c r="B154" s="3">
        <v>236.60979</v>
      </c>
      <c r="C154" s="3">
        <v>35.714427000000001</v>
      </c>
      <c r="D154" s="3">
        <v>0.1158771</v>
      </c>
      <c r="E154" s="3">
        <v>2.012909999999998</v>
      </c>
      <c r="F154" s="3">
        <v>3.0355999999999987</v>
      </c>
      <c r="G154" s="3">
        <v>3.4643699999999988</v>
      </c>
      <c r="H154" s="3">
        <v>3.8486999999999991</v>
      </c>
      <c r="I154" s="3">
        <v>1.0226900000000008</v>
      </c>
      <c r="J154" s="3">
        <v>1.4514600000000009</v>
      </c>
      <c r="K154" s="3">
        <v>1.8357900000000011</v>
      </c>
      <c r="L154" s="3">
        <v>0.4287700000000001</v>
      </c>
      <c r="M154" s="3">
        <v>0.81310000000000038</v>
      </c>
      <c r="N154" s="3">
        <v>0.38433000000000028</v>
      </c>
      <c r="O154" s="13">
        <v>1.7088945194193204</v>
      </c>
      <c r="P154" s="13">
        <v>-0.61873396600124719</v>
      </c>
      <c r="Q154" s="13">
        <v>-4.059482571859644E-2</v>
      </c>
    </row>
    <row r="155" spans="1:17" x14ac:dyDescent="0.25">
      <c r="A155" s="3">
        <v>1.2376625032190999E+18</v>
      </c>
      <c r="B155" s="3">
        <v>236.75801000000001</v>
      </c>
      <c r="C155" s="3">
        <v>35.711208999999997</v>
      </c>
      <c r="D155" s="3">
        <v>0.1160872</v>
      </c>
      <c r="E155" s="3">
        <v>1.9976699999999994</v>
      </c>
      <c r="F155" s="3">
        <v>2.9849099999999993</v>
      </c>
      <c r="G155" s="3">
        <v>3.3895599999999995</v>
      </c>
      <c r="H155" s="3">
        <v>3.7318699999999971</v>
      </c>
      <c r="I155" s="3">
        <v>0.9872399999999999</v>
      </c>
      <c r="J155" s="3">
        <v>1.3918900000000001</v>
      </c>
      <c r="K155" s="3">
        <v>1.7341999999999977</v>
      </c>
      <c r="L155" s="3">
        <v>0.40465000000000018</v>
      </c>
      <c r="M155" s="3">
        <v>0.74695999999999785</v>
      </c>
      <c r="N155" s="3">
        <v>0.34230999999999767</v>
      </c>
      <c r="O155" s="13">
        <v>1.9631758750438353</v>
      </c>
      <c r="P155" s="13">
        <v>-0.64859894681878605</v>
      </c>
      <c r="Q155" s="13">
        <v>0.26930365750910085</v>
      </c>
    </row>
    <row r="156" spans="1:17" x14ac:dyDescent="0.25">
      <c r="A156" s="3">
        <v>1.2376624736911301E+18</v>
      </c>
      <c r="B156" s="3">
        <v>236.73739</v>
      </c>
      <c r="C156" s="3">
        <v>36.068503999999997</v>
      </c>
      <c r="D156" s="3">
        <v>0.1228896</v>
      </c>
      <c r="E156" s="3">
        <v>1.4095999999999975</v>
      </c>
      <c r="F156" s="3">
        <v>2.2206699999999984</v>
      </c>
      <c r="G156" s="3">
        <v>2.6718099999999971</v>
      </c>
      <c r="H156" s="3">
        <v>3.0265099999999983</v>
      </c>
      <c r="I156" s="3">
        <v>0.81107000000000085</v>
      </c>
      <c r="J156" s="3">
        <v>1.2622099999999996</v>
      </c>
      <c r="K156" s="3">
        <v>1.6169100000000007</v>
      </c>
      <c r="L156" s="3">
        <v>0.45113999999999876</v>
      </c>
      <c r="M156" s="3">
        <v>0.80583999999999989</v>
      </c>
      <c r="N156" s="3">
        <v>0.35470000000000113</v>
      </c>
      <c r="O156" s="13">
        <v>2.5258442620149282</v>
      </c>
      <c r="P156" s="13">
        <v>0.55235819817138454</v>
      </c>
      <c r="Q156" s="13">
        <v>1.1347774940048976</v>
      </c>
    </row>
    <row r="157" spans="1:17" x14ac:dyDescent="0.25">
      <c r="A157" s="3">
        <v>1.23766233786371E+18</v>
      </c>
      <c r="B157" s="3">
        <v>236.09461999999999</v>
      </c>
      <c r="C157" s="3">
        <v>35.624761999999997</v>
      </c>
      <c r="D157" s="3">
        <v>0.1238088</v>
      </c>
      <c r="E157" s="3">
        <v>1.3359500000000004</v>
      </c>
      <c r="F157" s="3">
        <v>2.0618100000000013</v>
      </c>
      <c r="G157" s="3">
        <v>2.4509800000000013</v>
      </c>
      <c r="H157" s="3">
        <v>2.7422000000000004</v>
      </c>
      <c r="I157" s="3">
        <v>0.72586000000000084</v>
      </c>
      <c r="J157" s="3">
        <v>1.1150300000000009</v>
      </c>
      <c r="K157" s="3">
        <v>1.40625</v>
      </c>
      <c r="L157" s="3">
        <v>0.38917000000000002</v>
      </c>
      <c r="M157" s="3">
        <v>0.68038999999999916</v>
      </c>
      <c r="N157" s="3">
        <v>0.29121999999999915</v>
      </c>
      <c r="O157" s="13">
        <v>3.2895358544168452</v>
      </c>
      <c r="P157" s="13">
        <v>0.50040498657527999</v>
      </c>
      <c r="Q157" s="13">
        <v>-1.3265328118471709</v>
      </c>
    </row>
    <row r="158" spans="1:17" x14ac:dyDescent="0.25">
      <c r="A158" s="3">
        <v>1.2376614659861299E+18</v>
      </c>
      <c r="B158" s="3">
        <v>235.84402</v>
      </c>
      <c r="C158" s="3">
        <v>35.851506000000001</v>
      </c>
      <c r="D158" s="3">
        <v>0.1239637</v>
      </c>
      <c r="E158" s="3">
        <v>1.9004800000000017</v>
      </c>
      <c r="F158" s="3">
        <v>2.966540000000002</v>
      </c>
      <c r="G158" s="3">
        <v>3.4148899999999998</v>
      </c>
      <c r="H158" s="3">
        <v>3.7806100000000011</v>
      </c>
      <c r="I158" s="3">
        <v>1.0660600000000002</v>
      </c>
      <c r="J158" s="3">
        <v>1.514409999999998</v>
      </c>
      <c r="K158" s="3">
        <v>1.8801299999999994</v>
      </c>
      <c r="L158" s="3">
        <v>0.44834999999999781</v>
      </c>
      <c r="M158" s="3">
        <v>0.81406999999999918</v>
      </c>
      <c r="N158" s="3">
        <v>0.36572000000000138</v>
      </c>
      <c r="O158" s="13">
        <v>1.8137529064898401</v>
      </c>
      <c r="P158" s="13">
        <v>-0.40307558715884184</v>
      </c>
      <c r="Q158" s="13">
        <v>-1.3517507232484374</v>
      </c>
    </row>
    <row r="159" spans="1:17" x14ac:dyDescent="0.25">
      <c r="A159" s="3">
        <v>1.2376614659861299E+18</v>
      </c>
      <c r="B159" s="3">
        <v>235.84612000000001</v>
      </c>
      <c r="C159" s="3">
        <v>35.879350000000002</v>
      </c>
      <c r="D159" s="3">
        <v>0.1242968</v>
      </c>
      <c r="E159" s="3">
        <v>1.612919999999999</v>
      </c>
      <c r="F159" s="3">
        <v>2.4735499999999995</v>
      </c>
      <c r="G159" s="3">
        <v>2.9005100000000006</v>
      </c>
      <c r="H159" s="3">
        <v>3.2315900000000006</v>
      </c>
      <c r="I159" s="3">
        <v>0.86063000000000045</v>
      </c>
      <c r="J159" s="3">
        <v>1.2875900000000016</v>
      </c>
      <c r="K159" s="3">
        <v>1.6186700000000016</v>
      </c>
      <c r="L159" s="3">
        <v>0.42696000000000112</v>
      </c>
      <c r="M159" s="3">
        <v>0.75804000000000116</v>
      </c>
      <c r="N159" s="3">
        <v>0.33108000000000004</v>
      </c>
      <c r="O159" s="13">
        <v>2.6087592887346691</v>
      </c>
      <c r="P159" s="13">
        <v>0.13796219571052129</v>
      </c>
      <c r="Q159" s="13">
        <v>-1.2353883672291379</v>
      </c>
    </row>
    <row r="160" spans="1:17" x14ac:dyDescent="0.25">
      <c r="A160" s="3">
        <v>1.23766250321903E+18</v>
      </c>
      <c r="B160" s="3">
        <v>236.57581999999999</v>
      </c>
      <c r="C160" s="3">
        <v>35.837733</v>
      </c>
      <c r="D160" s="3">
        <v>0.124418</v>
      </c>
      <c r="E160" s="3">
        <v>1.6665700000000001</v>
      </c>
      <c r="F160" s="3">
        <v>2.6494199999999992</v>
      </c>
      <c r="G160" s="3">
        <v>3.0609900000000003</v>
      </c>
      <c r="H160" s="3">
        <v>3.4161900000000003</v>
      </c>
      <c r="I160" s="3">
        <v>0.98284999999999911</v>
      </c>
      <c r="J160" s="3">
        <v>1.3944200000000002</v>
      </c>
      <c r="K160" s="3">
        <v>1.7496200000000002</v>
      </c>
      <c r="L160" s="3">
        <v>0.4115700000000011</v>
      </c>
      <c r="M160" s="3">
        <v>0.76677000000000106</v>
      </c>
      <c r="N160" s="3">
        <v>0.35519999999999996</v>
      </c>
      <c r="O160" s="13">
        <v>2.1525888801458062</v>
      </c>
      <c r="P160" s="13">
        <v>-5.259741931242172E-2</v>
      </c>
      <c r="Q160" s="13">
        <v>0.17932885794189449</v>
      </c>
    </row>
    <row r="161" spans="1:17" x14ac:dyDescent="0.25">
      <c r="A161" s="3">
        <v>1.23766247315393E+18</v>
      </c>
      <c r="B161" s="3">
        <v>235.74289999999999</v>
      </c>
      <c r="C161" s="3">
        <v>36.229205999999998</v>
      </c>
      <c r="D161" s="3">
        <v>0.1254054</v>
      </c>
      <c r="E161" s="3">
        <v>1.5147200000000005</v>
      </c>
      <c r="F161" s="3">
        <v>1.7515800000000006</v>
      </c>
      <c r="G161" s="3">
        <v>1.5411999999999999</v>
      </c>
      <c r="H161" s="3">
        <v>1.0354099999999988</v>
      </c>
      <c r="I161" s="3">
        <v>0.23686000000000007</v>
      </c>
      <c r="J161" s="3">
        <v>2.6479999999999393E-2</v>
      </c>
      <c r="K161" s="3">
        <v>-0.47931000000000168</v>
      </c>
      <c r="L161" s="3">
        <v>-0.21038000000000068</v>
      </c>
      <c r="M161" s="3">
        <v>-0.71617000000000175</v>
      </c>
      <c r="N161" s="3">
        <v>-0.50579000000000107</v>
      </c>
      <c r="O161" s="13">
        <v>8.3819845344979331</v>
      </c>
      <c r="P161" s="13">
        <v>-0.67031589020224314</v>
      </c>
      <c r="Q161" s="13">
        <v>-0.50009660675832335</v>
      </c>
    </row>
    <row r="162" spans="1:17" x14ac:dyDescent="0.25">
      <c r="A162" s="3">
        <v>1.2376624736908001E+18</v>
      </c>
      <c r="B162" s="3">
        <v>235.98036999999999</v>
      </c>
      <c r="C162" s="3">
        <v>36.385114999999999</v>
      </c>
      <c r="D162" s="3">
        <v>0.12737989999999999</v>
      </c>
      <c r="E162" s="3">
        <v>1.4035399999999996</v>
      </c>
      <c r="F162" s="3">
        <v>2.2587100000000007</v>
      </c>
      <c r="G162" s="3">
        <v>2.704740000000001</v>
      </c>
      <c r="H162" s="3">
        <v>2.99878</v>
      </c>
      <c r="I162" s="3">
        <v>0.8551700000000011</v>
      </c>
      <c r="J162" s="3">
        <v>1.3012000000000015</v>
      </c>
      <c r="K162" s="3">
        <v>1.5952400000000004</v>
      </c>
      <c r="L162" s="3">
        <v>0.44603000000000037</v>
      </c>
      <c r="M162" s="3">
        <v>0.74006999999999934</v>
      </c>
      <c r="N162" s="3">
        <v>0.29403999999999897</v>
      </c>
      <c r="O162" s="13">
        <v>2.7432769151601084</v>
      </c>
      <c r="P162" s="13">
        <v>0.58074824944482639</v>
      </c>
      <c r="Q162" s="13">
        <v>0.29299928962733157</v>
      </c>
    </row>
    <row r="163" spans="1:17" x14ac:dyDescent="0.25">
      <c r="A163" s="3">
        <v>1.2376625032187E+18</v>
      </c>
      <c r="B163" s="3">
        <v>235.88801000000001</v>
      </c>
      <c r="C163" s="3">
        <v>36.383172999999999</v>
      </c>
      <c r="D163" s="3">
        <v>0.127388</v>
      </c>
      <c r="E163" s="3">
        <v>0.6467400000000012</v>
      </c>
      <c r="F163" s="3">
        <v>0.93725999999999843</v>
      </c>
      <c r="G163" s="3">
        <v>1.2791299999999985</v>
      </c>
      <c r="H163" s="3">
        <v>0.94147999999999854</v>
      </c>
      <c r="I163" s="3">
        <v>0.29051999999999722</v>
      </c>
      <c r="J163" s="3">
        <v>0.63238999999999734</v>
      </c>
      <c r="K163" s="3">
        <v>0.29473999999999734</v>
      </c>
      <c r="L163" s="3">
        <v>0.34187000000000012</v>
      </c>
      <c r="M163" s="3">
        <v>4.2200000000001125E-3</v>
      </c>
      <c r="N163" s="3">
        <v>-0.33765000000000001</v>
      </c>
      <c r="O163" s="13">
        <v>6.6567510387327502</v>
      </c>
      <c r="P163" s="13">
        <v>1.2549794666860741</v>
      </c>
      <c r="Q163" s="13">
        <v>8.5140387638382081E-2</v>
      </c>
    </row>
    <row r="164" spans="1:17" x14ac:dyDescent="0.25">
      <c r="A164" s="3">
        <v>1.23766146598626E+18</v>
      </c>
      <c r="B164" s="3">
        <v>236.24325999999999</v>
      </c>
      <c r="C164" s="3">
        <v>35.63682</v>
      </c>
      <c r="D164" s="3">
        <v>0.1431992</v>
      </c>
      <c r="E164" s="3">
        <v>1.2023699999999984</v>
      </c>
      <c r="F164" s="3">
        <v>1.8755400000000009</v>
      </c>
      <c r="G164" s="3">
        <v>2.351189999999999</v>
      </c>
      <c r="H164" s="3">
        <v>2.53566</v>
      </c>
      <c r="I164" s="3">
        <v>0.67317000000000249</v>
      </c>
      <c r="J164" s="3">
        <v>1.1488200000000006</v>
      </c>
      <c r="K164" s="3">
        <v>1.3332900000000016</v>
      </c>
      <c r="L164" s="3">
        <v>0.47564999999999813</v>
      </c>
      <c r="M164" s="3">
        <v>0.66011999999999915</v>
      </c>
      <c r="N164" s="3">
        <v>0.18447000000000102</v>
      </c>
      <c r="O164" s="13">
        <v>3.4939731453341509</v>
      </c>
      <c r="P164" s="13">
        <v>0.66805805450016253</v>
      </c>
      <c r="Q164" s="13">
        <v>-1.0114889162525946</v>
      </c>
    </row>
    <row r="165" spans="1:17" x14ac:dyDescent="0.25">
      <c r="A165" s="3">
        <v>1.2376614659863301E+18</v>
      </c>
      <c r="B165" s="3">
        <v>236.35124999999999</v>
      </c>
      <c r="C165" s="3">
        <v>35.738518999999997</v>
      </c>
      <c r="D165" s="3">
        <v>0.14978</v>
      </c>
      <c r="E165" s="3">
        <v>1.697140000000001</v>
      </c>
      <c r="F165" s="3">
        <v>2.6720500000000023</v>
      </c>
      <c r="G165" s="3">
        <v>3.1470400000000005</v>
      </c>
      <c r="H165" s="3">
        <v>3.4943200000000019</v>
      </c>
      <c r="I165" s="3">
        <v>0.97491000000000128</v>
      </c>
      <c r="J165" s="3">
        <v>1.4498999999999995</v>
      </c>
      <c r="K165" s="3">
        <v>1.7971800000000009</v>
      </c>
      <c r="L165" s="3">
        <v>0.47498999999999825</v>
      </c>
      <c r="M165" s="3">
        <v>0.82226999999999961</v>
      </c>
      <c r="N165" s="3">
        <v>0.34728000000000137</v>
      </c>
      <c r="O165" s="13">
        <v>1.9999758704462454</v>
      </c>
      <c r="P165" s="13">
        <v>-6.789140262053496E-2</v>
      </c>
      <c r="Q165" s="13">
        <v>-0.55316783907278688</v>
      </c>
    </row>
    <row r="166" spans="1:17" x14ac:dyDescent="0.25">
      <c r="A166" s="3">
        <v>1.23766146598626E+18</v>
      </c>
      <c r="B166" s="3">
        <v>236.34017</v>
      </c>
      <c r="C166" s="3">
        <v>35.770614999999999</v>
      </c>
      <c r="D166" s="3">
        <v>0.15014939999999999</v>
      </c>
      <c r="E166" s="3">
        <v>1.8135399999999997</v>
      </c>
      <c r="F166" s="3">
        <v>2.8863099999999982</v>
      </c>
      <c r="G166" s="3">
        <v>3.3535800000000009</v>
      </c>
      <c r="H166" s="3">
        <v>3.7226900000000001</v>
      </c>
      <c r="I166" s="3">
        <v>1.0727699999999984</v>
      </c>
      <c r="J166" s="3">
        <v>1.5400400000000012</v>
      </c>
      <c r="K166" s="3">
        <v>1.9091500000000003</v>
      </c>
      <c r="L166" s="3">
        <v>0.46727000000000274</v>
      </c>
      <c r="M166" s="3">
        <v>0.8363800000000019</v>
      </c>
      <c r="N166" s="3">
        <v>0.36910999999999916</v>
      </c>
      <c r="O166" s="13">
        <v>1.6708537292545627</v>
      </c>
      <c r="P166" s="13">
        <v>-0.28268669541123692</v>
      </c>
      <c r="Q166" s="13">
        <v>-0.51419460275016748</v>
      </c>
    </row>
    <row r="167" spans="1:17" x14ac:dyDescent="0.25">
      <c r="A167" s="3">
        <v>1.2376624731543301E+18</v>
      </c>
      <c r="B167" s="3">
        <v>236.59671</v>
      </c>
      <c r="C167" s="3">
        <v>35.684753999999998</v>
      </c>
      <c r="D167" s="3">
        <v>0.15167710000000001</v>
      </c>
      <c r="E167" s="3">
        <v>2.0356400000000008</v>
      </c>
      <c r="F167" s="3">
        <v>3.1498699999999999</v>
      </c>
      <c r="G167" s="3">
        <v>3.618310000000001</v>
      </c>
      <c r="H167" s="3">
        <v>3.9903300000000002</v>
      </c>
      <c r="I167" s="3">
        <v>1.1142299999999992</v>
      </c>
      <c r="J167" s="3">
        <v>1.5826700000000002</v>
      </c>
      <c r="K167" s="3">
        <v>1.9546899999999994</v>
      </c>
      <c r="L167" s="3">
        <v>0.46844000000000108</v>
      </c>
      <c r="M167" s="3">
        <v>0.84046000000000021</v>
      </c>
      <c r="N167" s="3">
        <v>0.37201999999999913</v>
      </c>
      <c r="O167" s="13">
        <v>1.3759474313504634</v>
      </c>
      <c r="P167" s="13">
        <v>-0.69105908436801955</v>
      </c>
      <c r="Q167" s="13">
        <v>-0.182677878312517</v>
      </c>
    </row>
    <row r="168" spans="1:17" x14ac:dyDescent="0.25">
      <c r="A168" s="3">
        <v>1.23766233786351E+18</v>
      </c>
      <c r="B168" s="3">
        <v>235.65716</v>
      </c>
      <c r="C168" s="3">
        <v>35.904936999999997</v>
      </c>
      <c r="D168" s="3">
        <v>0.1517288</v>
      </c>
      <c r="E168" s="3">
        <v>1.5125500000000009</v>
      </c>
      <c r="F168" s="3">
        <v>2.5190400000000004</v>
      </c>
      <c r="G168" s="3">
        <v>2.9849700000000006</v>
      </c>
      <c r="H168" s="3">
        <v>3.3338399999999986</v>
      </c>
      <c r="I168" s="3">
        <v>1.0064899999999994</v>
      </c>
      <c r="J168" s="3">
        <v>1.4724199999999996</v>
      </c>
      <c r="K168" s="3">
        <v>1.8212899999999976</v>
      </c>
      <c r="L168" s="3">
        <v>0.46593000000000018</v>
      </c>
      <c r="M168" s="3">
        <v>0.81479999999999819</v>
      </c>
      <c r="N168" s="3">
        <v>0.34886999999999802</v>
      </c>
      <c r="O168" s="13">
        <v>2.197088965073918</v>
      </c>
      <c r="P168" s="13">
        <v>0.27942088004337018</v>
      </c>
      <c r="Q168" s="13">
        <v>-1.6308644861979207</v>
      </c>
    </row>
    <row r="169" spans="1:17" x14ac:dyDescent="0.25">
      <c r="A169" s="3">
        <v>1.23766250321903E+18</v>
      </c>
      <c r="B169" s="3">
        <v>236.48841999999999</v>
      </c>
      <c r="C169" s="3">
        <v>35.799984000000002</v>
      </c>
      <c r="D169" s="3">
        <v>0.15268960000000001</v>
      </c>
      <c r="E169" s="3">
        <v>1.4280400000000029</v>
      </c>
      <c r="F169" s="3">
        <v>2.2787600000000019</v>
      </c>
      <c r="G169" s="3">
        <v>2.703990000000001</v>
      </c>
      <c r="H169" s="3">
        <v>2.9721400000000031</v>
      </c>
      <c r="I169" s="3">
        <v>0.85071999999999903</v>
      </c>
      <c r="J169" s="3">
        <v>1.2759499999999981</v>
      </c>
      <c r="K169" s="3">
        <v>1.5441000000000003</v>
      </c>
      <c r="L169" s="3">
        <v>0.42522999999999911</v>
      </c>
      <c r="M169" s="3">
        <v>0.69338000000000122</v>
      </c>
      <c r="N169" s="3">
        <v>0.26815000000000211</v>
      </c>
      <c r="O169" s="13">
        <v>2.7955561065223899</v>
      </c>
      <c r="P169" s="13">
        <v>0.31810519966672801</v>
      </c>
      <c r="Q169" s="13">
        <v>-9.9183215198049818E-2</v>
      </c>
    </row>
    <row r="170" spans="1:17" x14ac:dyDescent="0.25">
      <c r="A170" s="3">
        <v>1.2376625032187E+18</v>
      </c>
      <c r="B170" s="3">
        <v>235.76855</v>
      </c>
      <c r="C170" s="3">
        <v>36.286537000000003</v>
      </c>
      <c r="D170" s="3">
        <v>0.15682779999999999</v>
      </c>
      <c r="E170" s="3">
        <v>1.6121100000000013</v>
      </c>
      <c r="F170" s="3">
        <v>2.5818600000000025</v>
      </c>
      <c r="G170" s="3">
        <v>3.0311500000000002</v>
      </c>
      <c r="H170" s="3">
        <v>3.3962299999999992</v>
      </c>
      <c r="I170" s="3">
        <v>0.96975000000000122</v>
      </c>
      <c r="J170" s="3">
        <v>1.419039999999999</v>
      </c>
      <c r="K170" s="3">
        <v>1.7841199999999979</v>
      </c>
      <c r="L170" s="3">
        <v>0.44928999999999775</v>
      </c>
      <c r="M170" s="3">
        <v>0.81436999999999671</v>
      </c>
      <c r="N170" s="3">
        <v>0.36507999999999896</v>
      </c>
      <c r="O170" s="13">
        <v>2.1494029572295035</v>
      </c>
      <c r="P170" s="13">
        <v>0.27335425076879222</v>
      </c>
      <c r="Q170" s="13">
        <v>-0.41245495671782778</v>
      </c>
    </row>
    <row r="171" spans="1:17" x14ac:dyDescent="0.25">
      <c r="A171" s="3">
        <v>1.2376614659859999E+18</v>
      </c>
      <c r="B171" s="3">
        <v>235.72713999999999</v>
      </c>
      <c r="C171" s="3">
        <v>36.146338999999998</v>
      </c>
      <c r="D171" s="3">
        <v>0.15704850000000001</v>
      </c>
      <c r="E171" s="3">
        <v>1.6416000000000004</v>
      </c>
      <c r="F171" s="3">
        <v>2.4710199999999993</v>
      </c>
      <c r="G171" s="3">
        <v>2.8034800000000004</v>
      </c>
      <c r="H171" s="3">
        <v>3.0456800000000008</v>
      </c>
      <c r="I171" s="3">
        <v>0.82941999999999894</v>
      </c>
      <c r="J171" s="3">
        <v>1.16188</v>
      </c>
      <c r="K171" s="3">
        <v>1.4040800000000004</v>
      </c>
      <c r="L171" s="3">
        <v>0.33246000000000109</v>
      </c>
      <c r="M171" s="3">
        <v>0.5746600000000015</v>
      </c>
      <c r="N171" s="3">
        <v>0.24220000000000041</v>
      </c>
      <c r="O171" s="13">
        <v>3.1614516365082106</v>
      </c>
      <c r="P171" s="13">
        <v>4.8645702214071725E-2</v>
      </c>
      <c r="Q171" s="13">
        <v>-0.81831999349029416</v>
      </c>
    </row>
    <row r="172" spans="1:17" x14ac:dyDescent="0.25">
      <c r="A172" s="3">
        <v>1.2376624736909299E+18</v>
      </c>
      <c r="B172" s="3">
        <v>236.46118000000001</v>
      </c>
      <c r="C172" s="3">
        <v>36.303669999999997</v>
      </c>
      <c r="D172" s="3">
        <v>0.15854940000000001</v>
      </c>
      <c r="E172" s="3">
        <v>2.4263799999999982</v>
      </c>
      <c r="F172" s="3">
        <v>3.5973900000000008</v>
      </c>
      <c r="G172" s="3">
        <v>4.0825399999999981</v>
      </c>
      <c r="H172" s="3">
        <v>4.4208299999999987</v>
      </c>
      <c r="I172" s="3">
        <v>1.1710100000000025</v>
      </c>
      <c r="J172" s="3">
        <v>1.6561599999999999</v>
      </c>
      <c r="K172" s="3">
        <v>1.9944500000000005</v>
      </c>
      <c r="L172" s="3">
        <v>0.48514999999999731</v>
      </c>
      <c r="M172" s="3">
        <v>0.82343999999999795</v>
      </c>
      <c r="N172" s="3">
        <v>0.33829000000000065</v>
      </c>
      <c r="O172" s="13">
        <v>1.003929205431549</v>
      </c>
      <c r="P172" s="13">
        <v>-1.1799322792574898</v>
      </c>
      <c r="Q172" s="13">
        <v>1.0802333611836663</v>
      </c>
    </row>
    <row r="173" spans="1:17" x14ac:dyDescent="0.25">
      <c r="A173" s="3">
        <v>1.23766247422781E+18</v>
      </c>
      <c r="B173" s="3">
        <v>236.65338</v>
      </c>
      <c r="C173" s="3">
        <v>36.537120000000002</v>
      </c>
      <c r="D173" s="3">
        <v>0.15969130000000001</v>
      </c>
      <c r="E173" s="3">
        <v>2.2642699999999998</v>
      </c>
      <c r="F173" s="3">
        <v>3.4723100000000002</v>
      </c>
      <c r="G173" s="3">
        <v>3.9599200000000003</v>
      </c>
      <c r="H173" s="3">
        <v>4.2919300000000007</v>
      </c>
      <c r="I173" s="3">
        <v>1.2080400000000004</v>
      </c>
      <c r="J173" s="3">
        <v>1.6956500000000005</v>
      </c>
      <c r="K173" s="3">
        <v>2.0276600000000009</v>
      </c>
      <c r="L173" s="3">
        <v>0.4876100000000001</v>
      </c>
      <c r="M173" s="3">
        <v>0.81962000000000046</v>
      </c>
      <c r="N173" s="3">
        <v>0.33201000000000036</v>
      </c>
      <c r="O173" s="13">
        <v>0.98946898441091824</v>
      </c>
      <c r="P173" s="13">
        <v>-0.89556418333154963</v>
      </c>
      <c r="Q173" s="13">
        <v>2.0475834363794645</v>
      </c>
    </row>
    <row r="174" spans="1:17" x14ac:dyDescent="0.25">
      <c r="A174" s="3">
        <v>1.23766247422787E+18</v>
      </c>
      <c r="B174" s="3">
        <v>236.85077999999999</v>
      </c>
      <c r="C174" s="3">
        <v>36.515898</v>
      </c>
      <c r="D174" s="3">
        <v>0.1602382</v>
      </c>
      <c r="E174" s="3">
        <v>1.8821100000000008</v>
      </c>
      <c r="F174" s="3">
        <v>3.0618200000000009</v>
      </c>
      <c r="G174" s="3">
        <v>3.5198099999999997</v>
      </c>
      <c r="H174" s="3">
        <v>3.8623800000000017</v>
      </c>
      <c r="I174" s="3">
        <v>1.17971</v>
      </c>
      <c r="J174" s="3">
        <v>1.6376999999999988</v>
      </c>
      <c r="K174" s="3">
        <v>1.9802700000000009</v>
      </c>
      <c r="L174" s="3">
        <v>0.45798999999999879</v>
      </c>
      <c r="M174" s="3">
        <v>0.80056000000000083</v>
      </c>
      <c r="N174" s="3">
        <v>0.34257000000000204</v>
      </c>
      <c r="O174" s="13">
        <v>1.3313440473239675</v>
      </c>
      <c r="P174" s="13">
        <v>-0.2958226159968943</v>
      </c>
      <c r="Q174" s="13">
        <v>2.4014313485035417</v>
      </c>
    </row>
    <row r="175" spans="1:17" x14ac:dyDescent="0.25">
      <c r="A175" s="3">
        <v>1.2376624736911301E+18</v>
      </c>
      <c r="B175" s="3">
        <v>236.8605</v>
      </c>
      <c r="C175" s="3">
        <v>36.080049000000002</v>
      </c>
      <c r="D175" s="3">
        <v>0.1651205</v>
      </c>
      <c r="E175" s="3">
        <v>1.6840900000000012</v>
      </c>
      <c r="F175" s="3">
        <v>2.7096899999999984</v>
      </c>
      <c r="G175" s="3">
        <v>3.1569099999999999</v>
      </c>
      <c r="H175" s="3">
        <v>3.5064300000000017</v>
      </c>
      <c r="I175" s="3">
        <v>1.0255999999999972</v>
      </c>
      <c r="J175" s="3">
        <v>1.4728199999999987</v>
      </c>
      <c r="K175" s="3">
        <v>1.8223400000000005</v>
      </c>
      <c r="L175" s="3">
        <v>0.44722000000000151</v>
      </c>
      <c r="M175" s="3">
        <v>0.79674000000000333</v>
      </c>
      <c r="N175" s="3">
        <v>0.34952000000000183</v>
      </c>
      <c r="O175" s="13">
        <v>1.8332530416442629</v>
      </c>
      <c r="P175" s="13">
        <v>-5.0298479750698136E-3</v>
      </c>
      <c r="Q175" s="13">
        <v>1.3687573490727805</v>
      </c>
    </row>
    <row r="176" spans="1:17" x14ac:dyDescent="0.25">
      <c r="A176" s="3">
        <v>1.23766146598626E+18</v>
      </c>
      <c r="B176" s="3">
        <v>236.22492</v>
      </c>
      <c r="C176" s="3">
        <v>35.850149000000002</v>
      </c>
      <c r="D176" s="3">
        <v>0.17266390000000001</v>
      </c>
      <c r="E176" s="3">
        <v>2.0448199999999979</v>
      </c>
      <c r="F176" s="3">
        <v>3.198839999999997</v>
      </c>
      <c r="G176" s="3">
        <v>3.6704599999999985</v>
      </c>
      <c r="H176" s="3">
        <v>3.9716899999999988</v>
      </c>
      <c r="I176" s="3">
        <v>1.1540199999999992</v>
      </c>
      <c r="J176" s="3">
        <v>1.6256400000000006</v>
      </c>
      <c r="K176" s="3">
        <v>1.926870000000001</v>
      </c>
      <c r="L176" s="3">
        <v>0.47162000000000148</v>
      </c>
      <c r="M176" s="3">
        <v>0.77285000000000181</v>
      </c>
      <c r="N176" s="3">
        <v>0.30123000000000033</v>
      </c>
      <c r="O176" s="13">
        <v>1.515563491280209</v>
      </c>
      <c r="P176" s="13">
        <v>-0.74270814637123361</v>
      </c>
      <c r="Q176" s="13">
        <v>-0.5887420275232832</v>
      </c>
    </row>
    <row r="177" spans="1:17" x14ac:dyDescent="0.25">
      <c r="A177" s="3">
        <v>1.2376625032189701E+18</v>
      </c>
      <c r="B177" s="3">
        <v>236.42006000000001</v>
      </c>
      <c r="C177" s="3">
        <v>35.874451999999998</v>
      </c>
      <c r="D177" s="3">
        <v>0.173148</v>
      </c>
      <c r="E177" s="3">
        <v>1.1855100000000007</v>
      </c>
      <c r="F177" s="3">
        <v>1.9101700000000008</v>
      </c>
      <c r="G177" s="3">
        <v>2.3095299999999988</v>
      </c>
      <c r="H177" s="3">
        <v>2.463989999999999</v>
      </c>
      <c r="I177" s="3">
        <v>0.72466000000000008</v>
      </c>
      <c r="J177" s="3">
        <v>1.124019999999998</v>
      </c>
      <c r="K177" s="3">
        <v>1.2784799999999983</v>
      </c>
      <c r="L177" s="3">
        <v>0.39935999999999794</v>
      </c>
      <c r="M177" s="3">
        <v>0.5538199999999982</v>
      </c>
      <c r="N177" s="3">
        <v>0.15446000000000026</v>
      </c>
      <c r="O177" s="13">
        <v>3.623112506820132</v>
      </c>
      <c r="P177" s="13">
        <v>0.65855603212733482</v>
      </c>
      <c r="Q177" s="13">
        <v>-5.904046631998737E-2</v>
      </c>
    </row>
    <row r="178" spans="1:17" x14ac:dyDescent="0.25">
      <c r="A178" s="3">
        <v>1.2376614659861299E+18</v>
      </c>
      <c r="B178" s="3">
        <v>235.86985999999999</v>
      </c>
      <c r="C178" s="3">
        <v>35.835045999999998</v>
      </c>
      <c r="D178" s="3">
        <v>0.17543890000000001</v>
      </c>
      <c r="E178" s="3">
        <v>2.3863400000000006</v>
      </c>
      <c r="F178" s="3">
        <v>3.6130700000000004</v>
      </c>
      <c r="G178" s="3">
        <v>4.0880299999999998</v>
      </c>
      <c r="H178" s="3">
        <v>4.413450000000001</v>
      </c>
      <c r="I178" s="3">
        <v>1.2267299999999999</v>
      </c>
      <c r="J178" s="3">
        <v>1.7016899999999993</v>
      </c>
      <c r="K178" s="3">
        <v>2.0271100000000004</v>
      </c>
      <c r="L178" s="3">
        <v>0.47495999999999938</v>
      </c>
      <c r="M178" s="3">
        <v>0.80038000000000054</v>
      </c>
      <c r="N178" s="3">
        <v>0.32542000000000115</v>
      </c>
      <c r="O178" s="13">
        <v>1.1124213611151259</v>
      </c>
      <c r="P178" s="13">
        <v>-1.2802789849217411</v>
      </c>
      <c r="Q178" s="13">
        <v>-1.3744219044304409</v>
      </c>
    </row>
    <row r="179" spans="1:17" x14ac:dyDescent="0.25">
      <c r="A179" s="3">
        <v>1.2376614659861299E+18</v>
      </c>
      <c r="B179" s="3">
        <v>235.88858999999999</v>
      </c>
      <c r="C179" s="3">
        <v>35.844133999999997</v>
      </c>
      <c r="D179" s="3">
        <v>0.1773024</v>
      </c>
      <c r="E179" s="3">
        <v>1.4045099999999984</v>
      </c>
      <c r="F179" s="3">
        <v>2.3114299999999979</v>
      </c>
      <c r="G179" s="3">
        <v>2.8230199999999996</v>
      </c>
      <c r="H179" s="3">
        <v>3.1574399999999976</v>
      </c>
      <c r="I179" s="3">
        <v>0.9069199999999995</v>
      </c>
      <c r="J179" s="3">
        <v>1.4185100000000013</v>
      </c>
      <c r="K179" s="3">
        <v>1.7529299999999992</v>
      </c>
      <c r="L179" s="3">
        <v>0.51159000000000177</v>
      </c>
      <c r="M179" s="3">
        <v>0.84600999999999971</v>
      </c>
      <c r="N179" s="3">
        <v>0.33441999999999794</v>
      </c>
      <c r="O179" s="13">
        <v>2.3155671266377968</v>
      </c>
      <c r="P179" s="13">
        <v>0.51580342182016936</v>
      </c>
      <c r="Q179" s="13">
        <v>-1.2783085968898116</v>
      </c>
    </row>
    <row r="180" spans="1:17" x14ac:dyDescent="0.25">
      <c r="A180" s="3">
        <v>1.2376624736911301E+18</v>
      </c>
      <c r="B180" s="3">
        <v>236.72726</v>
      </c>
      <c r="C180" s="3">
        <v>35.990147999999998</v>
      </c>
      <c r="D180" s="3">
        <v>0.18636659999999999</v>
      </c>
      <c r="E180" s="3">
        <v>2.042620000000003</v>
      </c>
      <c r="F180" s="3">
        <v>3.3182100000000005</v>
      </c>
      <c r="G180" s="3">
        <v>3.8191400000000009</v>
      </c>
      <c r="H180" s="3">
        <v>4.1846700000000006</v>
      </c>
      <c r="I180" s="3">
        <v>1.2755899999999976</v>
      </c>
      <c r="J180" s="3">
        <v>1.7765199999999979</v>
      </c>
      <c r="K180" s="3">
        <v>2.1420499999999976</v>
      </c>
      <c r="L180" s="3">
        <v>0.50093000000000032</v>
      </c>
      <c r="M180" s="3">
        <v>0.86646000000000001</v>
      </c>
      <c r="N180" s="3">
        <v>0.36552999999999969</v>
      </c>
      <c r="O180" s="13">
        <v>0.85607904355340148</v>
      </c>
      <c r="P180" s="13">
        <v>-0.68967834825627594</v>
      </c>
      <c r="Q180" s="13">
        <v>0.79832382435989613</v>
      </c>
    </row>
    <row r="181" spans="1:17" x14ac:dyDescent="0.25">
      <c r="A181" s="3">
        <v>1.2376625032187699E+18</v>
      </c>
      <c r="B181" s="3">
        <v>236.03922</v>
      </c>
      <c r="C181" s="3">
        <v>36.191927999999997</v>
      </c>
      <c r="D181" s="3">
        <v>0.1880058</v>
      </c>
      <c r="E181" s="3">
        <v>2.5178999999999974</v>
      </c>
      <c r="F181" s="3">
        <v>3.8581099999999999</v>
      </c>
      <c r="G181" s="3">
        <v>4.3627499999999984</v>
      </c>
      <c r="H181" s="3">
        <v>4.7605999999999966</v>
      </c>
      <c r="I181" s="3">
        <v>1.3402100000000026</v>
      </c>
      <c r="J181" s="3">
        <v>1.844850000000001</v>
      </c>
      <c r="K181" s="3">
        <v>2.2426999999999992</v>
      </c>
      <c r="L181" s="3">
        <v>0.50463999999999842</v>
      </c>
      <c r="M181" s="3">
        <v>0.90248999999999668</v>
      </c>
      <c r="N181" s="3">
        <v>0.39784999999999826</v>
      </c>
      <c r="O181" s="13">
        <v>0.40033327502981564</v>
      </c>
      <c r="P181" s="13">
        <v>-1.3409889121818828</v>
      </c>
      <c r="Q181" s="13">
        <v>-0.1355540433770715</v>
      </c>
    </row>
    <row r="182" spans="1:17" x14ac:dyDescent="0.25">
      <c r="A182" s="3">
        <v>1.2376625032187699E+18</v>
      </c>
      <c r="B182" s="3">
        <v>236.02067</v>
      </c>
      <c r="C182" s="3">
        <v>36.177900000000001</v>
      </c>
      <c r="D182" s="3">
        <v>0.18837670000000001</v>
      </c>
      <c r="E182" s="3">
        <v>2.0420099999999977</v>
      </c>
      <c r="F182" s="3">
        <v>3.2615899999999982</v>
      </c>
      <c r="G182" s="3">
        <v>3.7483800000000009</v>
      </c>
      <c r="H182" s="3">
        <v>4.025859999999998</v>
      </c>
      <c r="I182" s="3">
        <v>1.2195800000000006</v>
      </c>
      <c r="J182" s="3">
        <v>1.7063700000000033</v>
      </c>
      <c r="K182" s="3">
        <v>1.9838500000000003</v>
      </c>
      <c r="L182" s="3">
        <v>0.48679000000000272</v>
      </c>
      <c r="M182" s="3">
        <v>0.76426999999999978</v>
      </c>
      <c r="N182" s="3">
        <v>0.27747999999999706</v>
      </c>
      <c r="O182" s="13">
        <v>1.3945637219228757</v>
      </c>
      <c r="P182" s="13">
        <v>-0.68605706672609579</v>
      </c>
      <c r="Q182" s="13">
        <v>-0.23119166603688429</v>
      </c>
    </row>
    <row r="183" spans="1:17" x14ac:dyDescent="0.25">
      <c r="A183" s="3">
        <v>1.2376625032187699E+18</v>
      </c>
      <c r="B183" s="3">
        <v>235.99893</v>
      </c>
      <c r="C183" s="3">
        <v>36.155797999999997</v>
      </c>
      <c r="D183" s="3">
        <v>0.189142</v>
      </c>
      <c r="E183" s="3">
        <v>1.8783199999999987</v>
      </c>
      <c r="F183" s="3">
        <v>3.0793700000000008</v>
      </c>
      <c r="G183" s="3">
        <v>3.5650200000000005</v>
      </c>
      <c r="H183" s="3">
        <v>3.8774000000000015</v>
      </c>
      <c r="I183" s="3">
        <v>1.2010500000000022</v>
      </c>
      <c r="J183" s="3">
        <v>1.6867000000000019</v>
      </c>
      <c r="K183" s="3">
        <v>1.9990800000000029</v>
      </c>
      <c r="L183" s="3">
        <v>0.48564999999999969</v>
      </c>
      <c r="M183" s="3">
        <v>0.79803000000000068</v>
      </c>
      <c r="N183" s="3">
        <v>0.31238000000000099</v>
      </c>
      <c r="O183" s="13">
        <v>1.4505177102839415</v>
      </c>
      <c r="P183" s="13">
        <v>-0.37611484710567733</v>
      </c>
      <c r="Q183" s="13">
        <v>-0.32973426000829892</v>
      </c>
    </row>
    <row r="184" spans="1:17" x14ac:dyDescent="0.25">
      <c r="A184" s="3">
        <v>1.2376625032187699E+18</v>
      </c>
      <c r="B184" s="3">
        <v>235.9725</v>
      </c>
      <c r="C184" s="3">
        <v>36.126925999999997</v>
      </c>
      <c r="D184" s="3">
        <v>0.18948889999999999</v>
      </c>
      <c r="E184" s="3">
        <v>2.5979400000000012</v>
      </c>
      <c r="F184" s="3">
        <v>3.8480300000000014</v>
      </c>
      <c r="G184" s="3">
        <v>4.3330799999999989</v>
      </c>
      <c r="H184" s="3">
        <v>4.6688499999999991</v>
      </c>
      <c r="I184" s="3">
        <v>1.2500900000000001</v>
      </c>
      <c r="J184" s="3">
        <v>1.7351399999999977</v>
      </c>
      <c r="K184" s="3">
        <v>2.0709099999999978</v>
      </c>
      <c r="L184" s="3">
        <v>0.48504999999999754</v>
      </c>
      <c r="M184" s="3">
        <v>0.82081999999999766</v>
      </c>
      <c r="N184" s="3">
        <v>0.33577000000000012</v>
      </c>
      <c r="O184" s="13">
        <v>0.79575886008708907</v>
      </c>
      <c r="P184" s="13">
        <v>-1.5146425827350185</v>
      </c>
      <c r="Q184" s="13">
        <v>-0.41713790087545022</v>
      </c>
    </row>
    <row r="185" spans="1:17" x14ac:dyDescent="0.25">
      <c r="A185" s="3">
        <v>1.2376624736909299E+18</v>
      </c>
      <c r="B185" s="3">
        <v>236.35387</v>
      </c>
      <c r="C185" s="3">
        <v>36.378003999999997</v>
      </c>
      <c r="D185" s="3">
        <v>0.19088869999999999</v>
      </c>
      <c r="E185" s="3">
        <v>2.230240000000002</v>
      </c>
      <c r="F185" s="3">
        <v>3.4737000000000009</v>
      </c>
      <c r="G185" s="3">
        <v>3.9736200000000004</v>
      </c>
      <c r="H185" s="3">
        <v>4.3399000000000001</v>
      </c>
      <c r="I185" s="3">
        <v>1.2434599999999989</v>
      </c>
      <c r="J185" s="3">
        <v>1.7433799999999984</v>
      </c>
      <c r="K185" s="3">
        <v>2.1096599999999981</v>
      </c>
      <c r="L185" s="3">
        <v>0.49991999999999948</v>
      </c>
      <c r="M185" s="3">
        <v>0.86619999999999919</v>
      </c>
      <c r="N185" s="3">
        <v>0.36627999999999972</v>
      </c>
      <c r="O185" s="13">
        <v>0.82982829903528332</v>
      </c>
      <c r="P185" s="13">
        <v>-0.82462714257436598</v>
      </c>
      <c r="Q185" s="13">
        <v>1.0029716420603572</v>
      </c>
    </row>
    <row r="186" spans="1:17" x14ac:dyDescent="0.25">
      <c r="A186" s="3">
        <v>1.2376624736908001E+18</v>
      </c>
      <c r="B186" s="3">
        <v>236.07925</v>
      </c>
      <c r="C186" s="3">
        <v>36.458390000000001</v>
      </c>
      <c r="D186" s="3">
        <v>0.1909254</v>
      </c>
      <c r="E186" s="3">
        <v>1.8899000000000008</v>
      </c>
      <c r="F186" s="3">
        <v>3.0862599999999993</v>
      </c>
      <c r="G186" s="3">
        <v>3.5586200000000012</v>
      </c>
      <c r="H186" s="3">
        <v>3.8990900000000011</v>
      </c>
      <c r="I186" s="3">
        <v>1.1963599999999985</v>
      </c>
      <c r="J186" s="3">
        <v>1.6687200000000004</v>
      </c>
      <c r="K186" s="3">
        <v>2.0091900000000003</v>
      </c>
      <c r="L186" s="3">
        <v>0.47236000000000189</v>
      </c>
      <c r="M186" s="3">
        <v>0.81283000000000172</v>
      </c>
      <c r="N186" s="3">
        <v>0.34046999999999983</v>
      </c>
      <c r="O186" s="13">
        <v>1.3664053200518327</v>
      </c>
      <c r="P186" s="13">
        <v>-0.2731495688566053</v>
      </c>
      <c r="Q186" s="13">
        <v>0.61034962624507527</v>
      </c>
    </row>
    <row r="187" spans="1:17" x14ac:dyDescent="0.25">
      <c r="A187" s="3">
        <v>1.23766146598607E+18</v>
      </c>
      <c r="B187" s="3">
        <v>235.89439999999999</v>
      </c>
      <c r="C187" s="3">
        <v>36.051354000000003</v>
      </c>
      <c r="D187" s="3">
        <v>0.19132769999999999</v>
      </c>
      <c r="E187" s="3">
        <v>2.2260200000000019</v>
      </c>
      <c r="F187" s="3">
        <v>3.5234300000000012</v>
      </c>
      <c r="G187" s="3">
        <v>3.9997000000000007</v>
      </c>
      <c r="H187" s="3">
        <v>4.3204300000000018</v>
      </c>
      <c r="I187" s="3">
        <v>1.2974099999999993</v>
      </c>
      <c r="J187" s="3">
        <v>1.7736799999999988</v>
      </c>
      <c r="K187" s="3">
        <v>2.0944099999999999</v>
      </c>
      <c r="L187" s="3">
        <v>0.47626999999999953</v>
      </c>
      <c r="M187" s="3">
        <v>0.7970000000000006</v>
      </c>
      <c r="N187" s="3">
        <v>0.32073000000000107</v>
      </c>
      <c r="O187" s="13">
        <v>1.0388026608444119</v>
      </c>
      <c r="P187" s="13">
        <v>-1.0069947582518286</v>
      </c>
      <c r="Q187" s="13">
        <v>-0.81759488138009029</v>
      </c>
    </row>
    <row r="188" spans="1:17" x14ac:dyDescent="0.25">
      <c r="A188" s="3">
        <v>1.23766250375571E+18</v>
      </c>
      <c r="B188" s="3">
        <v>236.47656000000001</v>
      </c>
      <c r="C188" s="3">
        <v>36.460400999999997</v>
      </c>
      <c r="D188" s="3">
        <v>0.1916882</v>
      </c>
      <c r="E188" s="3">
        <v>2.0948499999999974</v>
      </c>
      <c r="F188" s="3">
        <v>3.3787099999999981</v>
      </c>
      <c r="G188" s="3">
        <v>3.8508199999999988</v>
      </c>
      <c r="H188" s="3">
        <v>4.2276500000000006</v>
      </c>
      <c r="I188" s="3">
        <v>1.2838600000000007</v>
      </c>
      <c r="J188" s="3">
        <v>1.7559700000000014</v>
      </c>
      <c r="K188" s="3">
        <v>2.1328000000000031</v>
      </c>
      <c r="L188" s="3">
        <v>0.4721100000000007</v>
      </c>
      <c r="M188" s="3">
        <v>0.84894000000000247</v>
      </c>
      <c r="N188" s="3">
        <v>0.37683000000000177</v>
      </c>
      <c r="O188" s="13">
        <v>0.85767177786734294</v>
      </c>
      <c r="P188" s="13">
        <v>-0.62308048521598813</v>
      </c>
      <c r="Q188" s="13">
        <v>1.4527346910195866</v>
      </c>
    </row>
    <row r="189" spans="1:17" x14ac:dyDescent="0.25">
      <c r="A189" s="3">
        <v>1.2376625032187699E+18</v>
      </c>
      <c r="B189" s="3">
        <v>236.07687999999999</v>
      </c>
      <c r="C189" s="3">
        <v>36.223196999999999</v>
      </c>
      <c r="D189" s="3">
        <v>0.19289719999999999</v>
      </c>
      <c r="E189" s="3">
        <v>1.9727700000000006</v>
      </c>
      <c r="F189" s="3">
        <v>3.252200000000002</v>
      </c>
      <c r="G189" s="3">
        <v>3.7470100000000031</v>
      </c>
      <c r="H189" s="3">
        <v>4.1137300000000003</v>
      </c>
      <c r="I189" s="3">
        <v>1.2794300000000014</v>
      </c>
      <c r="J189" s="3">
        <v>1.7742400000000025</v>
      </c>
      <c r="K189" s="3">
        <v>2.1409599999999998</v>
      </c>
      <c r="L189" s="3">
        <v>0.49481000000000108</v>
      </c>
      <c r="M189" s="3">
        <v>0.86152999999999835</v>
      </c>
      <c r="N189" s="3">
        <v>0.36671999999999727</v>
      </c>
      <c r="O189" s="13">
        <v>1.0063551616656419</v>
      </c>
      <c r="P189" s="13">
        <v>-0.48058433751205359</v>
      </c>
      <c r="Q189" s="13">
        <v>-2.8830375796982896E-3</v>
      </c>
    </row>
    <row r="190" spans="1:17" x14ac:dyDescent="0.25">
      <c r="A190" s="3">
        <v>1.23766247369087E+18</v>
      </c>
      <c r="B190" s="3">
        <v>236.16148000000001</v>
      </c>
      <c r="C190" s="3">
        <v>36.254156999999999</v>
      </c>
      <c r="D190" s="3">
        <v>0.19303190000000001</v>
      </c>
      <c r="E190" s="3">
        <v>1.6634399999999978</v>
      </c>
      <c r="F190" s="3">
        <v>2.8782599999999974</v>
      </c>
      <c r="G190" s="3">
        <v>3.3939199999999978</v>
      </c>
      <c r="H190" s="3">
        <v>3.7863000000000007</v>
      </c>
      <c r="I190" s="3">
        <v>1.2148199999999996</v>
      </c>
      <c r="J190" s="3">
        <v>1.73048</v>
      </c>
      <c r="K190" s="3">
        <v>2.1228600000000029</v>
      </c>
      <c r="L190" s="3">
        <v>0.51566000000000045</v>
      </c>
      <c r="M190" s="3">
        <v>0.90804000000000329</v>
      </c>
      <c r="N190" s="3">
        <v>0.39238000000000284</v>
      </c>
      <c r="O190" s="13">
        <v>1.1964623411920094</v>
      </c>
      <c r="P190" s="13">
        <v>0.10108150201802127</v>
      </c>
      <c r="Q190" s="13">
        <v>0.25721911058662406</v>
      </c>
    </row>
    <row r="191" spans="1:17" x14ac:dyDescent="0.25">
      <c r="A191" s="3">
        <v>1.23766247369087E+18</v>
      </c>
      <c r="B191" s="3">
        <v>236.11424</v>
      </c>
      <c r="C191" s="3">
        <v>36.372385999999999</v>
      </c>
      <c r="D191" s="3">
        <v>0.1931196</v>
      </c>
      <c r="E191" s="3">
        <v>1.546129999999998</v>
      </c>
      <c r="F191" s="3">
        <v>2.8401899999999998</v>
      </c>
      <c r="G191" s="3">
        <v>3.3976100000000002</v>
      </c>
      <c r="H191" s="3">
        <v>3.7225599999999979</v>
      </c>
      <c r="I191" s="3">
        <v>1.2940600000000018</v>
      </c>
      <c r="J191" s="3">
        <v>1.8514800000000022</v>
      </c>
      <c r="K191" s="3">
        <v>2.1764299999999999</v>
      </c>
      <c r="L191" s="3">
        <v>0.55742000000000047</v>
      </c>
      <c r="M191" s="3">
        <v>0.8823699999999981</v>
      </c>
      <c r="N191" s="3">
        <v>0.32494999999999763</v>
      </c>
      <c r="O191" s="13">
        <v>1.1813877959089876</v>
      </c>
      <c r="P191" s="13">
        <v>0.20439538097493476</v>
      </c>
      <c r="Q191" s="13">
        <v>0.39695020264450903</v>
      </c>
    </row>
    <row r="192" spans="1:17" x14ac:dyDescent="0.25">
      <c r="A192" s="3">
        <v>1.2376625032187699E+18</v>
      </c>
      <c r="B192" s="3">
        <v>236.05531999999999</v>
      </c>
      <c r="C192" s="3">
        <v>36.223889999999997</v>
      </c>
      <c r="D192" s="3">
        <v>0.19471160000000001</v>
      </c>
      <c r="E192" s="3">
        <v>1.5738899999999987</v>
      </c>
      <c r="F192" s="3">
        <v>2.7937599999999989</v>
      </c>
      <c r="G192" s="3">
        <v>3.2410800000000002</v>
      </c>
      <c r="H192" s="3">
        <v>3.5755099999999977</v>
      </c>
      <c r="I192" s="3">
        <v>1.2198700000000002</v>
      </c>
      <c r="J192" s="3">
        <v>1.6671900000000015</v>
      </c>
      <c r="K192" s="3">
        <v>2.0016199999999991</v>
      </c>
      <c r="L192" s="3">
        <v>0.44732000000000127</v>
      </c>
      <c r="M192" s="3">
        <v>0.78174999999999883</v>
      </c>
      <c r="N192" s="3">
        <v>0.33442999999999756</v>
      </c>
      <c r="O192" s="13">
        <v>1.644665092454235</v>
      </c>
      <c r="P192" s="13">
        <v>0.11637624195642657</v>
      </c>
      <c r="Q192" s="13">
        <v>-5.7736015526534831E-2</v>
      </c>
    </row>
    <row r="193" spans="1:17" x14ac:dyDescent="0.25">
      <c r="A193" s="3">
        <v>1.23766233786351E+18</v>
      </c>
      <c r="B193" s="3">
        <v>235.75116</v>
      </c>
      <c r="C193" s="3">
        <v>35.822882</v>
      </c>
      <c r="D193" s="3">
        <v>0.19542370000000001</v>
      </c>
      <c r="E193" s="3">
        <v>1.9974199999999982</v>
      </c>
      <c r="F193" s="3">
        <v>3.3244599999999984</v>
      </c>
      <c r="G193" s="3">
        <v>3.8224699999999991</v>
      </c>
      <c r="H193" s="3">
        <v>4.1863899999999994</v>
      </c>
      <c r="I193" s="3">
        <v>1.3270400000000002</v>
      </c>
      <c r="J193" s="3">
        <v>1.8250500000000009</v>
      </c>
      <c r="K193" s="3">
        <v>2.1889700000000012</v>
      </c>
      <c r="L193" s="3">
        <v>0.49801000000000073</v>
      </c>
      <c r="M193" s="3">
        <v>0.86193000000000097</v>
      </c>
      <c r="N193" s="3">
        <v>0.36392000000000024</v>
      </c>
      <c r="O193" s="13">
        <v>0.97978986962518022</v>
      </c>
      <c r="P193" s="13">
        <v>-0.65739060071820465</v>
      </c>
      <c r="Q193" s="13">
        <v>-1.7133595767354053</v>
      </c>
    </row>
    <row r="194" spans="1:17" x14ac:dyDescent="0.25">
      <c r="A194" s="3">
        <v>1.23766247369087E+18</v>
      </c>
      <c r="B194" s="3">
        <v>236.15581</v>
      </c>
      <c r="C194" s="3">
        <v>36.275300999999999</v>
      </c>
      <c r="D194" s="3">
        <v>0.19546820000000001</v>
      </c>
      <c r="E194" s="3">
        <v>2.1272599999999997</v>
      </c>
      <c r="F194" s="3">
        <v>3.46218</v>
      </c>
      <c r="G194" s="3">
        <v>3.9524399999999993</v>
      </c>
      <c r="H194" s="3">
        <v>4.2970600000000019</v>
      </c>
      <c r="I194" s="3">
        <v>1.3349200000000003</v>
      </c>
      <c r="J194" s="3">
        <v>1.8251799999999996</v>
      </c>
      <c r="K194" s="3">
        <v>2.1698000000000022</v>
      </c>
      <c r="L194" s="3">
        <v>0.49025999999999925</v>
      </c>
      <c r="M194" s="3">
        <v>0.83488000000000184</v>
      </c>
      <c r="N194" s="3">
        <v>0.34462000000000259</v>
      </c>
      <c r="O194" s="13">
        <v>0.83994096421541697</v>
      </c>
      <c r="P194" s="13">
        <v>-0.7789568359349589</v>
      </c>
      <c r="Q194" s="13">
        <v>0.28281129221217532</v>
      </c>
    </row>
    <row r="195" spans="1:17" x14ac:dyDescent="0.25">
      <c r="A195" s="3">
        <v>1.2376625032187699E+18</v>
      </c>
      <c r="B195" s="3">
        <v>236.05296999999999</v>
      </c>
      <c r="C195" s="3">
        <v>36.203226000000001</v>
      </c>
      <c r="D195" s="3">
        <v>0.19561770000000001</v>
      </c>
      <c r="E195" s="3">
        <v>2.2616199999999971</v>
      </c>
      <c r="F195" s="3">
        <v>3.5593499999999985</v>
      </c>
      <c r="G195" s="3">
        <v>4.0681099999999972</v>
      </c>
      <c r="H195" s="3">
        <v>4.44407</v>
      </c>
      <c r="I195" s="3">
        <v>1.2977300000000014</v>
      </c>
      <c r="J195" s="3">
        <v>1.8064900000000002</v>
      </c>
      <c r="K195" s="3">
        <v>2.1824500000000029</v>
      </c>
      <c r="L195" s="3">
        <v>0.50875999999999877</v>
      </c>
      <c r="M195" s="3">
        <v>0.88472000000000151</v>
      </c>
      <c r="N195" s="3">
        <v>0.37596000000000274</v>
      </c>
      <c r="O195" s="13">
        <v>0.70415390550009582</v>
      </c>
      <c r="P195" s="13">
        <v>-0.92819468850119047</v>
      </c>
      <c r="Q195" s="13">
        <v>-8.8785105128022679E-2</v>
      </c>
    </row>
    <row r="196" spans="1:17" x14ac:dyDescent="0.25">
      <c r="A196" s="3">
        <v>1.23766146544926E+18</v>
      </c>
      <c r="B196" s="3">
        <v>235.70094</v>
      </c>
      <c r="C196" s="3">
        <v>35.605603000000002</v>
      </c>
      <c r="D196" s="3">
        <v>0.19562689999999999</v>
      </c>
      <c r="E196" s="3">
        <v>2.2562599999999975</v>
      </c>
      <c r="F196" s="3">
        <v>3.5205899999999986</v>
      </c>
      <c r="G196" s="3">
        <v>4.0120699999999978</v>
      </c>
      <c r="H196" s="3">
        <v>4.3755600000000001</v>
      </c>
      <c r="I196" s="3">
        <v>1.2643300000000011</v>
      </c>
      <c r="J196" s="3">
        <v>1.7558100000000003</v>
      </c>
      <c r="K196" s="3">
        <v>2.1193000000000026</v>
      </c>
      <c r="L196" s="3">
        <v>0.49147999999999925</v>
      </c>
      <c r="M196" s="3">
        <v>0.85497000000000156</v>
      </c>
      <c r="N196" s="3">
        <v>0.36349000000000231</v>
      </c>
      <c r="O196" s="13">
        <v>0.98475390576991273</v>
      </c>
      <c r="P196" s="13">
        <v>-1.0878153150990904</v>
      </c>
      <c r="Q196" s="13">
        <v>-2.3246409817824105</v>
      </c>
    </row>
    <row r="197" spans="1:17" x14ac:dyDescent="0.25">
      <c r="A197" s="3">
        <v>1.23766146544926E+18</v>
      </c>
      <c r="B197" s="3">
        <v>235.74010000000001</v>
      </c>
      <c r="C197" s="3">
        <v>35.589899000000003</v>
      </c>
      <c r="D197" s="3">
        <v>0.19573380000000001</v>
      </c>
      <c r="E197" s="3">
        <v>2.2480900000000013</v>
      </c>
      <c r="F197" s="3">
        <v>3.5281599999999997</v>
      </c>
      <c r="G197" s="3">
        <v>4.0230700000000006</v>
      </c>
      <c r="H197" s="3">
        <v>4.387830000000001</v>
      </c>
      <c r="I197" s="3">
        <v>1.2800699999999985</v>
      </c>
      <c r="J197" s="3">
        <v>1.7749799999999993</v>
      </c>
      <c r="K197" s="3">
        <v>2.1397399999999998</v>
      </c>
      <c r="L197" s="3">
        <v>0.49491000000000085</v>
      </c>
      <c r="M197" s="3">
        <v>0.85967000000000127</v>
      </c>
      <c r="N197" s="3">
        <v>0.36476000000000042</v>
      </c>
      <c r="O197" s="13">
        <v>0.93661813064228217</v>
      </c>
      <c r="P197" s="13">
        <v>-1.0884181040933589</v>
      </c>
      <c r="Q197" s="13">
        <v>-2.2869083018237655</v>
      </c>
    </row>
    <row r="198" spans="1:17" x14ac:dyDescent="0.25">
      <c r="A198" s="3">
        <v>1.2376625032187699E+18</v>
      </c>
      <c r="B198" s="3">
        <v>236.05785</v>
      </c>
      <c r="C198" s="3">
        <v>36.237388000000003</v>
      </c>
      <c r="D198" s="3">
        <v>0.1958859</v>
      </c>
      <c r="E198" s="3">
        <v>1.694580000000002</v>
      </c>
      <c r="F198" s="3">
        <v>2.9005399999999995</v>
      </c>
      <c r="G198" s="3">
        <v>3.4207800000000006</v>
      </c>
      <c r="H198" s="3">
        <v>3.7614200000000011</v>
      </c>
      <c r="I198" s="3">
        <v>1.2059599999999975</v>
      </c>
      <c r="J198" s="3">
        <v>1.7261999999999986</v>
      </c>
      <c r="K198" s="3">
        <v>2.0668399999999991</v>
      </c>
      <c r="L198" s="3">
        <v>0.52024000000000115</v>
      </c>
      <c r="M198" s="3">
        <v>0.86088000000000164</v>
      </c>
      <c r="N198" s="3">
        <v>0.3406400000000005</v>
      </c>
      <c r="O198" s="13">
        <v>1.3509085095671738</v>
      </c>
      <c r="P198" s="13">
        <v>-5.8751170129613681E-3</v>
      </c>
      <c r="Q198" s="13">
        <v>-1.2954202768419439E-2</v>
      </c>
    </row>
    <row r="199" spans="1:17" x14ac:dyDescent="0.25">
      <c r="A199" s="3">
        <v>1.2376625032187699E+18</v>
      </c>
      <c r="B199" s="3">
        <v>236.0179</v>
      </c>
      <c r="C199" s="3">
        <v>36.210472000000003</v>
      </c>
      <c r="D199" s="3">
        <v>0.19602649999999999</v>
      </c>
      <c r="E199" s="3">
        <v>1.6827299999999994</v>
      </c>
      <c r="F199" s="3">
        <v>3.4815000000000005</v>
      </c>
      <c r="G199" s="3">
        <v>3.9813100000000006</v>
      </c>
      <c r="H199" s="3">
        <v>4.3106200000000001</v>
      </c>
      <c r="I199" s="3">
        <v>1.7987700000000011</v>
      </c>
      <c r="J199" s="3">
        <v>2.2985800000000012</v>
      </c>
      <c r="K199" s="3">
        <v>2.6278900000000007</v>
      </c>
      <c r="L199" s="3">
        <v>0.49981000000000009</v>
      </c>
      <c r="M199" s="3">
        <v>0.82911999999999964</v>
      </c>
      <c r="N199" s="3">
        <v>0.32930999999999955</v>
      </c>
      <c r="O199" s="13">
        <v>0.20766980019560369</v>
      </c>
      <c r="P199" s="13">
        <v>-0.42681745888679307</v>
      </c>
      <c r="Q199" s="13">
        <v>-0.36400583000956094</v>
      </c>
    </row>
    <row r="200" spans="1:17" x14ac:dyDescent="0.25">
      <c r="A200" s="3">
        <v>1.23766146544926E+18</v>
      </c>
      <c r="B200" s="3">
        <v>235.71753000000001</v>
      </c>
      <c r="C200" s="3">
        <v>35.651114</v>
      </c>
      <c r="D200" s="3">
        <v>0.1966155</v>
      </c>
      <c r="E200" s="3">
        <v>1.437850000000001</v>
      </c>
      <c r="F200" s="3">
        <v>2.6611500000000028</v>
      </c>
      <c r="G200" s="3">
        <v>3.15062</v>
      </c>
      <c r="H200" s="3">
        <v>3.4954500000000017</v>
      </c>
      <c r="I200" s="3">
        <v>1.2233000000000018</v>
      </c>
      <c r="J200" s="3">
        <v>1.712769999999999</v>
      </c>
      <c r="K200" s="3">
        <v>2.0576000000000008</v>
      </c>
      <c r="L200" s="3">
        <v>0.48946999999999719</v>
      </c>
      <c r="M200" s="3">
        <v>0.83429999999999893</v>
      </c>
      <c r="N200" s="3">
        <v>0.34483000000000175</v>
      </c>
      <c r="O200" s="13">
        <v>1.6824970074567651</v>
      </c>
      <c r="P200" s="13">
        <v>0.21127314202844191</v>
      </c>
      <c r="Q200" s="13">
        <v>-2.2247826251897189</v>
      </c>
    </row>
    <row r="201" spans="1:17" x14ac:dyDescent="0.25">
      <c r="A201" s="3">
        <v>1.2376625032187699E+18</v>
      </c>
      <c r="B201" s="3">
        <v>236.02927</v>
      </c>
      <c r="C201" s="3">
        <v>36.219217999999998</v>
      </c>
      <c r="D201" s="3">
        <v>0.1966647</v>
      </c>
      <c r="E201" s="3">
        <v>2.0469799999999978</v>
      </c>
      <c r="F201" s="3">
        <v>3.2791399999999982</v>
      </c>
      <c r="G201" s="3">
        <v>3.7517999999999994</v>
      </c>
      <c r="H201" s="3">
        <v>4.1074400000000004</v>
      </c>
      <c r="I201" s="3">
        <v>1.2321600000000004</v>
      </c>
      <c r="J201" s="3">
        <v>1.7048200000000016</v>
      </c>
      <c r="K201" s="3">
        <v>2.0604600000000026</v>
      </c>
      <c r="L201" s="3">
        <v>0.47266000000000119</v>
      </c>
      <c r="M201" s="3">
        <v>0.82830000000000226</v>
      </c>
      <c r="N201" s="3">
        <v>0.35564000000000107</v>
      </c>
      <c r="O201" s="13">
        <v>1.1600128428944751</v>
      </c>
      <c r="P201" s="13">
        <v>-0.58905591151894632</v>
      </c>
      <c r="Q201" s="13">
        <v>-9.3016962756082414E-2</v>
      </c>
    </row>
    <row r="202" spans="1:17" x14ac:dyDescent="0.25">
      <c r="A202" s="3">
        <v>1.23766247422781E+18</v>
      </c>
      <c r="B202" s="3">
        <v>236.57089999999999</v>
      </c>
      <c r="C202" s="3">
        <v>36.581391000000004</v>
      </c>
      <c r="D202" s="3">
        <v>0.1967082</v>
      </c>
      <c r="E202" s="3">
        <v>1.72729</v>
      </c>
      <c r="F202" s="3">
        <v>2.8499300000000005</v>
      </c>
      <c r="G202" s="3">
        <v>3.3372500000000009</v>
      </c>
      <c r="H202" s="3">
        <v>3.6628399999999992</v>
      </c>
      <c r="I202" s="3">
        <v>1.1226400000000005</v>
      </c>
      <c r="J202" s="3">
        <v>1.6099600000000009</v>
      </c>
      <c r="K202" s="3">
        <v>1.9355499999999992</v>
      </c>
      <c r="L202" s="3">
        <v>0.48732000000000042</v>
      </c>
      <c r="M202" s="3">
        <v>0.81290999999999869</v>
      </c>
      <c r="N202" s="3">
        <v>0.32558999999999827</v>
      </c>
      <c r="O202" s="13">
        <v>1.5211569733981365</v>
      </c>
      <c r="P202" s="13">
        <v>4.0688499700584954E-2</v>
      </c>
      <c r="Q202" s="13">
        <v>1.9688759713718742</v>
      </c>
    </row>
    <row r="203" spans="1:17" x14ac:dyDescent="0.25">
      <c r="A203" s="3">
        <v>1.2376614659859999E+18</v>
      </c>
      <c r="B203" s="3">
        <v>235.64840000000001</v>
      </c>
      <c r="C203" s="3">
        <v>36.151434000000002</v>
      </c>
      <c r="D203" s="3">
        <v>0.19737299999999999</v>
      </c>
      <c r="E203" s="3">
        <v>1.2262500000000003</v>
      </c>
      <c r="F203" s="3">
        <v>2.1529999999999987</v>
      </c>
      <c r="G203" s="3">
        <v>2.5998999999999981</v>
      </c>
      <c r="H203" s="3">
        <v>2.8862099999999984</v>
      </c>
      <c r="I203" s="3">
        <v>0.92674999999999841</v>
      </c>
      <c r="J203" s="3">
        <v>1.3736499999999978</v>
      </c>
      <c r="K203" s="3">
        <v>1.6599599999999981</v>
      </c>
      <c r="L203" s="3">
        <v>0.44689999999999941</v>
      </c>
      <c r="M203" s="3">
        <v>0.7332099999999997</v>
      </c>
      <c r="N203" s="3">
        <v>0.28631000000000029</v>
      </c>
      <c r="O203" s="13">
        <v>2.7265385510693125</v>
      </c>
      <c r="P203" s="13">
        <v>0.7965816966408451</v>
      </c>
      <c r="Q203" s="13">
        <v>-1.0419275187715973</v>
      </c>
    </row>
    <row r="204" spans="1:17" x14ac:dyDescent="0.25">
      <c r="A204" s="3">
        <v>1.23766146544926E+18</v>
      </c>
      <c r="B204" s="3">
        <v>235.70382000000001</v>
      </c>
      <c r="C204" s="3">
        <v>35.608454000000002</v>
      </c>
      <c r="D204" s="3">
        <v>0.1979485</v>
      </c>
      <c r="E204" s="3">
        <v>2.2013800000000003</v>
      </c>
      <c r="F204" s="3">
        <v>3.4901699999999991</v>
      </c>
      <c r="G204" s="3">
        <v>3.9713100000000026</v>
      </c>
      <c r="H204" s="3">
        <v>4.3166800000000016</v>
      </c>
      <c r="I204" s="3">
        <v>1.2887899999999988</v>
      </c>
      <c r="J204" s="3">
        <v>1.7699300000000022</v>
      </c>
      <c r="K204" s="3">
        <v>2.1153000000000013</v>
      </c>
      <c r="L204" s="3">
        <v>0.48114000000000345</v>
      </c>
      <c r="M204" s="3">
        <v>0.82651000000000252</v>
      </c>
      <c r="N204" s="3">
        <v>0.34536999999999907</v>
      </c>
      <c r="O204" s="13">
        <v>1.0513552552252654</v>
      </c>
      <c r="P204" s="13">
        <v>-1.0464285463895713</v>
      </c>
      <c r="Q204" s="13">
        <v>-2.3267973203085539</v>
      </c>
    </row>
    <row r="205" spans="1:17" x14ac:dyDescent="0.25">
      <c r="A205" s="3">
        <v>1.23766146544926E+18</v>
      </c>
      <c r="B205" s="3">
        <v>235.649</v>
      </c>
      <c r="C205" s="3">
        <v>35.640408999999998</v>
      </c>
      <c r="D205" s="3">
        <v>0.19845309999999999</v>
      </c>
      <c r="E205" s="3">
        <v>2.2846299999999999</v>
      </c>
      <c r="F205" s="3">
        <v>3.5952300000000008</v>
      </c>
      <c r="G205" s="3">
        <v>4.1055100000000024</v>
      </c>
      <c r="H205" s="3">
        <v>4.4497500000000016</v>
      </c>
      <c r="I205" s="3">
        <v>1.3106000000000009</v>
      </c>
      <c r="J205" s="3">
        <v>1.8208800000000025</v>
      </c>
      <c r="K205" s="3">
        <v>2.1651200000000017</v>
      </c>
      <c r="L205" s="3">
        <v>0.51028000000000162</v>
      </c>
      <c r="M205" s="3">
        <v>0.85452000000000083</v>
      </c>
      <c r="N205" s="3">
        <v>0.34423999999999921</v>
      </c>
      <c r="O205" s="13">
        <v>0.8711522763833508</v>
      </c>
      <c r="P205" s="13">
        <v>-1.1631932988652587</v>
      </c>
      <c r="Q205" s="13">
        <v>-2.3682398897839185</v>
      </c>
    </row>
    <row r="206" spans="1:17" x14ac:dyDescent="0.25">
      <c r="A206" s="3">
        <v>1.23766146544926E+18</v>
      </c>
      <c r="B206" s="3">
        <v>235.67659</v>
      </c>
      <c r="C206" s="3">
        <v>35.636592999999998</v>
      </c>
      <c r="D206" s="3">
        <v>0.2013752</v>
      </c>
      <c r="E206" s="3">
        <v>2.257439999999999</v>
      </c>
      <c r="F206" s="3">
        <v>3.566869999999998</v>
      </c>
      <c r="G206" s="3">
        <v>4.0487800000000007</v>
      </c>
      <c r="H206" s="3">
        <v>4.3886199999999995</v>
      </c>
      <c r="I206" s="3">
        <v>1.309429999999999</v>
      </c>
      <c r="J206" s="3">
        <v>1.7913400000000017</v>
      </c>
      <c r="K206" s="3">
        <v>2.1311800000000005</v>
      </c>
      <c r="L206" s="3">
        <v>0.48191000000000273</v>
      </c>
      <c r="M206" s="3">
        <v>0.82175000000000153</v>
      </c>
      <c r="N206" s="3">
        <v>0.33983999999999881</v>
      </c>
      <c r="O206" s="13">
        <v>0.98193127315582796</v>
      </c>
      <c r="P206" s="13">
        <v>-1.1431125777209736</v>
      </c>
      <c r="Q206" s="13">
        <v>-2.3185909212737101</v>
      </c>
    </row>
    <row r="207" spans="1:17" x14ac:dyDescent="0.25">
      <c r="A207" s="3">
        <v>1.2376625032187699E+18</v>
      </c>
      <c r="B207" s="3">
        <v>236.02516</v>
      </c>
      <c r="C207" s="3">
        <v>36.245784999999998</v>
      </c>
      <c r="D207" s="3">
        <v>0.20959079999999999</v>
      </c>
      <c r="E207" s="3">
        <v>3.0420400000000001</v>
      </c>
      <c r="F207" s="3">
        <v>4.3038300000000014</v>
      </c>
      <c r="G207" s="3">
        <v>4.801639999999999</v>
      </c>
      <c r="H207" s="3">
        <v>5.087769999999999</v>
      </c>
      <c r="I207" s="3">
        <v>1.2617900000000013</v>
      </c>
      <c r="J207" s="3">
        <v>1.7595999999999989</v>
      </c>
      <c r="K207" s="3">
        <v>2.0457299999999989</v>
      </c>
      <c r="L207" s="3">
        <v>0.49780999999999764</v>
      </c>
      <c r="M207" s="3">
        <v>0.78393999999999764</v>
      </c>
      <c r="N207" s="3">
        <v>0.28613</v>
      </c>
      <c r="O207" s="13">
        <v>0.53127545793081155</v>
      </c>
      <c r="P207" s="13">
        <v>-2.2289706547699648</v>
      </c>
      <c r="Q207" s="13">
        <v>5.2752659942796364E-3</v>
      </c>
    </row>
    <row r="208" spans="1:17" x14ac:dyDescent="0.25">
      <c r="A208" s="3">
        <v>1.2376614659863301E+18</v>
      </c>
      <c r="B208" s="3">
        <v>236.37148999999999</v>
      </c>
      <c r="C208" s="3">
        <v>35.601492999999998</v>
      </c>
      <c r="D208" s="3">
        <v>0.2339638</v>
      </c>
      <c r="E208" s="3">
        <v>2.0141499999999972</v>
      </c>
      <c r="F208" s="3">
        <v>3.2360499999999988</v>
      </c>
      <c r="G208" s="3">
        <v>3.6849499999999971</v>
      </c>
      <c r="H208" s="3">
        <v>3.986699999999999</v>
      </c>
      <c r="I208" s="3">
        <v>1.2219000000000015</v>
      </c>
      <c r="J208" s="3">
        <v>1.6707999999999998</v>
      </c>
      <c r="K208" s="3">
        <v>1.9725500000000018</v>
      </c>
      <c r="L208" s="3">
        <v>0.4488999999999983</v>
      </c>
      <c r="M208" s="3">
        <v>0.75065000000000026</v>
      </c>
      <c r="N208" s="3">
        <v>0.30175000000000196</v>
      </c>
      <c r="O208" s="13">
        <v>1.3745371693356871</v>
      </c>
      <c r="P208" s="13">
        <v>-0.7902480492745203</v>
      </c>
      <c r="Q208" s="13">
        <v>-0.92843617116102983</v>
      </c>
    </row>
    <row r="209" spans="1:17" x14ac:dyDescent="0.25">
      <c r="A209" s="3">
        <v>1.23766250321903E+18</v>
      </c>
      <c r="B209" s="3">
        <v>236.69649999999999</v>
      </c>
      <c r="C209" s="3">
        <v>35.871439000000002</v>
      </c>
      <c r="D209" s="3">
        <v>0.23580789999999999</v>
      </c>
      <c r="E209" s="3">
        <v>3.4041400000000017</v>
      </c>
      <c r="F209" s="3">
        <v>4.8036400000000015</v>
      </c>
      <c r="G209" s="3">
        <v>5.316040000000001</v>
      </c>
      <c r="H209" s="3">
        <v>5.662110000000002</v>
      </c>
      <c r="I209" s="3">
        <v>1.3994999999999997</v>
      </c>
      <c r="J209" s="3">
        <v>1.9118999999999993</v>
      </c>
      <c r="K209" s="3">
        <v>2.2579700000000003</v>
      </c>
      <c r="L209" s="3">
        <v>0.51239999999999952</v>
      </c>
      <c r="M209" s="3">
        <v>0.85847000000000051</v>
      </c>
      <c r="N209" s="3">
        <v>0.34607000000000099</v>
      </c>
      <c r="O209" s="13">
        <v>-0.35830930016389656</v>
      </c>
      <c r="P209" s="13">
        <v>-2.9260650964591224</v>
      </c>
      <c r="Q209" s="13">
        <v>0.48143957491862915</v>
      </c>
    </row>
    <row r="210" spans="1:17" x14ac:dyDescent="0.25">
      <c r="A210" s="3">
        <v>1.23766250321903E+18</v>
      </c>
      <c r="B210" s="3">
        <v>236.69649999999999</v>
      </c>
      <c r="C210" s="3">
        <v>35.871439000000002</v>
      </c>
      <c r="D210" s="3">
        <v>0.23584040000000001</v>
      </c>
      <c r="E210" s="3">
        <v>3.4041400000000017</v>
      </c>
      <c r="F210" s="3">
        <v>4.8036400000000015</v>
      </c>
      <c r="G210" s="3">
        <v>5.316040000000001</v>
      </c>
      <c r="H210" s="3">
        <v>5.662110000000002</v>
      </c>
      <c r="I210" s="3">
        <v>1.3994999999999997</v>
      </c>
      <c r="J210" s="3">
        <v>1.9118999999999993</v>
      </c>
      <c r="K210" s="3">
        <v>2.2579700000000003</v>
      </c>
      <c r="L210" s="3">
        <v>0.51239999999999952</v>
      </c>
      <c r="M210" s="3">
        <v>0.85847000000000051</v>
      </c>
      <c r="N210" s="3">
        <v>0.34607000000000099</v>
      </c>
      <c r="O210" s="13">
        <v>-0.35835063086972657</v>
      </c>
      <c r="P210" s="13">
        <v>-2.9260410289468681</v>
      </c>
      <c r="Q210" s="13">
        <v>0.48143682962357159</v>
      </c>
    </row>
    <row r="211" spans="1:17" x14ac:dyDescent="0.25">
      <c r="A211" s="3">
        <v>1.2376624731543301E+18</v>
      </c>
      <c r="B211" s="3">
        <v>236.62612999999999</v>
      </c>
      <c r="C211" s="3">
        <v>35.709646999999997</v>
      </c>
      <c r="D211" s="3">
        <v>0.23622180000000001</v>
      </c>
      <c r="E211" s="3">
        <v>2.3283699999999996</v>
      </c>
      <c r="F211" s="3">
        <v>3.6655599999999993</v>
      </c>
      <c r="G211" s="3">
        <v>4.2255800000000008</v>
      </c>
      <c r="H211" s="3">
        <v>4.5485500000000023</v>
      </c>
      <c r="I211" s="3">
        <v>1.3371899999999997</v>
      </c>
      <c r="J211" s="3">
        <v>1.8972100000000012</v>
      </c>
      <c r="K211" s="3">
        <v>2.2201800000000027</v>
      </c>
      <c r="L211" s="3">
        <v>0.56002000000000152</v>
      </c>
      <c r="M211" s="3">
        <v>0.88299000000000305</v>
      </c>
      <c r="N211" s="3">
        <v>0.32297000000000153</v>
      </c>
      <c r="O211" s="13">
        <v>0.45839450581299895</v>
      </c>
      <c r="P211" s="13">
        <v>-1.2433495105494758</v>
      </c>
      <c r="Q211" s="13">
        <v>-0.14178012532955961</v>
      </c>
    </row>
    <row r="212" spans="1:17" x14ac:dyDescent="0.25">
      <c r="A212" s="3">
        <v>1.2376625037557701E+18</v>
      </c>
      <c r="B212" s="3">
        <v>236.66681</v>
      </c>
      <c r="C212" s="3">
        <v>36.425516000000002</v>
      </c>
      <c r="D212" s="3">
        <v>0.2362708</v>
      </c>
      <c r="E212" s="3">
        <v>2.2108799999999995</v>
      </c>
      <c r="F212" s="3">
        <v>3.607800000000001</v>
      </c>
      <c r="G212" s="3">
        <v>4.1373899999999999</v>
      </c>
      <c r="H212" s="3">
        <v>4.4686000000000021</v>
      </c>
      <c r="I212" s="3">
        <v>1.3969200000000015</v>
      </c>
      <c r="J212" s="3">
        <v>1.9265100000000004</v>
      </c>
      <c r="K212" s="3">
        <v>2.2577200000000026</v>
      </c>
      <c r="L212" s="3">
        <v>0.52958999999999889</v>
      </c>
      <c r="M212" s="3">
        <v>0.86080000000000112</v>
      </c>
      <c r="N212" s="3">
        <v>0.33121000000000222</v>
      </c>
      <c r="O212" s="13">
        <v>0.41111087237493454</v>
      </c>
      <c r="P212" s="13">
        <v>-0.8941074395394818</v>
      </c>
      <c r="Q212" s="13">
        <v>1.7174015658615642</v>
      </c>
    </row>
    <row r="213" spans="1:17" x14ac:dyDescent="0.25">
      <c r="A213" s="3">
        <v>1.2376625032190999E+18</v>
      </c>
      <c r="B213" s="3">
        <v>236.73854</v>
      </c>
      <c r="C213" s="3">
        <v>35.800010999999998</v>
      </c>
      <c r="D213" s="3">
        <v>0.23821419999999999</v>
      </c>
      <c r="E213" s="3">
        <v>2.4824899999999985</v>
      </c>
      <c r="F213" s="3">
        <v>3.9254099999999994</v>
      </c>
      <c r="G213" s="3">
        <v>4.4469199999999987</v>
      </c>
      <c r="H213" s="3">
        <v>4.7880900000000004</v>
      </c>
      <c r="I213" s="3">
        <v>1.4429200000000009</v>
      </c>
      <c r="J213" s="3">
        <v>1.9644300000000001</v>
      </c>
      <c r="K213" s="3">
        <v>2.3056000000000019</v>
      </c>
      <c r="L213" s="3">
        <v>0.52150999999999925</v>
      </c>
      <c r="M213" s="3">
        <v>0.862680000000001</v>
      </c>
      <c r="N213" s="3">
        <v>0.34117000000000175</v>
      </c>
      <c r="O213" s="13">
        <v>0.1598406146405239</v>
      </c>
      <c r="P213" s="13">
        <v>-1.5331173873487849</v>
      </c>
      <c r="Q213" s="13">
        <v>0.30826792604330633</v>
      </c>
    </row>
    <row r="214" spans="1:17" x14ac:dyDescent="0.25">
      <c r="A214" s="3">
        <v>1.23766247422781E+18</v>
      </c>
      <c r="B214" s="3">
        <v>236.69372000000001</v>
      </c>
      <c r="C214" s="3">
        <v>36.614590999999997</v>
      </c>
      <c r="D214" s="3">
        <v>0.23877319999999999</v>
      </c>
      <c r="E214" s="3">
        <v>2.4645100000000006</v>
      </c>
      <c r="F214" s="3">
        <v>3.9393199999999986</v>
      </c>
      <c r="G214" s="3">
        <v>4.4637799999999999</v>
      </c>
      <c r="H214" s="3">
        <v>4.8447700000000005</v>
      </c>
      <c r="I214" s="3">
        <v>1.474809999999998</v>
      </c>
      <c r="J214" s="3">
        <v>1.9992699999999992</v>
      </c>
      <c r="K214" s="3">
        <v>2.3802599999999998</v>
      </c>
      <c r="L214" s="3">
        <v>0.52446000000000126</v>
      </c>
      <c r="M214" s="3">
        <v>0.90545000000000186</v>
      </c>
      <c r="N214" s="3">
        <v>0.38099000000000061</v>
      </c>
      <c r="O214" s="13">
        <v>-8.2907065883252598E-2</v>
      </c>
      <c r="P214" s="13">
        <v>-1.2246395579118701</v>
      </c>
      <c r="Q214" s="13">
        <v>2.253511915458259</v>
      </c>
    </row>
    <row r="215" spans="1:17" x14ac:dyDescent="0.25">
      <c r="A215" s="3">
        <v>1.2376624742279401E+18</v>
      </c>
      <c r="B215" s="3">
        <v>236.82987</v>
      </c>
      <c r="C215" s="3">
        <v>36.408512000000002</v>
      </c>
      <c r="D215" s="3">
        <v>0.2395236</v>
      </c>
      <c r="E215" s="3">
        <v>2.4379600000000003</v>
      </c>
      <c r="F215" s="3">
        <v>3.847999999999999</v>
      </c>
      <c r="G215" s="3">
        <v>4.3681899999999985</v>
      </c>
      <c r="H215" s="3">
        <v>4.6820599999999999</v>
      </c>
      <c r="I215" s="3">
        <v>1.4100399999999986</v>
      </c>
      <c r="J215" s="3">
        <v>1.9302299999999981</v>
      </c>
      <c r="K215" s="3">
        <v>2.2440999999999995</v>
      </c>
      <c r="L215" s="3">
        <v>0.52018999999999949</v>
      </c>
      <c r="M215" s="3">
        <v>0.83406000000000091</v>
      </c>
      <c r="N215" s="3">
        <v>0.31387000000000143</v>
      </c>
      <c r="O215" s="13">
        <v>0.27443285106041809</v>
      </c>
      <c r="P215" s="13">
        <v>-1.2980147097885728</v>
      </c>
      <c r="Q215" s="13">
        <v>2.0293294652322178</v>
      </c>
    </row>
    <row r="216" spans="1:17" x14ac:dyDescent="0.25">
      <c r="A216" s="3">
        <v>1.2376624736909299E+18</v>
      </c>
      <c r="B216" s="3">
        <v>236.43597</v>
      </c>
      <c r="C216" s="3">
        <v>36.348287999999997</v>
      </c>
      <c r="D216" s="3">
        <v>0.25721880000000003</v>
      </c>
      <c r="E216" s="3">
        <v>2.6029399999999967</v>
      </c>
      <c r="F216" s="3">
        <v>3.9229699999999994</v>
      </c>
      <c r="G216" s="3">
        <v>4.4588699999999974</v>
      </c>
      <c r="H216" s="3">
        <v>4.8461599999999976</v>
      </c>
      <c r="I216" s="3">
        <v>1.3200300000000027</v>
      </c>
      <c r="J216" s="3">
        <v>1.8559300000000007</v>
      </c>
      <c r="K216" s="3">
        <v>2.2432200000000009</v>
      </c>
      <c r="L216" s="3">
        <v>0.53589999999999804</v>
      </c>
      <c r="M216" s="3">
        <v>0.92318999999999818</v>
      </c>
      <c r="N216" s="3">
        <v>0.38729000000000013</v>
      </c>
      <c r="O216" s="13">
        <v>0.14561288190319624</v>
      </c>
      <c r="P216" s="13">
        <v>-1.3751794824372141</v>
      </c>
      <c r="Q216" s="13">
        <v>1.0988665199636845</v>
      </c>
    </row>
    <row r="217" spans="1:17" x14ac:dyDescent="0.25">
      <c r="A217" s="3">
        <v>1.23766247369087E+18</v>
      </c>
      <c r="B217" s="3">
        <v>236.25602000000001</v>
      </c>
      <c r="C217" s="3">
        <v>36.389923000000003</v>
      </c>
      <c r="D217" s="3">
        <v>0.25745659999999998</v>
      </c>
      <c r="E217" s="3">
        <v>1.9364800000000031</v>
      </c>
      <c r="F217" s="3">
        <v>3.2966500000000032</v>
      </c>
      <c r="G217" s="3">
        <v>3.7421300000000031</v>
      </c>
      <c r="H217" s="3">
        <v>4.0819100000000006</v>
      </c>
      <c r="I217" s="3">
        <v>1.3601700000000001</v>
      </c>
      <c r="J217" s="3">
        <v>1.80565</v>
      </c>
      <c r="K217" s="3">
        <v>2.1454299999999975</v>
      </c>
      <c r="L217" s="3">
        <v>0.44547999999999988</v>
      </c>
      <c r="M217" s="3">
        <v>0.7852599999999974</v>
      </c>
      <c r="N217" s="3">
        <v>0.33977999999999753</v>
      </c>
      <c r="O217" s="13">
        <v>0.95802775437781051</v>
      </c>
      <c r="P217" s="13">
        <v>-0.45494313614330595</v>
      </c>
      <c r="Q217" s="13">
        <v>0.75998343467607965</v>
      </c>
    </row>
    <row r="218" spans="1:17" x14ac:dyDescent="0.25">
      <c r="A218" s="3">
        <v>1.2376624736909299E+18</v>
      </c>
      <c r="B218" s="3">
        <v>236.41346999999999</v>
      </c>
      <c r="C218" s="3">
        <v>36.29289</v>
      </c>
      <c r="D218" s="3">
        <v>0.26477699999999998</v>
      </c>
      <c r="E218" s="3">
        <v>2.4743199999999987</v>
      </c>
      <c r="F218" s="3">
        <v>4.0369299999999981</v>
      </c>
      <c r="G218" s="3">
        <v>4.6017900000000012</v>
      </c>
      <c r="H218" s="3">
        <v>4.9741999999999997</v>
      </c>
      <c r="I218" s="3">
        <v>1.5626099999999994</v>
      </c>
      <c r="J218" s="3">
        <v>2.1274700000000024</v>
      </c>
      <c r="K218" s="3">
        <v>2.499880000000001</v>
      </c>
      <c r="L218" s="3">
        <v>0.56486000000000303</v>
      </c>
      <c r="M218" s="3">
        <v>0.9372700000000016</v>
      </c>
      <c r="N218" s="3">
        <v>0.37240999999999858</v>
      </c>
      <c r="O218" s="13">
        <v>-0.32449224403681926</v>
      </c>
      <c r="P218" s="13">
        <v>-1.3517393198767074</v>
      </c>
      <c r="Q218" s="13">
        <v>0.81413440248984215</v>
      </c>
    </row>
    <row r="219" spans="1:17" x14ac:dyDescent="0.25">
      <c r="A219" s="3">
        <v>1.2376624736909299E+18</v>
      </c>
      <c r="B219" s="3">
        <v>236.41346999999999</v>
      </c>
      <c r="C219" s="3">
        <v>36.29289</v>
      </c>
      <c r="D219" s="3">
        <v>0.2648836</v>
      </c>
      <c r="E219" s="3">
        <v>2.4743199999999987</v>
      </c>
      <c r="F219" s="3">
        <v>4.0369299999999981</v>
      </c>
      <c r="G219" s="3">
        <v>4.6017900000000012</v>
      </c>
      <c r="H219" s="3">
        <v>4.9741999999999997</v>
      </c>
      <c r="I219" s="3">
        <v>1.5626099999999994</v>
      </c>
      <c r="J219" s="3">
        <v>2.1274700000000024</v>
      </c>
      <c r="K219" s="3">
        <v>2.499880000000001</v>
      </c>
      <c r="L219" s="3">
        <v>0.56486000000000303</v>
      </c>
      <c r="M219" s="3">
        <v>0.9372700000000016</v>
      </c>
      <c r="N219" s="3">
        <v>0.37240999999999858</v>
      </c>
      <c r="O219" s="13">
        <v>-0.32462780875194247</v>
      </c>
      <c r="P219" s="13">
        <v>-1.3516603784365229</v>
      </c>
      <c r="Q219" s="13">
        <v>0.8141253979220533</v>
      </c>
    </row>
    <row r="220" spans="1:17" x14ac:dyDescent="0.25">
      <c r="A220" s="3">
        <v>1.2376625032189701E+18</v>
      </c>
      <c r="B220" s="3">
        <v>236.53385</v>
      </c>
      <c r="C220" s="3">
        <v>35.987147</v>
      </c>
      <c r="D220" s="3">
        <v>0.26629720000000001</v>
      </c>
      <c r="E220" s="3">
        <v>2.9057300000000019</v>
      </c>
      <c r="F220" s="3">
        <v>4.3655100000000004</v>
      </c>
      <c r="G220" s="3">
        <v>4.9076400000000007</v>
      </c>
      <c r="H220" s="3">
        <v>5.2702600000000004</v>
      </c>
      <c r="I220" s="3">
        <v>1.4597799999999985</v>
      </c>
      <c r="J220" s="3">
        <v>2.0019099999999987</v>
      </c>
      <c r="K220" s="3">
        <v>2.3645299999999985</v>
      </c>
      <c r="L220" s="3">
        <v>0.54213000000000022</v>
      </c>
      <c r="M220" s="3">
        <v>0.90474999999999994</v>
      </c>
      <c r="N220" s="3">
        <v>0.36261999999999972</v>
      </c>
      <c r="O220" s="13">
        <v>-0.30237468628434711</v>
      </c>
      <c r="P220" s="13">
        <v>-2.0809510046357356</v>
      </c>
      <c r="Q220" s="13">
        <v>0.36836327698801941</v>
      </c>
    </row>
    <row r="221" spans="1:17" x14ac:dyDescent="0.25">
      <c r="A221" s="3">
        <v>1.23766250321903E+18</v>
      </c>
      <c r="B221" s="3">
        <v>236.61454000000001</v>
      </c>
      <c r="C221" s="3">
        <v>35.767434000000002</v>
      </c>
      <c r="D221" s="3">
        <v>0.28825440000000002</v>
      </c>
      <c r="E221" s="3">
        <v>3.2210099999999997</v>
      </c>
      <c r="F221" s="3">
        <v>4.8073300000000003</v>
      </c>
      <c r="G221" s="3">
        <v>5.3741699999999994</v>
      </c>
      <c r="H221" s="3">
        <v>5.724890000000002</v>
      </c>
      <c r="I221" s="3">
        <v>1.5863200000000006</v>
      </c>
      <c r="J221" s="3">
        <v>2.1531599999999997</v>
      </c>
      <c r="K221" s="3">
        <v>2.5038800000000023</v>
      </c>
      <c r="L221" s="3">
        <v>0.56683999999999912</v>
      </c>
      <c r="M221" s="3">
        <v>0.91756000000000171</v>
      </c>
      <c r="N221" s="3">
        <v>0.35072000000000259</v>
      </c>
      <c r="O221" s="13">
        <v>-0.84931027961399641</v>
      </c>
      <c r="P221" s="13">
        <v>-2.7161954652391849</v>
      </c>
      <c r="Q221" s="13">
        <v>-3.8901577358283979E-2</v>
      </c>
    </row>
    <row r="222" spans="1:17" x14ac:dyDescent="0.25">
      <c r="A222" s="3">
        <v>1.2376625032190999E+18</v>
      </c>
      <c r="B222" s="3">
        <v>236.73940999999999</v>
      </c>
      <c r="C222" s="3">
        <v>35.715127000000003</v>
      </c>
      <c r="D222" s="3">
        <v>0.2883522</v>
      </c>
      <c r="E222" s="3">
        <v>1.9844200000000001</v>
      </c>
      <c r="F222" s="3">
        <v>3.6732200000000006</v>
      </c>
      <c r="G222" s="3">
        <v>4.28782</v>
      </c>
      <c r="H222" s="3">
        <v>4.6279900000000005</v>
      </c>
      <c r="I222" s="3">
        <v>1.6888000000000005</v>
      </c>
      <c r="J222" s="3">
        <v>2.3033999999999999</v>
      </c>
      <c r="K222" s="3">
        <v>2.6435700000000004</v>
      </c>
      <c r="L222" s="3">
        <v>0.61459999999999937</v>
      </c>
      <c r="M222" s="3">
        <v>0.9547699999999999</v>
      </c>
      <c r="N222" s="3">
        <v>0.34017000000000053</v>
      </c>
      <c r="O222" s="13">
        <v>-0.35570577626561484</v>
      </c>
      <c r="P222" s="13">
        <v>-0.85349545434476137</v>
      </c>
      <c r="Q222" s="13">
        <v>-3.6738377969968601E-2</v>
      </c>
    </row>
    <row r="223" spans="1:17" x14ac:dyDescent="0.25">
      <c r="A223" s="3">
        <v>1.23766233786351E+18</v>
      </c>
      <c r="B223" s="3">
        <v>235.69716</v>
      </c>
      <c r="C223" s="3">
        <v>35.924909999999997</v>
      </c>
      <c r="D223" s="3">
        <v>0.29949320000000001</v>
      </c>
      <c r="E223" s="3">
        <v>1.6748899999999978</v>
      </c>
      <c r="F223" s="3">
        <v>3.2297599999999989</v>
      </c>
      <c r="G223" s="3">
        <v>3.8274599999999985</v>
      </c>
      <c r="H223" s="3">
        <v>4.1429000000000009</v>
      </c>
      <c r="I223" s="3">
        <v>1.5548700000000011</v>
      </c>
      <c r="J223" s="3">
        <v>2.1525700000000008</v>
      </c>
      <c r="K223" s="3">
        <v>2.4680100000000031</v>
      </c>
      <c r="L223" s="3">
        <v>0.59769999999999968</v>
      </c>
      <c r="M223" s="3">
        <v>0.91314000000000206</v>
      </c>
      <c r="N223" s="3">
        <v>0.31544000000000239</v>
      </c>
      <c r="O223" s="13">
        <v>0.42969500231252428</v>
      </c>
      <c r="P223" s="13">
        <v>-0.20110252206981122</v>
      </c>
      <c r="Q223" s="13">
        <v>-1.7043447167361279</v>
      </c>
    </row>
    <row r="224" spans="1:17" x14ac:dyDescent="0.25">
      <c r="A224" s="3">
        <v>1.2376614659861299E+18</v>
      </c>
      <c r="B224" s="3">
        <v>235.96209999999999</v>
      </c>
      <c r="C224" s="3">
        <v>35.962665999999999</v>
      </c>
      <c r="D224" s="3">
        <v>0.30099890000000001</v>
      </c>
      <c r="E224" s="3">
        <v>2.1287099999999981</v>
      </c>
      <c r="F224" s="3">
        <v>3.7531299999999987</v>
      </c>
      <c r="G224" s="3">
        <v>4.3479199999999985</v>
      </c>
      <c r="H224" s="3">
        <v>4.7133499999999984</v>
      </c>
      <c r="I224" s="3">
        <v>1.6244200000000006</v>
      </c>
      <c r="J224" s="3">
        <v>2.2192100000000003</v>
      </c>
      <c r="K224" s="3">
        <v>2.5846400000000003</v>
      </c>
      <c r="L224" s="3">
        <v>0.59478999999999971</v>
      </c>
      <c r="M224" s="3">
        <v>0.96021999999999963</v>
      </c>
      <c r="N224" s="3">
        <v>0.36542999999999992</v>
      </c>
      <c r="O224" s="13">
        <v>-0.22171105523682608</v>
      </c>
      <c r="P224" s="13">
        <v>-0.89522189868663549</v>
      </c>
      <c r="Q224" s="13">
        <v>-1.0256999508590727</v>
      </c>
    </row>
    <row r="225" spans="1:17" x14ac:dyDescent="0.25">
      <c r="A225" s="3">
        <v>1.23766247422787E+18</v>
      </c>
      <c r="B225" s="3">
        <v>236.78161</v>
      </c>
      <c r="C225" s="3">
        <v>36.562370999999999</v>
      </c>
      <c r="D225" s="3">
        <v>0.30350939999999998</v>
      </c>
      <c r="E225" s="3">
        <v>0.24552999999999869</v>
      </c>
      <c r="F225" s="3">
        <v>0.6769299999999987</v>
      </c>
      <c r="G225" s="3">
        <v>0.79037999999999897</v>
      </c>
      <c r="H225" s="3">
        <v>1.2114800000000017</v>
      </c>
      <c r="I225" s="3">
        <v>0.43140000000000001</v>
      </c>
      <c r="J225" s="3">
        <v>0.54485000000000028</v>
      </c>
      <c r="K225" s="3">
        <v>0.96595000000000297</v>
      </c>
      <c r="L225" s="3">
        <v>0.11345000000000027</v>
      </c>
      <c r="M225" s="3">
        <v>0.53455000000000297</v>
      </c>
      <c r="N225" s="3">
        <v>0.42110000000000269</v>
      </c>
      <c r="O225" s="13">
        <v>4.6638194783135072</v>
      </c>
      <c r="P225" s="13">
        <v>2.8004721951426959</v>
      </c>
      <c r="Q225" s="13">
        <v>2.5536159415960111</v>
      </c>
    </row>
    <row r="226" spans="1:17" x14ac:dyDescent="0.25">
      <c r="A226" s="3">
        <v>1.2376623378635799E+18</v>
      </c>
      <c r="B226" s="3">
        <v>235.74054000000001</v>
      </c>
      <c r="C226" s="3">
        <v>35.712043000000001</v>
      </c>
      <c r="D226" s="3">
        <v>0.30387370000000002</v>
      </c>
      <c r="E226" s="3">
        <v>1.7891200000000005</v>
      </c>
      <c r="F226" s="3">
        <v>3.4290900000000022</v>
      </c>
      <c r="G226" s="3">
        <v>4.0108800000000002</v>
      </c>
      <c r="H226" s="3">
        <v>4.3766999999999996</v>
      </c>
      <c r="I226" s="3">
        <v>1.6399700000000017</v>
      </c>
      <c r="J226" s="3">
        <v>2.2217599999999997</v>
      </c>
      <c r="K226" s="3">
        <v>2.5875799999999991</v>
      </c>
      <c r="L226" s="3">
        <v>0.58178999999999803</v>
      </c>
      <c r="M226" s="3">
        <v>0.9476099999999974</v>
      </c>
      <c r="N226" s="3">
        <v>0.36581999999999937</v>
      </c>
      <c r="O226" s="13">
        <v>7.4346302346978643E-2</v>
      </c>
      <c r="P226" s="13">
        <v>-0.44398039101725223</v>
      </c>
      <c r="Q226" s="13">
        <v>-2.1524379154390201</v>
      </c>
    </row>
    <row r="227" spans="1:17" x14ac:dyDescent="0.25">
      <c r="A227" s="3">
        <v>1.2376625032190999E+18</v>
      </c>
      <c r="B227" s="3">
        <v>236.79615000000001</v>
      </c>
      <c r="C227" s="3">
        <v>35.734476000000001</v>
      </c>
      <c r="D227" s="3">
        <v>0.30845939999999999</v>
      </c>
      <c r="E227" s="3">
        <v>2.650269999999999</v>
      </c>
      <c r="F227" s="3">
        <v>4.2831200000000003</v>
      </c>
      <c r="G227" s="3">
        <v>4.830449999999999</v>
      </c>
      <c r="H227" s="3">
        <v>5.240470000000002</v>
      </c>
      <c r="I227" s="3">
        <v>1.6328500000000012</v>
      </c>
      <c r="J227" s="3">
        <v>2.18018</v>
      </c>
      <c r="K227" s="3">
        <v>2.5902000000000029</v>
      </c>
      <c r="L227" s="3">
        <v>0.54732999999999876</v>
      </c>
      <c r="M227" s="3">
        <v>0.9573500000000017</v>
      </c>
      <c r="N227" s="3">
        <v>0.41002000000000294</v>
      </c>
      <c r="O227" s="13">
        <v>-0.73325635038902803</v>
      </c>
      <c r="P227" s="13">
        <v>-1.7893392606751981</v>
      </c>
      <c r="Q227" s="13">
        <v>0.22245526938798948</v>
      </c>
    </row>
    <row r="228" spans="1:17" x14ac:dyDescent="0.25">
      <c r="A228" s="3">
        <v>1.2376625032189701E+18</v>
      </c>
      <c r="B228" s="3">
        <v>236.59179</v>
      </c>
      <c r="C228" s="3">
        <v>35.966366000000001</v>
      </c>
      <c r="D228" s="3">
        <v>0.31038009999999999</v>
      </c>
      <c r="E228" s="3">
        <v>2.591070000000002</v>
      </c>
      <c r="F228" s="3">
        <v>4.4189399999999992</v>
      </c>
      <c r="G228" s="3">
        <v>5.3076800000000013</v>
      </c>
      <c r="H228" s="3">
        <v>5.8498400000000004</v>
      </c>
      <c r="I228" s="3">
        <v>1.8278699999999972</v>
      </c>
      <c r="J228" s="3">
        <v>2.7166099999999993</v>
      </c>
      <c r="K228" s="3">
        <v>3.2587699999999984</v>
      </c>
      <c r="L228" s="3">
        <v>0.88874000000000208</v>
      </c>
      <c r="M228" s="3">
        <v>1.4309000000000012</v>
      </c>
      <c r="N228" s="3">
        <v>0.54215999999999909</v>
      </c>
      <c r="O228" s="13">
        <v>-2.5079588578674583</v>
      </c>
      <c r="P228" s="13">
        <v>-1.3661171466805941</v>
      </c>
      <c r="Q228" s="13">
        <v>0.29031841544380699</v>
      </c>
    </row>
    <row r="229" spans="1:17" x14ac:dyDescent="0.25">
      <c r="A229" s="3">
        <v>1.2376614659861299E+18</v>
      </c>
      <c r="B229" s="3">
        <v>235.90937</v>
      </c>
      <c r="C229" s="3">
        <v>36.018816999999999</v>
      </c>
      <c r="D229" s="3">
        <v>0.31236789999999998</v>
      </c>
      <c r="E229" s="3">
        <v>2.5473800000000004</v>
      </c>
      <c r="F229" s="3">
        <v>4.1222999999999992</v>
      </c>
      <c r="G229" s="3">
        <v>4.7533799999999999</v>
      </c>
      <c r="H229" s="3">
        <v>5.0141400000000012</v>
      </c>
      <c r="I229" s="3">
        <v>1.5749199999999988</v>
      </c>
      <c r="J229" s="3">
        <v>2.2059999999999995</v>
      </c>
      <c r="K229" s="3">
        <v>2.4667600000000007</v>
      </c>
      <c r="L229" s="3">
        <v>0.63108000000000075</v>
      </c>
      <c r="M229" s="3">
        <v>0.89184000000000196</v>
      </c>
      <c r="N229" s="3">
        <v>0.26076000000000121</v>
      </c>
      <c r="O229" s="13">
        <v>-0.21066264134130805</v>
      </c>
      <c r="P229" s="13">
        <v>-1.6071121955742302</v>
      </c>
      <c r="Q229" s="13">
        <v>-0.98122045197939889</v>
      </c>
    </row>
    <row r="230" spans="1:17" x14ac:dyDescent="0.25">
      <c r="A230" s="3">
        <v>1.2376624736911301E+18</v>
      </c>
      <c r="B230" s="3">
        <v>236.80857</v>
      </c>
      <c r="C230" s="3">
        <v>36.059871999999999</v>
      </c>
      <c r="D230" s="3">
        <v>0.31662200000000001</v>
      </c>
      <c r="E230" s="3">
        <v>2.6532499999999999</v>
      </c>
      <c r="F230" s="3">
        <v>4.4090200000000017</v>
      </c>
      <c r="G230" s="3">
        <v>5.0525400000000005</v>
      </c>
      <c r="H230" s="3">
        <v>5.5060299999999991</v>
      </c>
      <c r="I230" s="3">
        <v>1.7557700000000018</v>
      </c>
      <c r="J230" s="3">
        <v>2.3992900000000006</v>
      </c>
      <c r="K230" s="3">
        <v>2.8527799999999992</v>
      </c>
      <c r="L230" s="3">
        <v>0.64351999999999876</v>
      </c>
      <c r="M230" s="3">
        <v>1.0970099999999974</v>
      </c>
      <c r="N230" s="3">
        <v>0.45348999999999862</v>
      </c>
      <c r="O230" s="13">
        <v>-1.4540464947858291</v>
      </c>
      <c r="P230" s="13">
        <v>-1.658483225783888</v>
      </c>
      <c r="Q230" s="13">
        <v>1.0219438788888624</v>
      </c>
    </row>
    <row r="231" spans="1:17" x14ac:dyDescent="0.25">
      <c r="A231" s="3">
        <v>1.2376624736911301E+18</v>
      </c>
      <c r="B231" s="3">
        <v>236.80857</v>
      </c>
      <c r="C231" s="3">
        <v>36.059871999999999</v>
      </c>
      <c r="D231" s="3">
        <v>0.31669540000000002</v>
      </c>
      <c r="E231" s="3">
        <v>2.6532499999999999</v>
      </c>
      <c r="F231" s="3">
        <v>4.4090200000000017</v>
      </c>
      <c r="G231" s="3">
        <v>5.0525400000000005</v>
      </c>
      <c r="H231" s="3">
        <v>5.5060299999999991</v>
      </c>
      <c r="I231" s="3">
        <v>1.7557700000000018</v>
      </c>
      <c r="J231" s="3">
        <v>2.3992900000000006</v>
      </c>
      <c r="K231" s="3">
        <v>2.8527799999999992</v>
      </c>
      <c r="L231" s="3">
        <v>0.64351999999999876</v>
      </c>
      <c r="M231" s="3">
        <v>1.0970099999999974</v>
      </c>
      <c r="N231" s="3">
        <v>0.45348999999999862</v>
      </c>
      <c r="O231" s="13">
        <v>-1.4541398385953033</v>
      </c>
      <c r="P231" s="13">
        <v>-1.6584288702331396</v>
      </c>
      <c r="Q231" s="13">
        <v>1.0219376787455619</v>
      </c>
    </row>
    <row r="232" spans="1:17" x14ac:dyDescent="0.25">
      <c r="A232" s="3">
        <v>1.23766247369107E+18</v>
      </c>
      <c r="B232" s="3">
        <v>236.59941000000001</v>
      </c>
      <c r="C232" s="3">
        <v>36.108260999999999</v>
      </c>
      <c r="D232" s="3">
        <v>0.31782389999999999</v>
      </c>
      <c r="E232" s="3">
        <v>1.6332099999999983</v>
      </c>
      <c r="F232" s="3">
        <v>2.90015</v>
      </c>
      <c r="G232" s="3">
        <v>3.4193999999999996</v>
      </c>
      <c r="H232" s="3">
        <v>3.8281600000000005</v>
      </c>
      <c r="I232" s="3">
        <v>1.2669400000000017</v>
      </c>
      <c r="J232" s="3">
        <v>1.7861900000000013</v>
      </c>
      <c r="K232" s="3">
        <v>2.1949500000000022</v>
      </c>
      <c r="L232" s="3">
        <v>0.51924999999999955</v>
      </c>
      <c r="M232" s="3">
        <v>0.92801000000000045</v>
      </c>
      <c r="N232" s="3">
        <v>0.4087600000000009</v>
      </c>
      <c r="O232" s="13">
        <v>0.81753578785046976</v>
      </c>
      <c r="P232" s="13">
        <v>0.16548145835987316</v>
      </c>
      <c r="Q232" s="13">
        <v>0.79391070160111721</v>
      </c>
    </row>
    <row r="233" spans="1:17" x14ac:dyDescent="0.25">
      <c r="A233" s="3">
        <v>1.2376625032189701E+18</v>
      </c>
      <c r="B233" s="3">
        <v>236.42599000000001</v>
      </c>
      <c r="C233" s="3">
        <v>35.854213000000001</v>
      </c>
      <c r="D233" s="3">
        <v>0.31824170000000002</v>
      </c>
      <c r="E233" s="3">
        <v>2.3661199999999987</v>
      </c>
      <c r="F233" s="3">
        <v>3.9738700000000016</v>
      </c>
      <c r="G233" s="3">
        <v>4.5371699999999997</v>
      </c>
      <c r="H233" s="3">
        <v>4.9002100000000013</v>
      </c>
      <c r="I233" s="3">
        <v>1.6077500000000029</v>
      </c>
      <c r="J233" s="3">
        <v>2.171050000000001</v>
      </c>
      <c r="K233" s="3">
        <v>2.5340900000000026</v>
      </c>
      <c r="L233" s="3">
        <v>0.56329999999999814</v>
      </c>
      <c r="M233" s="3">
        <v>0.92633999999999972</v>
      </c>
      <c r="N233" s="3">
        <v>0.36304000000000158</v>
      </c>
      <c r="O233" s="13">
        <v>-0.34745039237466852</v>
      </c>
      <c r="P233" s="13">
        <v>-1.3192738718915811</v>
      </c>
      <c r="Q233" s="13">
        <v>-0.28893963806058959</v>
      </c>
    </row>
    <row r="234" spans="1:17" x14ac:dyDescent="0.25">
      <c r="A234" s="3">
        <v>1.2376625032189701E+18</v>
      </c>
      <c r="B234" s="3">
        <v>236.42599000000001</v>
      </c>
      <c r="C234" s="3">
        <v>35.854213000000001</v>
      </c>
      <c r="D234" s="3">
        <v>0.3183938</v>
      </c>
      <c r="E234" s="3">
        <v>2.3661199999999987</v>
      </c>
      <c r="F234" s="3">
        <v>3.9738700000000016</v>
      </c>
      <c r="G234" s="3">
        <v>4.5371699999999997</v>
      </c>
      <c r="H234" s="3">
        <v>4.9002100000000013</v>
      </c>
      <c r="I234" s="3">
        <v>1.6077500000000029</v>
      </c>
      <c r="J234" s="3">
        <v>2.171050000000001</v>
      </c>
      <c r="K234" s="3">
        <v>2.5340900000000026</v>
      </c>
      <c r="L234" s="3">
        <v>0.56329999999999814</v>
      </c>
      <c r="M234" s="3">
        <v>0.92633999999999972</v>
      </c>
      <c r="N234" s="3">
        <v>0.36304000000000158</v>
      </c>
      <c r="O234" s="13">
        <v>-0.34764382007795397</v>
      </c>
      <c r="P234" s="13">
        <v>-1.3191612359342439</v>
      </c>
      <c r="Q234" s="13">
        <v>-0.28895248604145923</v>
      </c>
    </row>
    <row r="235" spans="1:17" x14ac:dyDescent="0.25">
      <c r="A235" s="3">
        <v>1.23766247369087E+18</v>
      </c>
      <c r="B235" s="3">
        <v>236.28253000000001</v>
      </c>
      <c r="C235" s="3">
        <v>36.441251999999999</v>
      </c>
      <c r="D235" s="3">
        <v>0.320581</v>
      </c>
      <c r="E235" s="3">
        <v>1.9499700000000004</v>
      </c>
      <c r="F235" s="3">
        <v>3.7154600000000002</v>
      </c>
      <c r="G235" s="3">
        <v>4.2989099999999993</v>
      </c>
      <c r="H235" s="3">
        <v>4.7248599999999996</v>
      </c>
      <c r="I235" s="3">
        <v>1.7654899999999998</v>
      </c>
      <c r="J235" s="3">
        <v>2.3489399999999989</v>
      </c>
      <c r="K235" s="3">
        <v>2.7748899999999992</v>
      </c>
      <c r="L235" s="3">
        <v>0.58344999999999914</v>
      </c>
      <c r="M235" s="3">
        <v>1.0093999999999994</v>
      </c>
      <c r="N235" s="3">
        <v>0.42595000000000027</v>
      </c>
      <c r="O235" s="13">
        <v>-0.66996976556398047</v>
      </c>
      <c r="P235" s="13">
        <v>-0.49408422373400396</v>
      </c>
      <c r="Q235" s="13">
        <v>0.80909206233517594</v>
      </c>
    </row>
    <row r="236" spans="1:17" x14ac:dyDescent="0.25">
      <c r="A236" s="3">
        <v>1.2376623378636401E+18</v>
      </c>
      <c r="B236" s="3">
        <v>235.91333</v>
      </c>
      <c r="C236" s="3">
        <v>35.602728999999997</v>
      </c>
      <c r="D236" s="3">
        <v>0.32255040000000001</v>
      </c>
      <c r="E236" s="3">
        <v>3.1359599999999972</v>
      </c>
      <c r="F236" s="3">
        <v>4.8514199999999974</v>
      </c>
      <c r="G236" s="3">
        <v>5.4347199999999987</v>
      </c>
      <c r="H236" s="3">
        <v>5.8180099999999975</v>
      </c>
      <c r="I236" s="3">
        <v>1.7154600000000002</v>
      </c>
      <c r="J236" s="3">
        <v>2.2987600000000015</v>
      </c>
      <c r="K236" s="3">
        <v>2.6820500000000003</v>
      </c>
      <c r="L236" s="3">
        <v>0.58330000000000126</v>
      </c>
      <c r="M236" s="3">
        <v>0.96659000000000006</v>
      </c>
      <c r="N236" s="3">
        <v>0.3832899999999988</v>
      </c>
      <c r="O236" s="13">
        <v>-1.1072114733955889</v>
      </c>
      <c r="P236" s="13">
        <v>-2.6103650617759011</v>
      </c>
      <c r="Q236" s="13">
        <v>-1.9859352290499657</v>
      </c>
    </row>
    <row r="237" spans="1:17" x14ac:dyDescent="0.25">
      <c r="A237" s="3">
        <v>1.23766146544926E+18</v>
      </c>
      <c r="B237" s="3">
        <v>235.71722</v>
      </c>
      <c r="C237" s="3">
        <v>35.614393999999997</v>
      </c>
      <c r="D237" s="3">
        <v>0.32288319999999998</v>
      </c>
      <c r="E237" s="3">
        <v>2.2147499999999987</v>
      </c>
      <c r="F237" s="3">
        <v>3.8974900000000012</v>
      </c>
      <c r="G237" s="3">
        <v>4.4806600000000003</v>
      </c>
      <c r="H237" s="3">
        <v>4.8648300000000013</v>
      </c>
      <c r="I237" s="3">
        <v>1.6827400000000026</v>
      </c>
      <c r="J237" s="3">
        <v>2.2659100000000016</v>
      </c>
      <c r="K237" s="3">
        <v>2.6500800000000027</v>
      </c>
      <c r="L237" s="3">
        <v>0.58316999999999908</v>
      </c>
      <c r="M237" s="3">
        <v>0.96734000000000009</v>
      </c>
      <c r="N237" s="3">
        <v>0.38417000000000101</v>
      </c>
      <c r="O237" s="13">
        <v>-0.37635057144477069</v>
      </c>
      <c r="P237" s="13">
        <v>-1.1297052392012754</v>
      </c>
      <c r="Q237" s="13">
        <v>-2.4278162162964443</v>
      </c>
    </row>
    <row r="238" spans="1:17" x14ac:dyDescent="0.25">
      <c r="A238" s="3">
        <v>1.2376625032189E+18</v>
      </c>
      <c r="B238" s="3">
        <v>236.35123999999999</v>
      </c>
      <c r="C238" s="3">
        <v>36.038491999999998</v>
      </c>
      <c r="D238" s="3">
        <v>0.32365179999999999</v>
      </c>
      <c r="E238" s="3">
        <v>3.4041199999999989</v>
      </c>
      <c r="F238" s="3">
        <v>5.0744599999999984</v>
      </c>
      <c r="G238" s="3">
        <v>5.6647199999999991</v>
      </c>
      <c r="H238" s="3">
        <v>6.0345799999999983</v>
      </c>
      <c r="I238" s="3">
        <v>1.6703399999999995</v>
      </c>
      <c r="J238" s="3">
        <v>2.2606000000000002</v>
      </c>
      <c r="K238" s="3">
        <v>2.6304599999999994</v>
      </c>
      <c r="L238" s="3">
        <v>0.59026000000000067</v>
      </c>
      <c r="M238" s="3">
        <v>0.96011999999999986</v>
      </c>
      <c r="N238" s="3">
        <v>0.36985999999999919</v>
      </c>
      <c r="O238" s="13">
        <v>-1.2969606971417265</v>
      </c>
      <c r="P238" s="13">
        <v>-2.9015183872972057</v>
      </c>
      <c r="Q238" s="13">
        <v>6.6136643196876649E-2</v>
      </c>
    </row>
    <row r="239" spans="1:17" x14ac:dyDescent="0.25">
      <c r="A239" s="3">
        <v>1.2376625032189E+18</v>
      </c>
      <c r="B239" s="3">
        <v>236.35028</v>
      </c>
      <c r="C239" s="3">
        <v>36.085205000000002</v>
      </c>
      <c r="D239" s="3">
        <v>0.32386720000000002</v>
      </c>
      <c r="E239" s="3">
        <v>5.1739500000000014</v>
      </c>
      <c r="F239" s="3">
        <v>6.9403699999999979</v>
      </c>
      <c r="G239" s="3">
        <v>7.6069600000000008</v>
      </c>
      <c r="H239" s="3">
        <v>7.9886499999999998</v>
      </c>
      <c r="I239" s="3">
        <v>1.7664199999999965</v>
      </c>
      <c r="J239" s="3">
        <v>2.4330099999999995</v>
      </c>
      <c r="K239" s="3">
        <v>2.8146999999999984</v>
      </c>
      <c r="L239" s="3">
        <v>0.6665900000000029</v>
      </c>
      <c r="M239" s="3">
        <v>1.0482800000000019</v>
      </c>
      <c r="N239" s="3">
        <v>0.38168999999999897</v>
      </c>
      <c r="O239" s="13">
        <v>-2.9754883123405924</v>
      </c>
      <c r="P239" s="13">
        <v>-5.6660990148797294</v>
      </c>
      <c r="Q239" s="13">
        <v>0.26960883270189734</v>
      </c>
    </row>
    <row r="240" spans="1:17" x14ac:dyDescent="0.25">
      <c r="A240" s="3">
        <v>1.2376623378635799E+18</v>
      </c>
      <c r="B240" s="3">
        <v>235.86107000000001</v>
      </c>
      <c r="C240" s="3">
        <v>35.709682999999998</v>
      </c>
      <c r="D240" s="3">
        <v>0.32391569999999997</v>
      </c>
      <c r="E240" s="3">
        <v>3.1640100000000011</v>
      </c>
      <c r="F240" s="3">
        <v>4.9245899999999985</v>
      </c>
      <c r="G240" s="3">
        <v>5.5921100000000017</v>
      </c>
      <c r="H240" s="3">
        <v>5.9349500000000006</v>
      </c>
      <c r="I240" s="3">
        <v>1.7605799999999974</v>
      </c>
      <c r="J240" s="3">
        <v>2.4281000000000006</v>
      </c>
      <c r="K240" s="3">
        <v>2.7709399999999995</v>
      </c>
      <c r="L240" s="3">
        <v>0.66752000000000322</v>
      </c>
      <c r="M240" s="3">
        <v>1.0103600000000021</v>
      </c>
      <c r="N240" s="3">
        <v>0.34283999999999892</v>
      </c>
      <c r="O240" s="13">
        <v>-1.3564526834679087</v>
      </c>
      <c r="P240" s="13">
        <v>-2.6521425379354167</v>
      </c>
      <c r="Q240" s="13">
        <v>-1.862173672092472</v>
      </c>
    </row>
    <row r="241" spans="1:17" x14ac:dyDescent="0.25">
      <c r="A241" s="3">
        <v>1.2376614659861299E+18</v>
      </c>
      <c r="B241" s="3">
        <v>235.90254999999999</v>
      </c>
      <c r="C241" s="3">
        <v>35.937721000000003</v>
      </c>
      <c r="D241" s="3">
        <v>0.32398379999999999</v>
      </c>
      <c r="E241" s="3">
        <v>1.9032899999999984</v>
      </c>
      <c r="F241" s="3">
        <v>3.5843199999999982</v>
      </c>
      <c r="G241" s="3">
        <v>4.1891199999999991</v>
      </c>
      <c r="H241" s="3">
        <v>4.5132399999999997</v>
      </c>
      <c r="I241" s="3">
        <v>1.6810299999999998</v>
      </c>
      <c r="J241" s="3">
        <v>2.2858300000000007</v>
      </c>
      <c r="K241" s="3">
        <v>2.6099500000000013</v>
      </c>
      <c r="L241" s="3">
        <v>0.60480000000000089</v>
      </c>
      <c r="M241" s="3">
        <v>0.92892000000000152</v>
      </c>
      <c r="N241" s="3">
        <v>0.32412000000000063</v>
      </c>
      <c r="O241" s="13">
        <v>-0.11165805334798801</v>
      </c>
      <c r="P241" s="13">
        <v>-0.61707021280406371</v>
      </c>
      <c r="Q241" s="13">
        <v>-1.2629581435894748</v>
      </c>
    </row>
    <row r="242" spans="1:17" x14ac:dyDescent="0.25">
      <c r="A242" s="3">
        <v>1.2376623378635799E+18</v>
      </c>
      <c r="B242" s="3">
        <v>235.86107000000001</v>
      </c>
      <c r="C242" s="3">
        <v>35.709682999999998</v>
      </c>
      <c r="D242" s="3">
        <v>0.32401029999999997</v>
      </c>
      <c r="E242" s="3">
        <v>3.1640100000000011</v>
      </c>
      <c r="F242" s="3">
        <v>4.9245899999999985</v>
      </c>
      <c r="G242" s="3">
        <v>5.5921100000000017</v>
      </c>
      <c r="H242" s="3">
        <v>5.9349500000000006</v>
      </c>
      <c r="I242" s="3">
        <v>1.7605799999999974</v>
      </c>
      <c r="J242" s="3">
        <v>2.4281000000000006</v>
      </c>
      <c r="K242" s="3">
        <v>2.7709399999999995</v>
      </c>
      <c r="L242" s="3">
        <v>0.66752000000000322</v>
      </c>
      <c r="M242" s="3">
        <v>1.0103600000000021</v>
      </c>
      <c r="N242" s="3">
        <v>0.34283999999999892</v>
      </c>
      <c r="O242" s="13">
        <v>-1.3565729876147263</v>
      </c>
      <c r="P242" s="13">
        <v>-2.6520724829612936</v>
      </c>
      <c r="Q242" s="13">
        <v>-1.862181663012856</v>
      </c>
    </row>
    <row r="243" spans="1:17" x14ac:dyDescent="0.25">
      <c r="A243" s="3">
        <v>1.2376614659862001E+18</v>
      </c>
      <c r="B243" s="3">
        <v>236.15441000000001</v>
      </c>
      <c r="C243" s="3">
        <v>35.809334999999997</v>
      </c>
      <c r="D243" s="3">
        <v>0.3243781</v>
      </c>
      <c r="E243" s="3">
        <v>1.4928000000000026</v>
      </c>
      <c r="F243" s="3">
        <v>3.1190899999999999</v>
      </c>
      <c r="G243" s="3">
        <v>3.7056600000000017</v>
      </c>
      <c r="H243" s="3">
        <v>4.0075600000000016</v>
      </c>
      <c r="I243" s="3">
        <v>1.6262899999999973</v>
      </c>
      <c r="J243" s="3">
        <v>2.2128599999999992</v>
      </c>
      <c r="K243" s="3">
        <v>2.514759999999999</v>
      </c>
      <c r="L243" s="3">
        <v>0.58657000000000181</v>
      </c>
      <c r="M243" s="3">
        <v>0.88847000000000165</v>
      </c>
      <c r="N243" s="3">
        <v>0.30189999999999984</v>
      </c>
      <c r="O243" s="13">
        <v>0.36707912963010869</v>
      </c>
      <c r="P243" s="13">
        <v>-2.6240463793172665E-2</v>
      </c>
      <c r="Q243" s="13">
        <v>-1.0649715005655582</v>
      </c>
    </row>
    <row r="244" spans="1:17" x14ac:dyDescent="0.25">
      <c r="A244" s="3">
        <v>1.2376623378636401E+18</v>
      </c>
      <c r="B244" s="3">
        <v>235.95001999999999</v>
      </c>
      <c r="C244" s="3">
        <v>35.616621000000002</v>
      </c>
      <c r="D244" s="3">
        <v>0.32504300000000003</v>
      </c>
      <c r="E244" s="3">
        <v>1.1471099999999979</v>
      </c>
      <c r="F244" s="3">
        <v>2.792819999999999</v>
      </c>
      <c r="G244" s="3">
        <v>3.3642700000000012</v>
      </c>
      <c r="H244" s="3">
        <v>3.7715899999999998</v>
      </c>
      <c r="I244" s="3">
        <v>1.6457100000000011</v>
      </c>
      <c r="J244" s="3">
        <v>2.2171600000000034</v>
      </c>
      <c r="K244" s="3">
        <v>2.6244800000000019</v>
      </c>
      <c r="L244" s="3">
        <v>0.57145000000000223</v>
      </c>
      <c r="M244" s="3">
        <v>0.97877000000000081</v>
      </c>
      <c r="N244" s="3">
        <v>0.40731999999999857</v>
      </c>
      <c r="O244" s="13">
        <v>0.3492124306036456</v>
      </c>
      <c r="P244" s="13">
        <v>0.58516483054954516</v>
      </c>
      <c r="Q244" s="13">
        <v>-1.9856995031151767</v>
      </c>
    </row>
    <row r="245" spans="1:17" x14ac:dyDescent="0.25">
      <c r="A245" s="3">
        <v>1.23766146598626E+18</v>
      </c>
      <c r="B245" s="3">
        <v>236.24893</v>
      </c>
      <c r="C245" s="3">
        <v>35.770789000000001</v>
      </c>
      <c r="D245" s="3">
        <v>0.32542379999999999</v>
      </c>
      <c r="E245" s="3">
        <v>2.4884799999999991</v>
      </c>
      <c r="F245" s="3">
        <v>4.2610899999999994</v>
      </c>
      <c r="G245" s="3">
        <v>4.8998799999999996</v>
      </c>
      <c r="H245" s="3">
        <v>5.2406299999999995</v>
      </c>
      <c r="I245" s="3">
        <v>1.7726100000000002</v>
      </c>
      <c r="J245" s="3">
        <v>2.4114000000000004</v>
      </c>
      <c r="K245" s="3">
        <v>2.7521500000000003</v>
      </c>
      <c r="L245" s="3">
        <v>0.63879000000000019</v>
      </c>
      <c r="M245" s="3">
        <v>0.97954000000000008</v>
      </c>
      <c r="N245" s="3">
        <v>0.34074999999999989</v>
      </c>
      <c r="O245" s="13">
        <v>-0.90978655806213615</v>
      </c>
      <c r="P245" s="13">
        <v>-1.6194067722019545</v>
      </c>
      <c r="Q245" s="13">
        <v>-0.93556225607287424</v>
      </c>
    </row>
    <row r="246" spans="1:17" x14ac:dyDescent="0.25">
      <c r="A246" s="3">
        <v>1.23766146598626E+18</v>
      </c>
      <c r="B246" s="3">
        <v>236.24893</v>
      </c>
      <c r="C246" s="3">
        <v>35.770789000000001</v>
      </c>
      <c r="D246" s="3">
        <v>0.32546160000000002</v>
      </c>
      <c r="E246" s="3">
        <v>2.4884799999999991</v>
      </c>
      <c r="F246" s="3">
        <v>4.2610899999999994</v>
      </c>
      <c r="G246" s="3">
        <v>4.8998799999999996</v>
      </c>
      <c r="H246" s="3">
        <v>5.2406299999999995</v>
      </c>
      <c r="I246" s="3">
        <v>1.7726100000000002</v>
      </c>
      <c r="J246" s="3">
        <v>2.4114000000000004</v>
      </c>
      <c r="K246" s="3">
        <v>2.7521500000000003</v>
      </c>
      <c r="L246" s="3">
        <v>0.63879000000000019</v>
      </c>
      <c r="M246" s="3">
        <v>0.97954000000000008</v>
      </c>
      <c r="N246" s="3">
        <v>0.34074999999999989</v>
      </c>
      <c r="O246" s="13">
        <v>-0.90983462885230193</v>
      </c>
      <c r="P246" s="13">
        <v>-1.6193787798338586</v>
      </c>
      <c r="Q246" s="13">
        <v>-0.93556544906220274</v>
      </c>
    </row>
    <row r="247" spans="1:17" x14ac:dyDescent="0.25">
      <c r="A247" s="3">
        <v>1.2376623378635799E+18</v>
      </c>
      <c r="B247" s="3">
        <v>235.86398</v>
      </c>
      <c r="C247" s="3">
        <v>35.713728000000003</v>
      </c>
      <c r="D247" s="3">
        <v>0.3258491</v>
      </c>
      <c r="E247" s="3">
        <v>1.7343399999999995</v>
      </c>
      <c r="F247" s="3">
        <v>3.627559999999999</v>
      </c>
      <c r="G247" s="3">
        <v>4.2792899999999996</v>
      </c>
      <c r="H247" s="3">
        <v>4.6788500000000006</v>
      </c>
      <c r="I247" s="3">
        <v>1.8932199999999995</v>
      </c>
      <c r="J247" s="3">
        <v>2.54495</v>
      </c>
      <c r="K247" s="3">
        <v>2.9445100000000011</v>
      </c>
      <c r="L247" s="3">
        <v>0.65173000000000059</v>
      </c>
      <c r="M247" s="3">
        <v>1.0512900000000016</v>
      </c>
      <c r="N247" s="3">
        <v>0.39956000000000103</v>
      </c>
      <c r="O247" s="13">
        <v>-0.78688843134537945</v>
      </c>
      <c r="P247" s="13">
        <v>-0.43283627105793815</v>
      </c>
      <c r="Q247" s="13">
        <v>-1.977128613995492</v>
      </c>
    </row>
    <row r="248" spans="1:17" x14ac:dyDescent="0.25">
      <c r="A248" s="3">
        <v>1.2376624731543301E+18</v>
      </c>
      <c r="B248" s="3">
        <v>236.6069</v>
      </c>
      <c r="C248" s="3">
        <v>35.702178000000004</v>
      </c>
      <c r="D248" s="3">
        <v>0.32744319999999999</v>
      </c>
      <c r="E248" s="3">
        <v>1.9183100000000017</v>
      </c>
      <c r="F248" s="3">
        <v>3.6335000000000015</v>
      </c>
      <c r="G248" s="3">
        <v>4.2798200000000008</v>
      </c>
      <c r="H248" s="3">
        <v>4.6527299999999983</v>
      </c>
      <c r="I248" s="3">
        <v>1.7151899999999998</v>
      </c>
      <c r="J248" s="3">
        <v>2.3615099999999991</v>
      </c>
      <c r="K248" s="3">
        <v>2.7344199999999965</v>
      </c>
      <c r="L248" s="3">
        <v>0.64631999999999934</v>
      </c>
      <c r="M248" s="3">
        <v>1.0192299999999967</v>
      </c>
      <c r="N248" s="3">
        <v>0.37290999999999741</v>
      </c>
      <c r="O248" s="13">
        <v>-0.5823630701332414</v>
      </c>
      <c r="P248" s="13">
        <v>-0.67403173101351455</v>
      </c>
      <c r="Q248" s="13">
        <v>-0.36321188070028892</v>
      </c>
    </row>
    <row r="249" spans="1:17" x14ac:dyDescent="0.25">
      <c r="A249" s="3">
        <v>1.23766247369107E+18</v>
      </c>
      <c r="B249" s="3">
        <v>236.48567</v>
      </c>
      <c r="C249" s="3">
        <v>36.077297000000002</v>
      </c>
      <c r="D249" s="3">
        <v>0.33320499999999997</v>
      </c>
      <c r="E249" s="3">
        <v>2.2564099999999989</v>
      </c>
      <c r="F249" s="3">
        <v>4.1092499999999994</v>
      </c>
      <c r="G249" s="3">
        <v>4.7067799999999984</v>
      </c>
      <c r="H249" s="3">
        <v>5.0870800000000003</v>
      </c>
      <c r="I249" s="3">
        <v>1.8528400000000005</v>
      </c>
      <c r="J249" s="3">
        <v>2.4503699999999995</v>
      </c>
      <c r="K249" s="3">
        <v>2.8306700000000014</v>
      </c>
      <c r="L249" s="3">
        <v>0.59752999999999901</v>
      </c>
      <c r="M249" s="3">
        <v>0.97783000000000087</v>
      </c>
      <c r="N249" s="3">
        <v>0.38030000000000186</v>
      </c>
      <c r="O249" s="13">
        <v>-0.99524846464533745</v>
      </c>
      <c r="P249" s="13">
        <v>-1.1957784337011552</v>
      </c>
      <c r="Q249" s="13">
        <v>0.30619629654468378</v>
      </c>
    </row>
    <row r="250" spans="1:17" x14ac:dyDescent="0.25">
      <c r="A250" s="3">
        <v>1.2376614659859999E+18</v>
      </c>
      <c r="B250" s="3">
        <v>235.74043</v>
      </c>
      <c r="C250" s="3">
        <v>36.151716</v>
      </c>
      <c r="D250" s="3">
        <v>0.33321319999999999</v>
      </c>
      <c r="E250" s="3">
        <v>1.7527000000000008</v>
      </c>
      <c r="F250" s="3">
        <v>3.5256900000000009</v>
      </c>
      <c r="G250" s="3">
        <v>4.1278399999999991</v>
      </c>
      <c r="H250" s="3">
        <v>4.4974099999999986</v>
      </c>
      <c r="I250" s="3">
        <v>1.7729900000000001</v>
      </c>
      <c r="J250" s="3">
        <v>2.3751399999999983</v>
      </c>
      <c r="K250" s="3">
        <v>2.7447099999999978</v>
      </c>
      <c r="L250" s="3">
        <v>0.60214999999999819</v>
      </c>
      <c r="M250" s="3">
        <v>0.9717199999999977</v>
      </c>
      <c r="N250" s="3">
        <v>0.36956999999999951</v>
      </c>
      <c r="O250" s="13">
        <v>-0.32931591447536945</v>
      </c>
      <c r="P250" s="13">
        <v>-0.30659593603504304</v>
      </c>
      <c r="Q250" s="13">
        <v>-1.1010745912494317</v>
      </c>
    </row>
    <row r="251" spans="1:17" x14ac:dyDescent="0.25">
      <c r="A251" s="3">
        <v>1.2376624736910001E+18</v>
      </c>
      <c r="B251" s="3">
        <v>236.46100000000001</v>
      </c>
      <c r="C251" s="3">
        <v>36.078052</v>
      </c>
      <c r="D251" s="3">
        <v>0.33422950000000001</v>
      </c>
      <c r="E251" s="3">
        <v>1.8351000000000006</v>
      </c>
      <c r="F251" s="3">
        <v>3.5315499999999993</v>
      </c>
      <c r="G251" s="3">
        <v>4.1288199999999975</v>
      </c>
      <c r="H251" s="3">
        <v>4.5177699999999987</v>
      </c>
      <c r="I251" s="3">
        <v>1.6964499999999987</v>
      </c>
      <c r="J251" s="3">
        <v>2.2937199999999969</v>
      </c>
      <c r="K251" s="3">
        <v>2.6826699999999981</v>
      </c>
      <c r="L251" s="3">
        <v>0.59726999999999819</v>
      </c>
      <c r="M251" s="3">
        <v>0.98621999999999943</v>
      </c>
      <c r="N251" s="3">
        <v>0.38895000000000124</v>
      </c>
      <c r="O251" s="13">
        <v>-0.39825707883159989</v>
      </c>
      <c r="P251" s="13">
        <v>-0.41462268499879507</v>
      </c>
      <c r="Q251" s="13">
        <v>0.2797042357661863</v>
      </c>
    </row>
    <row r="252" spans="1:17" x14ac:dyDescent="0.25">
      <c r="A252" s="3">
        <v>1.2376624736910001E+18</v>
      </c>
      <c r="B252" s="3">
        <v>236.46100000000001</v>
      </c>
      <c r="C252" s="3">
        <v>36.078052</v>
      </c>
      <c r="D252" s="3">
        <v>0.33430650000000001</v>
      </c>
      <c r="E252" s="3">
        <v>1.8351000000000006</v>
      </c>
      <c r="F252" s="3">
        <v>3.5315499999999993</v>
      </c>
      <c r="G252" s="3">
        <v>4.1288199999999975</v>
      </c>
      <c r="H252" s="3">
        <v>4.5177699999999987</v>
      </c>
      <c r="I252" s="3">
        <v>1.6964499999999987</v>
      </c>
      <c r="J252" s="3">
        <v>2.2937199999999969</v>
      </c>
      <c r="K252" s="3">
        <v>2.6826699999999981</v>
      </c>
      <c r="L252" s="3">
        <v>0.59726999999999819</v>
      </c>
      <c r="M252" s="3">
        <v>0.98621999999999943</v>
      </c>
      <c r="N252" s="3">
        <v>0.38895000000000124</v>
      </c>
      <c r="O252" s="13">
        <v>-0.39835500081156661</v>
      </c>
      <c r="P252" s="13">
        <v>-0.41456566350822971</v>
      </c>
      <c r="Q252" s="13">
        <v>0.27969773152866501</v>
      </c>
    </row>
    <row r="253" spans="1:17" x14ac:dyDescent="0.25">
      <c r="A253" s="3">
        <v>1.2376624736910001E+18</v>
      </c>
      <c r="B253" s="3">
        <v>236.57029</v>
      </c>
      <c r="C253" s="3">
        <v>36.179943999999999</v>
      </c>
      <c r="D253" s="3">
        <v>0.3350359</v>
      </c>
      <c r="E253" s="3">
        <v>2.7389200000000002</v>
      </c>
      <c r="F253" s="3">
        <v>4.6036399999999986</v>
      </c>
      <c r="G253" s="3">
        <v>5.2395600000000009</v>
      </c>
      <c r="H253" s="3">
        <v>5.6875700000000009</v>
      </c>
      <c r="I253" s="3">
        <v>1.8647199999999984</v>
      </c>
      <c r="J253" s="3">
        <v>2.5006400000000006</v>
      </c>
      <c r="K253" s="3">
        <v>2.9486500000000007</v>
      </c>
      <c r="L253" s="3">
        <v>0.63592000000000226</v>
      </c>
      <c r="M253" s="3">
        <v>1.0839300000000023</v>
      </c>
      <c r="N253" s="3">
        <v>0.44801000000000002</v>
      </c>
      <c r="O253" s="13">
        <v>-1.6923277233663985</v>
      </c>
      <c r="P253" s="13">
        <v>-1.8187965463311473</v>
      </c>
      <c r="Q253" s="13">
        <v>0.78540607561017994</v>
      </c>
    </row>
    <row r="254" spans="1:17" x14ac:dyDescent="0.25">
      <c r="A254" s="3">
        <v>1.2376624736911301E+18</v>
      </c>
      <c r="B254" s="3">
        <v>236.63802999999999</v>
      </c>
      <c r="C254" s="3">
        <v>35.971592000000001</v>
      </c>
      <c r="D254" s="3">
        <v>0.33570280000000002</v>
      </c>
      <c r="E254" s="3">
        <v>1.5289900000000003</v>
      </c>
      <c r="F254" s="3">
        <v>3.1993699999999983</v>
      </c>
      <c r="G254" s="3">
        <v>3.8126099999999994</v>
      </c>
      <c r="H254" s="3">
        <v>4.153220000000001</v>
      </c>
      <c r="I254" s="3">
        <v>1.670379999999998</v>
      </c>
      <c r="J254" s="3">
        <v>2.2836199999999991</v>
      </c>
      <c r="K254" s="3">
        <v>2.6242300000000007</v>
      </c>
      <c r="L254" s="3">
        <v>0.61324000000000112</v>
      </c>
      <c r="M254" s="3">
        <v>0.95385000000000275</v>
      </c>
      <c r="N254" s="3">
        <v>0.34061000000000163</v>
      </c>
      <c r="O254" s="13">
        <v>-6.5984840417249488E-2</v>
      </c>
      <c r="P254" s="13">
        <v>-1.0192010596251676E-2</v>
      </c>
      <c r="Q254" s="13">
        <v>0.36108989429356653</v>
      </c>
    </row>
    <row r="255" spans="1:17" x14ac:dyDescent="0.25">
      <c r="A255" s="3">
        <v>1.2376624736911301E+18</v>
      </c>
      <c r="B255" s="3">
        <v>236.63802999999999</v>
      </c>
      <c r="C255" s="3">
        <v>35.971592000000001</v>
      </c>
      <c r="D255" s="3">
        <v>0.33570309999999998</v>
      </c>
      <c r="E255" s="3">
        <v>1.5289900000000003</v>
      </c>
      <c r="F255" s="3">
        <v>3.1993699999999983</v>
      </c>
      <c r="G255" s="3">
        <v>3.8126099999999994</v>
      </c>
      <c r="H255" s="3">
        <v>4.153220000000001</v>
      </c>
      <c r="I255" s="3">
        <v>1.670379999999998</v>
      </c>
      <c r="J255" s="3">
        <v>2.2836199999999991</v>
      </c>
      <c r="K255" s="3">
        <v>2.6242300000000007</v>
      </c>
      <c r="L255" s="3">
        <v>0.61324000000000112</v>
      </c>
      <c r="M255" s="3">
        <v>0.95385000000000275</v>
      </c>
      <c r="N255" s="3">
        <v>0.34061000000000163</v>
      </c>
      <c r="O255" s="13">
        <v>-6.5985221931457325E-2</v>
      </c>
      <c r="P255" s="13">
        <v>-1.0191788434599886E-2</v>
      </c>
      <c r="Q255" s="13">
        <v>0.36108986895238132</v>
      </c>
    </row>
    <row r="256" spans="1:17" x14ac:dyDescent="0.25">
      <c r="A256" s="3">
        <v>1.2376625032189E+18</v>
      </c>
      <c r="B256" s="3">
        <v>236.37397000000001</v>
      </c>
      <c r="C256" s="3">
        <v>35.988281999999998</v>
      </c>
      <c r="D256" s="3">
        <v>0.33589970000000002</v>
      </c>
      <c r="E256" s="3">
        <v>2.2245699999999999</v>
      </c>
      <c r="F256" s="3">
        <v>4.1587500000000013</v>
      </c>
      <c r="G256" s="3">
        <v>4.7982300000000002</v>
      </c>
      <c r="H256" s="3">
        <v>5.1551699999999983</v>
      </c>
      <c r="I256" s="3">
        <v>1.9341800000000013</v>
      </c>
      <c r="J256" s="3">
        <v>2.5736600000000003</v>
      </c>
      <c r="K256" s="3">
        <v>2.9305999999999983</v>
      </c>
      <c r="L256" s="3">
        <v>0.63947999999999894</v>
      </c>
      <c r="M256" s="3">
        <v>0.99641999999999697</v>
      </c>
      <c r="N256" s="3">
        <v>0.35693999999999804</v>
      </c>
      <c r="O256" s="13">
        <v>-1.177679339654409</v>
      </c>
      <c r="P256" s="13">
        <v>-1.2267430357322333</v>
      </c>
      <c r="Q256" s="13">
        <v>-0.19466093031861467</v>
      </c>
    </row>
    <row r="257" spans="1:17" x14ac:dyDescent="0.25">
      <c r="A257" s="3">
        <v>1.23766146598607E+18</v>
      </c>
      <c r="B257" s="3">
        <v>235.76340999999999</v>
      </c>
      <c r="C257" s="3">
        <v>35.987408000000002</v>
      </c>
      <c r="D257" s="3">
        <v>0.34294599999999997</v>
      </c>
      <c r="E257" s="3">
        <v>4.5909699999999987</v>
      </c>
      <c r="F257" s="3">
        <v>6.3025999999999982</v>
      </c>
      <c r="G257" s="3">
        <v>6.9059099999999987</v>
      </c>
      <c r="H257" s="3">
        <v>7.3522099999999995</v>
      </c>
      <c r="I257" s="3">
        <v>1.7116299999999995</v>
      </c>
      <c r="J257" s="3">
        <v>2.31494</v>
      </c>
      <c r="K257" s="3">
        <v>2.7612400000000008</v>
      </c>
      <c r="L257" s="3">
        <v>0.60331000000000046</v>
      </c>
      <c r="M257" s="3">
        <v>1.0496100000000013</v>
      </c>
      <c r="N257" s="3">
        <v>0.44630000000000081</v>
      </c>
      <c r="O257" s="13">
        <v>-2.3672165090629935</v>
      </c>
      <c r="P257" s="13">
        <v>-4.6558664879286793</v>
      </c>
      <c r="Q257" s="13">
        <v>-1.2223214605973662</v>
      </c>
    </row>
    <row r="258" spans="1:17" x14ac:dyDescent="0.25">
      <c r="A258" s="3">
        <v>1.23766247315439E+18</v>
      </c>
      <c r="B258" s="3">
        <v>236.75125</v>
      </c>
      <c r="C258" s="3">
        <v>35.593806999999998</v>
      </c>
      <c r="D258" s="3">
        <v>0.36033280000000001</v>
      </c>
      <c r="E258" s="3">
        <v>2.0010499999999993</v>
      </c>
      <c r="F258" s="3">
        <v>3.8098300000000016</v>
      </c>
      <c r="G258" s="3">
        <v>4.4193500000000014</v>
      </c>
      <c r="H258" s="3">
        <v>4.8191600000000001</v>
      </c>
      <c r="I258" s="3">
        <v>1.8087800000000023</v>
      </c>
      <c r="J258" s="3">
        <v>2.4183000000000021</v>
      </c>
      <c r="K258" s="3">
        <v>2.8181100000000008</v>
      </c>
      <c r="L258" s="3">
        <v>0.60951999999999984</v>
      </c>
      <c r="M258" s="3">
        <v>1.0093299999999985</v>
      </c>
      <c r="N258" s="3">
        <v>0.39980999999999867</v>
      </c>
      <c r="O258" s="13">
        <v>-0.86611400008282513</v>
      </c>
      <c r="P258" s="13">
        <v>-0.86928912988472795</v>
      </c>
      <c r="Q258" s="13">
        <v>-0.34560588177405216</v>
      </c>
    </row>
    <row r="259" spans="1:17" x14ac:dyDescent="0.25">
      <c r="A259" s="3">
        <v>1.23766146598607E+18</v>
      </c>
      <c r="B259" s="3">
        <v>235.68163999999999</v>
      </c>
      <c r="C259" s="3">
        <v>35.946770999999998</v>
      </c>
      <c r="D259" s="3">
        <v>0.363485</v>
      </c>
      <c r="E259" s="3">
        <v>3.5731900000000003</v>
      </c>
      <c r="F259" s="3">
        <v>5.2799499999999995</v>
      </c>
      <c r="G259" s="3">
        <v>5.8582199999999993</v>
      </c>
      <c r="H259" s="3">
        <v>6.1846099999999993</v>
      </c>
      <c r="I259" s="3">
        <v>1.7067599999999992</v>
      </c>
      <c r="J259" s="3">
        <v>2.285029999999999</v>
      </c>
      <c r="K259" s="3">
        <v>2.611419999999999</v>
      </c>
      <c r="L259" s="3">
        <v>0.57826999999999984</v>
      </c>
      <c r="M259" s="3">
        <v>0.9046599999999998</v>
      </c>
      <c r="N259" s="3">
        <v>0.32638999999999996</v>
      </c>
      <c r="O259" s="13">
        <v>-1.2400465558872598</v>
      </c>
      <c r="P259" s="13">
        <v>-3.2244259949694394</v>
      </c>
      <c r="Q259" s="13">
        <v>-1.5970489653039002</v>
      </c>
    </row>
    <row r="260" spans="1:17" x14ac:dyDescent="0.25">
      <c r="A260" s="3">
        <v>1.23766146598607E+18</v>
      </c>
      <c r="B260" s="3">
        <v>235.79597000000001</v>
      </c>
      <c r="C260" s="3">
        <v>36.101492999999998</v>
      </c>
      <c r="D260" s="3">
        <v>0.3656392</v>
      </c>
      <c r="E260" s="3">
        <v>2.4451299999999989</v>
      </c>
      <c r="F260" s="3">
        <v>4.2081699999999991</v>
      </c>
      <c r="G260" s="3">
        <v>4.8421400000000006</v>
      </c>
      <c r="H260" s="3">
        <v>5.2629599999999996</v>
      </c>
      <c r="I260" s="3">
        <v>1.7630400000000002</v>
      </c>
      <c r="J260" s="3">
        <v>2.3970100000000016</v>
      </c>
      <c r="K260" s="3">
        <v>2.8178300000000007</v>
      </c>
      <c r="L260" s="3">
        <v>0.63397000000000148</v>
      </c>
      <c r="M260" s="3">
        <v>1.0547900000000006</v>
      </c>
      <c r="N260" s="3">
        <v>0.42081999999999908</v>
      </c>
      <c r="O260" s="13">
        <v>-1.075220819479676</v>
      </c>
      <c r="P260" s="13">
        <v>-1.291714824235106</v>
      </c>
      <c r="Q260" s="13">
        <v>-1.0503769466962729</v>
      </c>
    </row>
    <row r="261" spans="1:17" x14ac:dyDescent="0.25">
      <c r="A261" s="3">
        <v>1.23766146598607E+18</v>
      </c>
      <c r="B261" s="3">
        <v>235.80125000000001</v>
      </c>
      <c r="C261" s="3">
        <v>36.126528999999998</v>
      </c>
      <c r="D261" s="3">
        <v>0.36632550000000003</v>
      </c>
      <c r="E261" s="3">
        <v>2.1095599999999983</v>
      </c>
      <c r="F261" s="3">
        <v>3.3571399999999976</v>
      </c>
      <c r="G261" s="3">
        <v>4.0871199999999988</v>
      </c>
      <c r="H261" s="3">
        <v>4.4585399999999993</v>
      </c>
      <c r="I261" s="3">
        <v>1.2475799999999992</v>
      </c>
      <c r="J261" s="3">
        <v>1.9775600000000004</v>
      </c>
      <c r="K261" s="3">
        <v>2.348980000000001</v>
      </c>
      <c r="L261" s="3">
        <v>0.72998000000000118</v>
      </c>
      <c r="M261" s="3">
        <v>1.1014000000000017</v>
      </c>
      <c r="N261" s="3">
        <v>0.37142000000000053</v>
      </c>
      <c r="O261" s="13">
        <v>9.8907327905864942E-2</v>
      </c>
      <c r="P261" s="13">
        <v>-0.41197229133865054</v>
      </c>
      <c r="Q261" s="13">
        <v>-0.8527343965349431</v>
      </c>
    </row>
    <row r="262" spans="1:17" x14ac:dyDescent="0.25">
      <c r="A262" s="3">
        <v>1.23766250375584E+18</v>
      </c>
      <c r="B262" s="3">
        <v>236.69497000000001</v>
      </c>
      <c r="C262" s="3">
        <v>36.273215</v>
      </c>
      <c r="D262" s="3">
        <v>0.3701702</v>
      </c>
      <c r="E262" s="3">
        <v>3.4089999999999989</v>
      </c>
      <c r="F262" s="3">
        <v>5.3898399999999995</v>
      </c>
      <c r="G262" s="3">
        <v>5.9414400000000001</v>
      </c>
      <c r="H262" s="3">
        <v>6.3510999999999989</v>
      </c>
      <c r="I262" s="3">
        <v>1.9808400000000006</v>
      </c>
      <c r="J262" s="3">
        <v>2.5324400000000011</v>
      </c>
      <c r="K262" s="3">
        <v>2.9420999999999999</v>
      </c>
      <c r="L262" s="3">
        <v>0.55160000000000053</v>
      </c>
      <c r="M262" s="3">
        <v>0.96125999999999934</v>
      </c>
      <c r="N262" s="3">
        <v>0.4096599999999988</v>
      </c>
      <c r="O262" s="13">
        <v>-2.1039610901529855</v>
      </c>
      <c r="P262" s="13">
        <v>-3.002921042129965</v>
      </c>
      <c r="Q262" s="13">
        <v>1.2915354145048965</v>
      </c>
    </row>
    <row r="263" spans="1:17" x14ac:dyDescent="0.25">
      <c r="A263" s="3">
        <v>1.2376624736906701E+18</v>
      </c>
      <c r="B263" s="3">
        <v>235.74728999999999</v>
      </c>
      <c r="C263" s="3">
        <v>36.616</v>
      </c>
      <c r="D263" s="3">
        <v>0.3710869</v>
      </c>
      <c r="E263" s="3">
        <v>0.91483000000000203</v>
      </c>
      <c r="F263" s="3">
        <v>2.7612100000000019</v>
      </c>
      <c r="G263" s="3">
        <v>3.39574</v>
      </c>
      <c r="H263" s="3">
        <v>3.7995000000000019</v>
      </c>
      <c r="I263" s="3">
        <v>1.8463799999999999</v>
      </c>
      <c r="J263" s="3">
        <v>2.480909999999998</v>
      </c>
      <c r="K263" s="3">
        <v>2.8846699999999998</v>
      </c>
      <c r="L263" s="3">
        <v>0.63452999999999804</v>
      </c>
      <c r="M263" s="3">
        <v>1.0382899999999999</v>
      </c>
      <c r="N263" s="3">
        <v>0.4037600000000019</v>
      </c>
      <c r="O263" s="13">
        <v>-0.20097808754136126</v>
      </c>
      <c r="P263" s="13">
        <v>1.1895301565831367</v>
      </c>
      <c r="Q263" s="13">
        <v>-5.6820985746327476E-3</v>
      </c>
    </row>
    <row r="264" spans="1:17" x14ac:dyDescent="0.25">
      <c r="A264" s="3">
        <v>1.2376624736906701E+18</v>
      </c>
      <c r="B264" s="3">
        <v>235.74728999999999</v>
      </c>
      <c r="C264" s="3">
        <v>36.616</v>
      </c>
      <c r="D264" s="3">
        <v>0.37119350000000001</v>
      </c>
      <c r="E264" s="3">
        <v>0.91483000000000203</v>
      </c>
      <c r="F264" s="3">
        <v>2.7612100000000019</v>
      </c>
      <c r="G264" s="3">
        <v>3.39574</v>
      </c>
      <c r="H264" s="3">
        <v>3.7995000000000019</v>
      </c>
      <c r="I264" s="3">
        <v>1.8463799999999999</v>
      </c>
      <c r="J264" s="3">
        <v>2.480909999999998</v>
      </c>
      <c r="K264" s="3">
        <v>2.8846699999999998</v>
      </c>
      <c r="L264" s="3">
        <v>0.63452999999999804</v>
      </c>
      <c r="M264" s="3">
        <v>1.0382899999999999</v>
      </c>
      <c r="N264" s="3">
        <v>0.4037600000000019</v>
      </c>
      <c r="O264" s="13">
        <v>-0.20111365225648392</v>
      </c>
      <c r="P264" s="13">
        <v>1.1896090980233214</v>
      </c>
      <c r="Q264" s="13">
        <v>-5.6911031424212045E-3</v>
      </c>
    </row>
    <row r="265" spans="1:17" x14ac:dyDescent="0.25">
      <c r="A265" s="3">
        <v>1.2376625032188401E+18</v>
      </c>
      <c r="B265" s="3">
        <v>236.14241000000001</v>
      </c>
      <c r="C265" s="3">
        <v>36.196641999999997</v>
      </c>
      <c r="D265" s="3">
        <v>0.37121100000000001</v>
      </c>
      <c r="E265" s="3">
        <v>2.4653700000000001</v>
      </c>
      <c r="F265" s="3">
        <v>4.2705500000000001</v>
      </c>
      <c r="G265" s="3">
        <v>4.8856999999999999</v>
      </c>
      <c r="H265" s="3">
        <v>5.307269999999999</v>
      </c>
      <c r="I265" s="3">
        <v>1.80518</v>
      </c>
      <c r="J265" s="3">
        <v>2.4203299999999999</v>
      </c>
      <c r="K265" s="3">
        <v>2.841899999999999</v>
      </c>
      <c r="L265" s="3">
        <v>0.61514999999999986</v>
      </c>
      <c r="M265" s="3">
        <v>1.036719999999999</v>
      </c>
      <c r="N265" s="3">
        <v>0.42156999999999911</v>
      </c>
      <c r="O265" s="13">
        <v>-1.2049108193280633</v>
      </c>
      <c r="P265" s="13">
        <v>-1.3456967438735266</v>
      </c>
      <c r="Q265" s="13">
        <v>-8.7228874372871176E-2</v>
      </c>
    </row>
    <row r="266" spans="1:17" x14ac:dyDescent="0.25">
      <c r="A266" s="3">
        <v>1.2376614659863301E+18</v>
      </c>
      <c r="B266" s="3">
        <v>236.45468</v>
      </c>
      <c r="C266" s="3">
        <v>35.680591999999997</v>
      </c>
      <c r="D266" s="3">
        <v>0.38168560000000001</v>
      </c>
      <c r="E266" s="3">
        <v>2.3205899999999993</v>
      </c>
      <c r="F266" s="3">
        <v>3.97485</v>
      </c>
      <c r="G266" s="3">
        <v>4.64649</v>
      </c>
      <c r="H266" s="3">
        <v>4.9880199999999988</v>
      </c>
      <c r="I266" s="3">
        <v>1.6542600000000007</v>
      </c>
      <c r="J266" s="3">
        <v>2.3259000000000007</v>
      </c>
      <c r="K266" s="3">
        <v>2.6674299999999995</v>
      </c>
      <c r="L266" s="3">
        <v>0.67164000000000001</v>
      </c>
      <c r="M266" s="3">
        <v>1.0131699999999988</v>
      </c>
      <c r="N266" s="3">
        <v>0.34152999999999878</v>
      </c>
      <c r="O266" s="13">
        <v>-0.74892599781031433</v>
      </c>
      <c r="P266" s="13">
        <v>-1.2488380233771919</v>
      </c>
      <c r="Q266" s="13">
        <v>-0.70651412274283987</v>
      </c>
    </row>
    <row r="267" spans="1:17" x14ac:dyDescent="0.25">
      <c r="A267" s="3">
        <v>1.23766233786371E+18</v>
      </c>
      <c r="B267" s="3">
        <v>236.17215999999999</v>
      </c>
      <c r="C267" s="3">
        <v>35.598390999999999</v>
      </c>
      <c r="D267" s="3">
        <v>0.3828143</v>
      </c>
      <c r="E267" s="3">
        <v>2.7113700000000023</v>
      </c>
      <c r="F267" s="3">
        <v>4.4756600000000013</v>
      </c>
      <c r="G267" s="3">
        <v>5.1251400000000018</v>
      </c>
      <c r="H267" s="3">
        <v>5.5541499999999999</v>
      </c>
      <c r="I267" s="3">
        <v>1.764289999999999</v>
      </c>
      <c r="J267" s="3">
        <v>2.4137699999999995</v>
      </c>
      <c r="K267" s="3">
        <v>2.8427799999999976</v>
      </c>
      <c r="L267" s="3">
        <v>0.6494800000000005</v>
      </c>
      <c r="M267" s="3">
        <v>1.0784899999999986</v>
      </c>
      <c r="N267" s="3">
        <v>0.42900999999999812</v>
      </c>
      <c r="O267" s="13">
        <v>-1.3814004657993453</v>
      </c>
      <c r="P267" s="13">
        <v>-1.84533006456487</v>
      </c>
      <c r="Q267" s="13">
        <v>-1.49669617746475</v>
      </c>
    </row>
    <row r="268" spans="1:17" x14ac:dyDescent="0.25">
      <c r="A268" s="3">
        <v>1.23766247422781E+18</v>
      </c>
      <c r="B268" s="3">
        <v>236.58484999999999</v>
      </c>
      <c r="C268" s="3">
        <v>36.554713</v>
      </c>
      <c r="D268" s="3">
        <v>0.40805190000000002</v>
      </c>
      <c r="E268" s="3">
        <v>4.879529999999999</v>
      </c>
      <c r="F268" s="3">
        <v>6.57883</v>
      </c>
      <c r="G268" s="3">
        <v>7.2083300000000001</v>
      </c>
      <c r="H268" s="3">
        <v>7.5798699999999997</v>
      </c>
      <c r="I268" s="3">
        <v>1.6993000000000009</v>
      </c>
      <c r="J268" s="3">
        <v>2.3288000000000011</v>
      </c>
      <c r="K268" s="3">
        <v>2.7003400000000006</v>
      </c>
      <c r="L268" s="3">
        <v>0.62950000000000017</v>
      </c>
      <c r="M268" s="3">
        <v>1.0010399999999997</v>
      </c>
      <c r="N268" s="3">
        <v>0.37153999999999954</v>
      </c>
      <c r="O268" s="13">
        <v>-2.6821271333487084</v>
      </c>
      <c r="P268" s="13">
        <v>-5.0016128094656391</v>
      </c>
      <c r="Q268" s="13">
        <v>1.941135214601438</v>
      </c>
    </row>
    <row r="269" spans="1:17" x14ac:dyDescent="0.25">
      <c r="A269" s="3">
        <v>1.2376614659861299E+18</v>
      </c>
      <c r="B269" s="3">
        <v>236.04415</v>
      </c>
      <c r="C269" s="3">
        <v>35.959890999999999</v>
      </c>
      <c r="D269" s="3">
        <v>0.4091612</v>
      </c>
      <c r="E269" s="3">
        <v>4.7844300000000004</v>
      </c>
      <c r="F269" s="3">
        <v>6.5961199999999991</v>
      </c>
      <c r="G269" s="3">
        <v>7.2815599999999989</v>
      </c>
      <c r="H269" s="3">
        <v>7.6907499999999978</v>
      </c>
      <c r="I269" s="3">
        <v>1.8116899999999987</v>
      </c>
      <c r="J269" s="3">
        <v>2.4971299999999985</v>
      </c>
      <c r="K269" s="3">
        <v>2.9063199999999973</v>
      </c>
      <c r="L269" s="3">
        <v>0.68543999999999983</v>
      </c>
      <c r="M269" s="3">
        <v>1.0946299999999987</v>
      </c>
      <c r="N269" s="3">
        <v>0.40918999999999883</v>
      </c>
      <c r="O269" s="13">
        <v>-2.9837468214586202</v>
      </c>
      <c r="P269" s="13">
        <v>-4.9989483673083974</v>
      </c>
      <c r="Q269" s="13">
        <v>-0.74013523917871182</v>
      </c>
    </row>
    <row r="270" spans="1:17" x14ac:dyDescent="0.25">
      <c r="A270" s="3">
        <v>1.23766146598627E+18</v>
      </c>
      <c r="B270" s="3">
        <v>236.26492999999999</v>
      </c>
      <c r="C270" s="3">
        <v>35.732382000000001</v>
      </c>
      <c r="D270" s="3">
        <v>0.41451919999999998</v>
      </c>
      <c r="E270" s="3">
        <v>1.4612400000000001</v>
      </c>
      <c r="F270" s="3">
        <v>3.2112400000000001</v>
      </c>
      <c r="G270" s="3">
        <v>3.8986399999999968</v>
      </c>
      <c r="H270" s="3">
        <v>4.2899899999999995</v>
      </c>
      <c r="I270" s="3">
        <v>1.75</v>
      </c>
      <c r="J270" s="3">
        <v>2.4373999999999967</v>
      </c>
      <c r="K270" s="3">
        <v>2.8287499999999994</v>
      </c>
      <c r="L270" s="3">
        <v>0.68739999999999668</v>
      </c>
      <c r="M270" s="3">
        <v>1.0787499999999994</v>
      </c>
      <c r="N270" s="3">
        <v>0.39135000000000275</v>
      </c>
      <c r="O270" s="13">
        <v>-0.57103081898996355</v>
      </c>
      <c r="P270" s="13">
        <v>0.15741894096842382</v>
      </c>
      <c r="Q270" s="13">
        <v>-1.0654745728150152</v>
      </c>
    </row>
    <row r="271" spans="1:17" x14ac:dyDescent="0.25">
      <c r="A271" s="3">
        <v>1.23766146598627E+18</v>
      </c>
      <c r="B271" s="3">
        <v>236.26492999999999</v>
      </c>
      <c r="C271" s="3">
        <v>35.732382000000001</v>
      </c>
      <c r="D271" s="3">
        <v>0.41459449999999998</v>
      </c>
      <c r="E271" s="3">
        <v>1.4612400000000001</v>
      </c>
      <c r="F271" s="3">
        <v>3.2112400000000001</v>
      </c>
      <c r="G271" s="3">
        <v>3.8986399999999968</v>
      </c>
      <c r="H271" s="3">
        <v>4.2899899999999995</v>
      </c>
      <c r="I271" s="3">
        <v>1.75</v>
      </c>
      <c r="J271" s="3">
        <v>2.4373999999999967</v>
      </c>
      <c r="K271" s="3">
        <v>2.8287499999999994</v>
      </c>
      <c r="L271" s="3">
        <v>0.68739999999999668</v>
      </c>
      <c r="M271" s="3">
        <v>1.0787499999999994</v>
      </c>
      <c r="N271" s="3">
        <v>0.39135000000000275</v>
      </c>
      <c r="O271" s="13">
        <v>-0.57112657905608721</v>
      </c>
      <c r="P271" s="13">
        <v>0.15747470354296358</v>
      </c>
      <c r="Q271" s="13">
        <v>-1.0654809334524886</v>
      </c>
    </row>
    <row r="272" spans="1:17" x14ac:dyDescent="0.25">
      <c r="A272" s="3">
        <v>1.2376614654493299E+18</v>
      </c>
      <c r="B272" s="3">
        <v>235.78387000000001</v>
      </c>
      <c r="C272" s="3">
        <v>35.609974000000001</v>
      </c>
      <c r="D272" s="3">
        <v>0.42717250000000001</v>
      </c>
      <c r="E272" s="3">
        <v>2.5945500000000017</v>
      </c>
      <c r="F272" s="3">
        <v>4.3041200000000011</v>
      </c>
      <c r="G272" s="3">
        <v>5.0770100000000014</v>
      </c>
      <c r="H272" s="3">
        <v>5.51905</v>
      </c>
      <c r="I272" s="3">
        <v>1.7095699999999994</v>
      </c>
      <c r="J272" s="3">
        <v>2.4824599999999997</v>
      </c>
      <c r="K272" s="3">
        <v>2.9244999999999983</v>
      </c>
      <c r="L272" s="3">
        <v>0.7728900000000003</v>
      </c>
      <c r="M272" s="3">
        <v>1.214929999999999</v>
      </c>
      <c r="N272" s="3">
        <v>0.44203999999999866</v>
      </c>
      <c r="O272" s="13">
        <v>-1.5793404209983462</v>
      </c>
      <c r="P272" s="13">
        <v>-1.4783114897491343</v>
      </c>
      <c r="Q272" s="13">
        <v>-2.2976928699064945</v>
      </c>
    </row>
    <row r="273" spans="1:17" x14ac:dyDescent="0.25">
      <c r="A273" s="3">
        <v>1.2376623378635799E+18</v>
      </c>
      <c r="B273" s="3">
        <v>235.85176000000001</v>
      </c>
      <c r="C273" s="3">
        <v>35.664484999999999</v>
      </c>
      <c r="D273" s="3">
        <v>0.42906169999999999</v>
      </c>
      <c r="E273" s="3">
        <v>2.7760699999999972</v>
      </c>
      <c r="F273" s="3">
        <v>4.5939199999999971</v>
      </c>
      <c r="G273" s="3">
        <v>5.300849999999997</v>
      </c>
      <c r="H273" s="3">
        <v>5.7213399999999979</v>
      </c>
      <c r="I273" s="3">
        <v>1.81785</v>
      </c>
      <c r="J273" s="3">
        <v>2.5247799999999998</v>
      </c>
      <c r="K273" s="3">
        <v>2.9452700000000007</v>
      </c>
      <c r="L273" s="3">
        <v>0.70692999999999984</v>
      </c>
      <c r="M273" s="3">
        <v>1.1274200000000008</v>
      </c>
      <c r="N273" s="3">
        <v>0.42049000000000092</v>
      </c>
      <c r="O273" s="13">
        <v>-1.6900502643873907</v>
      </c>
      <c r="P273" s="13">
        <v>-1.8911650608889072</v>
      </c>
      <c r="Q273" s="13">
        <v>-2.0371426524093037</v>
      </c>
    </row>
    <row r="274" spans="1:17" x14ac:dyDescent="0.25">
      <c r="A274" s="3">
        <v>1.2376614659862001E+18</v>
      </c>
      <c r="B274" s="3">
        <v>236.07709</v>
      </c>
      <c r="C274" s="3">
        <v>35.854717999999998</v>
      </c>
      <c r="D274" s="3">
        <v>0.42921300000000001</v>
      </c>
      <c r="E274" s="3">
        <v>1.6373999999999995</v>
      </c>
      <c r="F274" s="3">
        <v>3.3500700000000023</v>
      </c>
      <c r="G274" s="3">
        <v>4.0759700000000016</v>
      </c>
      <c r="H274" s="3">
        <v>4.5432800000000029</v>
      </c>
      <c r="I274" s="3">
        <v>1.7126700000000028</v>
      </c>
      <c r="J274" s="3">
        <v>2.4385700000000021</v>
      </c>
      <c r="K274" s="3">
        <v>2.9058800000000033</v>
      </c>
      <c r="L274" s="3">
        <v>0.72589999999999932</v>
      </c>
      <c r="M274" s="3">
        <v>1.1932100000000005</v>
      </c>
      <c r="N274" s="3">
        <v>0.46731000000000122</v>
      </c>
      <c r="O274" s="13">
        <v>-0.94596298653050659</v>
      </c>
      <c r="P274" s="13">
        <v>8.7273525351144396E-2</v>
      </c>
      <c r="Q274" s="13">
        <v>-1.1196392188888025</v>
      </c>
    </row>
    <row r="275" spans="1:17" x14ac:dyDescent="0.25">
      <c r="A275" s="3">
        <v>1.2376614659861299E+18</v>
      </c>
      <c r="B275" s="3">
        <v>235.90709000000001</v>
      </c>
      <c r="C275" s="3">
        <v>36.014389999999999</v>
      </c>
      <c r="D275" s="3">
        <v>0.4303167</v>
      </c>
      <c r="E275" s="3">
        <v>1.1731899999999982</v>
      </c>
      <c r="F275" s="3">
        <v>2.3807699999999983</v>
      </c>
      <c r="G275" s="3">
        <v>2.8631999999999991</v>
      </c>
      <c r="H275" s="3">
        <v>3.3049900000000001</v>
      </c>
      <c r="I275" s="3">
        <v>1.2075800000000001</v>
      </c>
      <c r="J275" s="3">
        <v>1.6900100000000009</v>
      </c>
      <c r="K275" s="3">
        <v>2.1318000000000019</v>
      </c>
      <c r="L275" s="3">
        <v>0.4824300000000008</v>
      </c>
      <c r="M275" s="3">
        <v>0.92422000000000182</v>
      </c>
      <c r="N275" s="3">
        <v>0.44179000000000102</v>
      </c>
      <c r="O275" s="13">
        <v>1.2664880449788101</v>
      </c>
      <c r="P275" s="13">
        <v>1.0353172833047952</v>
      </c>
      <c r="Q275" s="13">
        <v>-0.92046827512215823</v>
      </c>
    </row>
    <row r="276" spans="1:17" x14ac:dyDescent="0.25">
      <c r="A276" s="3">
        <v>1.2376623378635799E+18</v>
      </c>
      <c r="B276" s="3">
        <v>235.80287999999999</v>
      </c>
      <c r="C276" s="3">
        <v>35.648170999999998</v>
      </c>
      <c r="D276" s="3">
        <v>0.4320888</v>
      </c>
      <c r="E276" s="3">
        <v>2.3400199999999991</v>
      </c>
      <c r="F276" s="3">
        <v>4.1237400000000015</v>
      </c>
      <c r="G276" s="3">
        <v>4.973510000000001</v>
      </c>
      <c r="H276" s="3">
        <v>5.2908800000000014</v>
      </c>
      <c r="I276" s="3">
        <v>1.7837200000000024</v>
      </c>
      <c r="J276" s="3">
        <v>2.6334900000000019</v>
      </c>
      <c r="K276" s="3">
        <v>2.9508600000000023</v>
      </c>
      <c r="L276" s="3">
        <v>0.84976999999999947</v>
      </c>
      <c r="M276" s="3">
        <v>1.1671399999999998</v>
      </c>
      <c r="N276" s="3">
        <v>0.31737000000000037</v>
      </c>
      <c r="O276" s="13">
        <v>-1.4383881611405502</v>
      </c>
      <c r="P276" s="13">
        <v>-1.2344828529216996</v>
      </c>
      <c r="Q276" s="13">
        <v>-2.245062832281655</v>
      </c>
    </row>
    <row r="277" spans="1:17" x14ac:dyDescent="0.25">
      <c r="A277" s="3">
        <v>1.2376614659862001E+18</v>
      </c>
      <c r="B277" s="3">
        <v>236.13230999999999</v>
      </c>
      <c r="C277" s="3">
        <v>35.823276</v>
      </c>
      <c r="D277" s="3">
        <v>0.43414989999999998</v>
      </c>
      <c r="E277" s="3">
        <v>1.5897800000000011</v>
      </c>
      <c r="F277" s="3">
        <v>3.2658500000000004</v>
      </c>
      <c r="G277" s="3">
        <v>3.9835199999999986</v>
      </c>
      <c r="H277" s="3">
        <v>4.4353699999999989</v>
      </c>
      <c r="I277" s="3">
        <v>1.6760699999999993</v>
      </c>
      <c r="J277" s="3">
        <v>2.3937399999999975</v>
      </c>
      <c r="K277" s="3">
        <v>2.8455899999999978</v>
      </c>
      <c r="L277" s="3">
        <v>0.71766999999999825</v>
      </c>
      <c r="M277" s="3">
        <v>1.1695199999999986</v>
      </c>
      <c r="N277" s="3">
        <v>0.45185000000000031</v>
      </c>
      <c r="O277" s="13">
        <v>-0.77956828975787151</v>
      </c>
      <c r="P277" s="13">
        <v>0.15315369271560467</v>
      </c>
      <c r="Q277" s="13">
        <v>-1.0757031753225217</v>
      </c>
    </row>
    <row r="278" spans="1:17" x14ac:dyDescent="0.25">
      <c r="A278" s="3">
        <v>1.2376614659862001E+18</v>
      </c>
      <c r="B278" s="3">
        <v>236.13230999999999</v>
      </c>
      <c r="C278" s="3">
        <v>35.823276</v>
      </c>
      <c r="D278" s="3">
        <v>0.4342068</v>
      </c>
      <c r="E278" s="3">
        <v>1.5897800000000011</v>
      </c>
      <c r="F278" s="3">
        <v>3.2658500000000004</v>
      </c>
      <c r="G278" s="3">
        <v>3.9835199999999986</v>
      </c>
      <c r="H278" s="3">
        <v>4.4353699999999989</v>
      </c>
      <c r="I278" s="3">
        <v>1.6760699999999993</v>
      </c>
      <c r="J278" s="3">
        <v>2.3937399999999975</v>
      </c>
      <c r="K278" s="3">
        <v>2.8455899999999978</v>
      </c>
      <c r="L278" s="3">
        <v>0.71766999999999825</v>
      </c>
      <c r="M278" s="3">
        <v>1.1695199999999986</v>
      </c>
      <c r="N278" s="3">
        <v>0.45185000000000031</v>
      </c>
      <c r="O278" s="13">
        <v>-0.77964065028592466</v>
      </c>
      <c r="P278" s="13">
        <v>0.15319582937551574</v>
      </c>
      <c r="Q278" s="13">
        <v>-1.0757079817006383</v>
      </c>
    </row>
    <row r="279" spans="1:17" x14ac:dyDescent="0.25">
      <c r="A279" s="3">
        <v>1.2376625032186399E+18</v>
      </c>
      <c r="B279" s="3">
        <v>235.82968</v>
      </c>
      <c r="C279" s="3">
        <v>36.437640000000002</v>
      </c>
      <c r="D279" s="3">
        <v>0.43452550000000001</v>
      </c>
      <c r="E279" s="3">
        <v>4.9469399999999979</v>
      </c>
      <c r="F279" s="3">
        <v>6.8541999999999987</v>
      </c>
      <c r="G279" s="3">
        <v>7.6249299999999991</v>
      </c>
      <c r="H279" s="3">
        <v>8.0661899999999989</v>
      </c>
      <c r="I279" s="3">
        <v>1.9072600000000008</v>
      </c>
      <c r="J279" s="3">
        <v>2.6779900000000012</v>
      </c>
      <c r="K279" s="3">
        <v>3.119250000000001</v>
      </c>
      <c r="L279" s="3">
        <v>0.77073000000000036</v>
      </c>
      <c r="M279" s="3">
        <v>1.2119900000000001</v>
      </c>
      <c r="N279" s="3">
        <v>0.44125999999999976</v>
      </c>
      <c r="O279" s="13">
        <v>-3.6802466319726581</v>
      </c>
      <c r="P279" s="13">
        <v>-5.0524922534960801</v>
      </c>
      <c r="Q279" s="13">
        <v>-2.2217956132088826E-2</v>
      </c>
    </row>
    <row r="280" spans="1:17" x14ac:dyDescent="0.25">
      <c r="A280" s="3">
        <v>1.2376623378635799E+18</v>
      </c>
      <c r="B280" s="3">
        <v>235.87531000000001</v>
      </c>
      <c r="C280" s="3">
        <v>35.724463999999998</v>
      </c>
      <c r="D280" s="3">
        <v>0.44769350000000002</v>
      </c>
      <c r="E280" s="3">
        <v>5.2291899999999991</v>
      </c>
      <c r="F280" s="3">
        <v>6.9578600000000002</v>
      </c>
      <c r="G280" s="3">
        <v>7.7301900000000003</v>
      </c>
      <c r="H280" s="3">
        <v>8.1302500000000002</v>
      </c>
      <c r="I280" s="3">
        <v>1.728670000000001</v>
      </c>
      <c r="J280" s="3">
        <v>2.5010000000000012</v>
      </c>
      <c r="K280" s="3">
        <v>2.9010600000000011</v>
      </c>
      <c r="L280" s="3">
        <v>0.77233000000000018</v>
      </c>
      <c r="M280" s="3">
        <v>1.17239</v>
      </c>
      <c r="N280" s="3">
        <v>0.40005999999999986</v>
      </c>
      <c r="O280" s="13">
        <v>-3.3425238633554843</v>
      </c>
      <c r="P280" s="13">
        <v>-5.6333754055057721</v>
      </c>
      <c r="Q280" s="13">
        <v>-1.6455774779645536</v>
      </c>
    </row>
    <row r="281" spans="1:17" x14ac:dyDescent="0.25">
      <c r="A281" s="3">
        <v>1.2376614659861299E+18</v>
      </c>
      <c r="B281" s="3">
        <v>235.91544999999999</v>
      </c>
      <c r="C281" s="3">
        <v>35.993147</v>
      </c>
      <c r="D281" s="3">
        <v>0.44975949999999998</v>
      </c>
      <c r="E281" s="3">
        <v>1.2729299999999988</v>
      </c>
      <c r="F281" s="3">
        <v>2.7098099999999974</v>
      </c>
      <c r="G281" s="3">
        <v>3.2682599999999979</v>
      </c>
      <c r="H281" s="3">
        <v>3.6395499999999998</v>
      </c>
      <c r="I281" s="3">
        <v>1.4368799999999986</v>
      </c>
      <c r="J281" s="3">
        <v>1.9953299999999992</v>
      </c>
      <c r="K281" s="3">
        <v>2.3666200000000011</v>
      </c>
      <c r="L281" s="3">
        <v>0.55845000000000056</v>
      </c>
      <c r="M281" s="3">
        <v>0.92974000000000245</v>
      </c>
      <c r="N281" s="3">
        <v>0.3712900000000019</v>
      </c>
      <c r="O281" s="13">
        <v>0.66804270957573275</v>
      </c>
      <c r="P281" s="13">
        <v>0.68220576359570262</v>
      </c>
      <c r="Q281" s="13">
        <v>-1.0537172206864174</v>
      </c>
    </row>
    <row r="282" spans="1:17" x14ac:dyDescent="0.25">
      <c r="A282" s="3">
        <v>1.23766247369087E+18</v>
      </c>
      <c r="B282" s="3">
        <v>236.18389999999999</v>
      </c>
      <c r="C282" s="3">
        <v>36.330131000000002</v>
      </c>
      <c r="D282" s="3">
        <v>0.45221420000000001</v>
      </c>
      <c r="E282" s="3">
        <v>-1.9610000000000127E-2</v>
      </c>
      <c r="F282" s="3">
        <v>1.8127099999999992</v>
      </c>
      <c r="G282" s="3">
        <v>2.6504300000000001</v>
      </c>
      <c r="H282" s="3">
        <v>3.2502700000000004</v>
      </c>
      <c r="I282" s="3">
        <v>1.8323199999999993</v>
      </c>
      <c r="J282" s="3">
        <v>2.6700400000000002</v>
      </c>
      <c r="K282" s="3">
        <v>3.2698800000000006</v>
      </c>
      <c r="L282" s="3">
        <v>0.83772000000000091</v>
      </c>
      <c r="M282" s="3">
        <v>1.4375600000000013</v>
      </c>
      <c r="N282" s="3">
        <v>0.59984000000000037</v>
      </c>
      <c r="O282" s="13">
        <v>-0.88866965612298054</v>
      </c>
      <c r="P282" s="13">
        <v>3.0030663095737729</v>
      </c>
      <c r="Q282" s="13">
        <v>0.15672342468614398</v>
      </c>
    </row>
    <row r="283" spans="1:17" x14ac:dyDescent="0.25">
      <c r="A283" s="3">
        <v>1.2376625037558999E+18</v>
      </c>
      <c r="B283" s="3">
        <v>236.84650999999999</v>
      </c>
      <c r="C283" s="3">
        <v>36.171221000000003</v>
      </c>
      <c r="D283" s="3">
        <v>0.45268340000000001</v>
      </c>
      <c r="E283" s="3">
        <v>3.5034999999999989</v>
      </c>
      <c r="F283" s="3">
        <v>5.6902499999999989</v>
      </c>
      <c r="G283" s="3">
        <v>6.4008399999999988</v>
      </c>
      <c r="H283" s="3">
        <v>6.7363999999999997</v>
      </c>
      <c r="I283" s="3">
        <v>2.18675</v>
      </c>
      <c r="J283" s="3">
        <v>2.8973399999999998</v>
      </c>
      <c r="K283" s="3">
        <v>3.2329000000000008</v>
      </c>
      <c r="L283" s="3">
        <v>0.71058999999999983</v>
      </c>
      <c r="M283" s="3">
        <v>1.0461500000000008</v>
      </c>
      <c r="N283" s="3">
        <v>0.33556000000000097</v>
      </c>
      <c r="O283" s="13">
        <v>-2.9890259082050008</v>
      </c>
      <c r="P283" s="13">
        <v>-3.2701043302396298</v>
      </c>
      <c r="Q283" s="13">
        <v>1.2503393802797316</v>
      </c>
    </row>
    <row r="284" spans="1:17" x14ac:dyDescent="0.25">
      <c r="A284" s="3">
        <v>1.2376624736911301E+18</v>
      </c>
      <c r="B284" s="3">
        <v>236.85522</v>
      </c>
      <c r="C284" s="3">
        <v>36.073076999999998</v>
      </c>
      <c r="D284" s="3">
        <v>0.45321679999999998</v>
      </c>
      <c r="E284" s="3">
        <v>2.8410000000000011</v>
      </c>
      <c r="F284" s="3">
        <v>3.8013399999999997</v>
      </c>
      <c r="G284" s="3">
        <v>4.5282599999999995</v>
      </c>
      <c r="H284" s="3">
        <v>4.9054400000000022</v>
      </c>
      <c r="I284" s="3">
        <v>0.96033999999999864</v>
      </c>
      <c r="J284" s="3">
        <v>1.6872599999999984</v>
      </c>
      <c r="K284" s="3">
        <v>2.0644400000000012</v>
      </c>
      <c r="L284" s="3">
        <v>0.72691999999999979</v>
      </c>
      <c r="M284" s="3">
        <v>1.1041000000000025</v>
      </c>
      <c r="N284" s="3">
        <v>0.37718000000000274</v>
      </c>
      <c r="O284" s="13">
        <v>-0.10546935205723978</v>
      </c>
      <c r="P284" s="13">
        <v>-1.3559008726608521</v>
      </c>
      <c r="Q284" s="13">
        <v>1.3921983807411049</v>
      </c>
    </row>
    <row r="285" spans="1:17" x14ac:dyDescent="0.25">
      <c r="A285" s="3">
        <v>1.23766247422787E+18</v>
      </c>
      <c r="B285" s="3">
        <v>236.71001999999999</v>
      </c>
      <c r="C285" s="3">
        <v>36.484735999999998</v>
      </c>
      <c r="D285" s="3">
        <v>0.45355210000000001</v>
      </c>
      <c r="E285" s="3">
        <v>0.82239000000000217</v>
      </c>
      <c r="F285" s="3">
        <v>2.7314500000000024</v>
      </c>
      <c r="G285" s="3">
        <v>3.4808100000000017</v>
      </c>
      <c r="H285" s="3">
        <v>3.854140000000001</v>
      </c>
      <c r="I285" s="3">
        <v>1.9090600000000002</v>
      </c>
      <c r="J285" s="3">
        <v>2.6584199999999996</v>
      </c>
      <c r="K285" s="3">
        <v>3.0317499999999988</v>
      </c>
      <c r="L285" s="3">
        <v>0.74935999999999936</v>
      </c>
      <c r="M285" s="3">
        <v>1.1226899999999986</v>
      </c>
      <c r="N285" s="3">
        <v>0.37332999999999927</v>
      </c>
      <c r="O285" s="13">
        <v>-0.80343283096620999</v>
      </c>
      <c r="P285" s="13">
        <v>1.2991374855093643</v>
      </c>
      <c r="Q285" s="13">
        <v>1.651357177382109</v>
      </c>
    </row>
    <row r="286" spans="1:17" x14ac:dyDescent="0.25">
      <c r="A286" s="3">
        <v>1.2376614659864E+18</v>
      </c>
      <c r="B286" s="3">
        <v>236.63032999999999</v>
      </c>
      <c r="C286" s="3">
        <v>35.652290999999998</v>
      </c>
      <c r="D286" s="3">
        <v>0.45419219999999999</v>
      </c>
      <c r="E286" s="3">
        <v>1.3971500000000034</v>
      </c>
      <c r="F286" s="3">
        <v>3.0092300000000023</v>
      </c>
      <c r="G286" s="3">
        <v>3.8341300000000018</v>
      </c>
      <c r="H286" s="3">
        <v>4.063760000000002</v>
      </c>
      <c r="I286" s="3">
        <v>1.6120799999999988</v>
      </c>
      <c r="J286" s="3">
        <v>2.4369799999999984</v>
      </c>
      <c r="K286" s="3">
        <v>2.6666099999999986</v>
      </c>
      <c r="L286" s="3">
        <v>0.82489999999999952</v>
      </c>
      <c r="M286" s="3">
        <v>1.0545299999999997</v>
      </c>
      <c r="N286" s="3">
        <v>0.22963000000000022</v>
      </c>
      <c r="O286" s="13">
        <v>-0.28350734550707801</v>
      </c>
      <c r="P286" s="13">
        <v>0.21000376443161634</v>
      </c>
      <c r="Q286" s="13">
        <v>-0.50975804639660549</v>
      </c>
    </row>
    <row r="287" spans="1:17" x14ac:dyDescent="0.25">
      <c r="A287" s="3">
        <v>1.2376624736911301E+18</v>
      </c>
      <c r="B287" s="3">
        <v>236.76074</v>
      </c>
      <c r="C287" s="3">
        <v>35.896242999999998</v>
      </c>
      <c r="D287" s="3">
        <v>0.45424239999999999</v>
      </c>
      <c r="E287" s="3">
        <v>2.5752600000000001</v>
      </c>
      <c r="F287" s="3">
        <v>4.2720300000000009</v>
      </c>
      <c r="G287" s="3">
        <v>5.1330099999999987</v>
      </c>
      <c r="H287" s="3">
        <v>5.4905700000000017</v>
      </c>
      <c r="I287" s="3">
        <v>1.6967700000000008</v>
      </c>
      <c r="J287" s="3">
        <v>2.5577499999999986</v>
      </c>
      <c r="K287" s="3">
        <v>2.9153100000000016</v>
      </c>
      <c r="L287" s="3">
        <v>0.86097999999999786</v>
      </c>
      <c r="M287" s="3">
        <v>1.2185400000000008</v>
      </c>
      <c r="N287" s="3">
        <v>0.35756000000000299</v>
      </c>
      <c r="O287" s="13">
        <v>-1.7985763796354579</v>
      </c>
      <c r="P287" s="13">
        <v>-1.4359241733250445</v>
      </c>
      <c r="Q287" s="13">
        <v>0.46180643489226869</v>
      </c>
    </row>
    <row r="288" spans="1:17" x14ac:dyDescent="0.25">
      <c r="A288" s="3">
        <v>1.2376624736909399E+18</v>
      </c>
      <c r="B288" s="3">
        <v>236.30473000000001</v>
      </c>
      <c r="C288" s="3">
        <v>36.326898999999997</v>
      </c>
      <c r="D288" s="3">
        <v>0.45480150000000003</v>
      </c>
      <c r="E288" s="3">
        <v>0.9015500000000003</v>
      </c>
      <c r="F288" s="3">
        <v>2.4344900000000003</v>
      </c>
      <c r="G288" s="3">
        <v>3.1966399999999986</v>
      </c>
      <c r="H288" s="3">
        <v>3.7712499999999984</v>
      </c>
      <c r="I288" s="3">
        <v>1.53294</v>
      </c>
      <c r="J288" s="3">
        <v>2.2950899999999983</v>
      </c>
      <c r="K288" s="3">
        <v>2.8696999999999981</v>
      </c>
      <c r="L288" s="3">
        <v>0.76214999999999833</v>
      </c>
      <c r="M288" s="3">
        <v>1.3367599999999982</v>
      </c>
      <c r="N288" s="3">
        <v>0.57460999999999984</v>
      </c>
      <c r="O288" s="13">
        <v>-0.60600215004495128</v>
      </c>
      <c r="P288" s="13">
        <v>1.6794901470460888</v>
      </c>
      <c r="Q288" s="13">
        <v>0.57412429751159022</v>
      </c>
    </row>
    <row r="289" spans="1:17" x14ac:dyDescent="0.25">
      <c r="A289" s="3">
        <v>1.2376624736909399E+18</v>
      </c>
      <c r="B289" s="3">
        <v>236.30473000000001</v>
      </c>
      <c r="C289" s="3">
        <v>36.326898999999997</v>
      </c>
      <c r="D289" s="3">
        <v>0.45481579999999999</v>
      </c>
      <c r="E289" s="3">
        <v>0.9015500000000003</v>
      </c>
      <c r="F289" s="3">
        <v>2.4344900000000003</v>
      </c>
      <c r="G289" s="3">
        <v>3.1966399999999986</v>
      </c>
      <c r="H289" s="3">
        <v>3.7712499999999984</v>
      </c>
      <c r="I289" s="3">
        <v>1.53294</v>
      </c>
      <c r="J289" s="3">
        <v>2.2950899999999983</v>
      </c>
      <c r="K289" s="3">
        <v>2.8696999999999981</v>
      </c>
      <c r="L289" s="3">
        <v>0.76214999999999833</v>
      </c>
      <c r="M289" s="3">
        <v>1.3367599999999982</v>
      </c>
      <c r="N289" s="3">
        <v>0.57460999999999984</v>
      </c>
      <c r="O289" s="13">
        <v>-0.60602033555551627</v>
      </c>
      <c r="P289" s="13">
        <v>1.6795007367514811</v>
      </c>
      <c r="Q289" s="13">
        <v>0.57412308958176528</v>
      </c>
    </row>
    <row r="290" spans="1:17" x14ac:dyDescent="0.25">
      <c r="A290" s="3">
        <v>1.2376624736911301E+18</v>
      </c>
      <c r="B290" s="3">
        <v>236.83976999999999</v>
      </c>
      <c r="C290" s="3">
        <v>36.102243000000001</v>
      </c>
      <c r="D290" s="3">
        <v>0.45706819999999998</v>
      </c>
      <c r="E290" s="3">
        <v>3.2871999999999986</v>
      </c>
      <c r="F290" s="3">
        <v>4.8459700000000012</v>
      </c>
      <c r="G290" s="3">
        <v>5.7600699999999989</v>
      </c>
      <c r="H290" s="3">
        <v>6.2309599999999996</v>
      </c>
      <c r="I290" s="3">
        <v>1.5587700000000027</v>
      </c>
      <c r="J290" s="3">
        <v>2.4728700000000003</v>
      </c>
      <c r="K290" s="3">
        <v>2.943760000000001</v>
      </c>
      <c r="L290" s="3">
        <v>0.91409999999999769</v>
      </c>
      <c r="M290" s="3">
        <v>1.3849899999999984</v>
      </c>
      <c r="N290" s="3">
        <v>0.4708900000000007</v>
      </c>
      <c r="O290" s="13">
        <v>-2.5227344139381658</v>
      </c>
      <c r="P290" s="13">
        <v>-2.2144491908147113</v>
      </c>
      <c r="Q290" s="13">
        <v>1.2640292894817182</v>
      </c>
    </row>
    <row r="291" spans="1:17" x14ac:dyDescent="0.25">
      <c r="A291" s="3">
        <v>1.2376624736911301E+18</v>
      </c>
      <c r="B291" s="3">
        <v>236.83976999999999</v>
      </c>
      <c r="C291" s="3">
        <v>36.102243000000001</v>
      </c>
      <c r="D291" s="3">
        <v>0.45709860000000002</v>
      </c>
      <c r="E291" s="3">
        <v>3.2871999999999986</v>
      </c>
      <c r="F291" s="3">
        <v>4.8459700000000012</v>
      </c>
      <c r="G291" s="3">
        <v>5.7600699999999989</v>
      </c>
      <c r="H291" s="3">
        <v>6.2309599999999996</v>
      </c>
      <c r="I291" s="3">
        <v>1.5587700000000027</v>
      </c>
      <c r="J291" s="3">
        <v>2.4728700000000003</v>
      </c>
      <c r="K291" s="3">
        <v>2.943760000000001</v>
      </c>
      <c r="L291" s="3">
        <v>0.91409999999999769</v>
      </c>
      <c r="M291" s="3">
        <v>1.3849899999999984</v>
      </c>
      <c r="N291" s="3">
        <v>0.4708900000000007</v>
      </c>
      <c r="O291" s="13">
        <v>-2.5227730740445433</v>
      </c>
      <c r="P291" s="13">
        <v>-2.2144266784340196</v>
      </c>
      <c r="Q291" s="13">
        <v>1.2640267215749574</v>
      </c>
    </row>
    <row r="292" spans="1:17" x14ac:dyDescent="0.25">
      <c r="A292" s="3">
        <v>1.2376623378635799E+18</v>
      </c>
      <c r="B292" s="3">
        <v>235.91431</v>
      </c>
      <c r="C292" s="3">
        <v>35.727079000000003</v>
      </c>
      <c r="D292" s="3">
        <v>0.45992169999999999</v>
      </c>
      <c r="E292" s="3">
        <v>2.9440899999999992</v>
      </c>
      <c r="F292" s="3">
        <v>4.6720600000000019</v>
      </c>
      <c r="G292" s="3">
        <v>5.5614600000000003</v>
      </c>
      <c r="H292" s="3">
        <v>6.0790299999999995</v>
      </c>
      <c r="I292" s="3">
        <v>1.7279700000000027</v>
      </c>
      <c r="J292" s="3">
        <v>2.6173700000000011</v>
      </c>
      <c r="K292" s="3">
        <v>3.1349400000000003</v>
      </c>
      <c r="L292" s="3">
        <v>0.88939999999999841</v>
      </c>
      <c r="M292" s="3">
        <v>1.4069699999999976</v>
      </c>
      <c r="N292" s="3">
        <v>0.5175699999999992</v>
      </c>
      <c r="O292" s="13">
        <v>-2.5071551391015015</v>
      </c>
      <c r="P292" s="13">
        <v>-1.8141409038169412</v>
      </c>
      <c r="Q292" s="13">
        <v>-1.7072528926255854</v>
      </c>
    </row>
    <row r="293" spans="1:17" x14ac:dyDescent="0.25">
      <c r="A293" s="3">
        <v>1.23766247369107E+18</v>
      </c>
      <c r="B293" s="3">
        <v>236.67248000000001</v>
      </c>
      <c r="C293" s="3">
        <v>36.199789000000003</v>
      </c>
      <c r="D293" s="3">
        <v>0.46114119999999997</v>
      </c>
      <c r="E293" s="3">
        <v>1.6944900000000018</v>
      </c>
      <c r="F293" s="3">
        <v>3.4126499999999993</v>
      </c>
      <c r="G293" s="3">
        <v>4.2579899999999995</v>
      </c>
      <c r="H293" s="3">
        <v>4.7532300000000021</v>
      </c>
      <c r="I293" s="3">
        <v>1.7181599999999975</v>
      </c>
      <c r="J293" s="3">
        <v>2.5634999999999977</v>
      </c>
      <c r="K293" s="3">
        <v>3.0587400000000002</v>
      </c>
      <c r="L293" s="3">
        <v>0.8453400000000002</v>
      </c>
      <c r="M293" s="3">
        <v>1.3405800000000028</v>
      </c>
      <c r="N293" s="3">
        <v>0.49524000000000257</v>
      </c>
      <c r="O293" s="13">
        <v>-1.6216511940312488</v>
      </c>
      <c r="P293" s="13">
        <v>0.20433950616157015</v>
      </c>
      <c r="Q293" s="13">
        <v>1.0004101081300867</v>
      </c>
    </row>
    <row r="294" spans="1:17" x14ac:dyDescent="0.25">
      <c r="A294" s="3">
        <v>1.23766247369107E+18</v>
      </c>
      <c r="B294" s="3">
        <v>236.64713</v>
      </c>
      <c r="C294" s="3">
        <v>36.217866999999998</v>
      </c>
      <c r="D294" s="3">
        <v>0.46114240000000001</v>
      </c>
      <c r="E294" s="3">
        <v>1.2464499999999994</v>
      </c>
      <c r="F294" s="3">
        <v>2.9668199999999985</v>
      </c>
      <c r="G294" s="3">
        <v>3.8460999999999999</v>
      </c>
      <c r="H294" s="3">
        <v>4.2323599999999999</v>
      </c>
      <c r="I294" s="3">
        <v>1.7203699999999991</v>
      </c>
      <c r="J294" s="3">
        <v>2.5996500000000005</v>
      </c>
      <c r="K294" s="3">
        <v>2.9859100000000005</v>
      </c>
      <c r="L294" s="3">
        <v>0.87928000000000139</v>
      </c>
      <c r="M294" s="3">
        <v>1.2655400000000014</v>
      </c>
      <c r="N294" s="3">
        <v>0.38626000000000005</v>
      </c>
      <c r="O294" s="13">
        <v>-1.0972102383121722</v>
      </c>
      <c r="P294" s="13">
        <v>0.78786797500037464</v>
      </c>
      <c r="Q294" s="13">
        <v>0.92819717470341279</v>
      </c>
    </row>
    <row r="295" spans="1:17" x14ac:dyDescent="0.25">
      <c r="A295" s="3">
        <v>1.2376625037557701E+18</v>
      </c>
      <c r="B295" s="3">
        <v>236.59676999999999</v>
      </c>
      <c r="C295" s="3">
        <v>36.404626</v>
      </c>
      <c r="D295" s="3">
        <v>0.46420030000000001</v>
      </c>
      <c r="E295" s="3">
        <v>4.0200999999999993</v>
      </c>
      <c r="F295" s="3">
        <v>5.6507499999999986</v>
      </c>
      <c r="G295" s="3">
        <v>6.5203399999999974</v>
      </c>
      <c r="H295" s="3">
        <v>7.1173399999999987</v>
      </c>
      <c r="I295" s="3">
        <v>1.6306499999999993</v>
      </c>
      <c r="J295" s="3">
        <v>2.500239999999998</v>
      </c>
      <c r="K295" s="3">
        <v>3.0972399999999993</v>
      </c>
      <c r="L295" s="3">
        <v>0.86958999999999875</v>
      </c>
      <c r="M295" s="3">
        <v>1.4665900000000001</v>
      </c>
      <c r="N295" s="3">
        <v>0.59700000000000131</v>
      </c>
      <c r="O295" s="13">
        <v>-3.402121853331872</v>
      </c>
      <c r="P295" s="13">
        <v>-3.1652740993022466</v>
      </c>
      <c r="Q295" s="13">
        <v>1.5712577862950476</v>
      </c>
    </row>
    <row r="296" spans="1:17" x14ac:dyDescent="0.25">
      <c r="A296" s="3">
        <v>1.2376625037557701E+18</v>
      </c>
      <c r="B296" s="3">
        <v>236.59676999999999</v>
      </c>
      <c r="C296" s="3">
        <v>36.404626</v>
      </c>
      <c r="D296" s="3">
        <v>0.46448339999999999</v>
      </c>
      <c r="E296" s="3">
        <v>4.0200999999999993</v>
      </c>
      <c r="F296" s="3">
        <v>5.6507499999999986</v>
      </c>
      <c r="G296" s="3">
        <v>6.5203399999999974</v>
      </c>
      <c r="H296" s="3">
        <v>7.1173399999999987</v>
      </c>
      <c r="I296" s="3">
        <v>1.6306499999999993</v>
      </c>
      <c r="J296" s="3">
        <v>2.500239999999998</v>
      </c>
      <c r="K296" s="3">
        <v>3.0972399999999993</v>
      </c>
      <c r="L296" s="3">
        <v>0.86958999999999875</v>
      </c>
      <c r="M296" s="3">
        <v>1.4665900000000001</v>
      </c>
      <c r="N296" s="3">
        <v>0.59700000000000131</v>
      </c>
      <c r="O296" s="13">
        <v>-3.4024818755725024</v>
      </c>
      <c r="P296" s="13">
        <v>-3.1650644527570648</v>
      </c>
      <c r="Q296" s="13">
        <v>1.5712338726633299</v>
      </c>
    </row>
    <row r="297" spans="1:17" x14ac:dyDescent="0.25">
      <c r="A297" s="3">
        <v>1.2376624736908001E+18</v>
      </c>
      <c r="B297" s="3">
        <v>235.99757</v>
      </c>
      <c r="C297" s="3">
        <v>36.522393999999998</v>
      </c>
      <c r="D297" s="3">
        <v>0.46479520000000002</v>
      </c>
      <c r="E297" s="3">
        <v>3.1723800000000004</v>
      </c>
      <c r="F297" s="3">
        <v>4.6572999999999993</v>
      </c>
      <c r="G297" s="3">
        <v>5.4384699999999988</v>
      </c>
      <c r="H297" s="3">
        <v>5.8481799999999993</v>
      </c>
      <c r="I297" s="3">
        <v>1.4849199999999989</v>
      </c>
      <c r="J297" s="3">
        <v>2.2660899999999984</v>
      </c>
      <c r="K297" s="3">
        <v>2.6757999999999988</v>
      </c>
      <c r="L297" s="3">
        <v>0.78116999999999948</v>
      </c>
      <c r="M297" s="3">
        <v>1.1908799999999999</v>
      </c>
      <c r="N297" s="3">
        <v>0.40971000000000046</v>
      </c>
      <c r="O297" s="13">
        <v>-1.5916097017707502</v>
      </c>
      <c r="P297" s="13">
        <v>-1.975919144832841</v>
      </c>
      <c r="Q297" s="13">
        <v>0.54839496616274375</v>
      </c>
    </row>
    <row r="298" spans="1:17" x14ac:dyDescent="0.25">
      <c r="A298" s="3">
        <v>1.2376623378636401E+18</v>
      </c>
      <c r="B298" s="3">
        <v>235.91072</v>
      </c>
      <c r="C298" s="3">
        <v>35.596209999999999</v>
      </c>
      <c r="D298" s="3">
        <v>0.47092079999999997</v>
      </c>
      <c r="E298" s="3">
        <v>1.4322300000000006</v>
      </c>
      <c r="F298" s="3">
        <v>3.1232499999999987</v>
      </c>
      <c r="G298" s="3">
        <v>3.9817700000000009</v>
      </c>
      <c r="H298" s="3">
        <v>4.4623699999999999</v>
      </c>
      <c r="I298" s="3">
        <v>1.6910199999999982</v>
      </c>
      <c r="J298" s="3">
        <v>2.5495400000000004</v>
      </c>
      <c r="K298" s="3">
        <v>3.0301399999999994</v>
      </c>
      <c r="L298" s="3">
        <v>0.85852000000000217</v>
      </c>
      <c r="M298" s="3">
        <v>1.3391200000000012</v>
      </c>
      <c r="N298" s="3">
        <v>0.48059999999999903</v>
      </c>
      <c r="O298" s="13">
        <v>-1.198416438218425</v>
      </c>
      <c r="P298" s="13">
        <v>0.48292196838297596</v>
      </c>
      <c r="Q298" s="13">
        <v>-2.1454262087921481</v>
      </c>
    </row>
    <row r="299" spans="1:17" x14ac:dyDescent="0.25">
      <c r="A299" s="3">
        <v>1.23766247422781E+18</v>
      </c>
      <c r="B299" s="3">
        <v>236.59612999999999</v>
      </c>
      <c r="C299" s="3">
        <v>36.60924</v>
      </c>
      <c r="D299" s="3">
        <v>0.47444399999999998</v>
      </c>
      <c r="E299" s="3">
        <v>0.80305999999999855</v>
      </c>
      <c r="F299" s="3">
        <v>2.4816199999999995</v>
      </c>
      <c r="G299" s="3">
        <v>3.2853500000000011</v>
      </c>
      <c r="H299" s="3">
        <v>3.6864699999999999</v>
      </c>
      <c r="I299" s="3">
        <v>1.6785600000000009</v>
      </c>
      <c r="J299" s="3">
        <v>2.4822900000000025</v>
      </c>
      <c r="K299" s="3">
        <v>2.8834100000000014</v>
      </c>
      <c r="L299" s="3">
        <v>0.80373000000000161</v>
      </c>
      <c r="M299" s="3">
        <v>1.2048500000000004</v>
      </c>
      <c r="N299" s="3">
        <v>0.40111999999999881</v>
      </c>
      <c r="O299" s="13">
        <v>-0.56315408412807211</v>
      </c>
      <c r="P299" s="13">
        <v>1.6153531284758804</v>
      </c>
      <c r="Q299" s="13">
        <v>1.7956488111995945</v>
      </c>
    </row>
    <row r="300" spans="1:17" x14ac:dyDescent="0.25">
      <c r="A300" s="3">
        <v>1.2376624736910001E+18</v>
      </c>
      <c r="B300" s="3">
        <v>236.49501000000001</v>
      </c>
      <c r="C300" s="3">
        <v>36.296745999999999</v>
      </c>
      <c r="D300" s="3">
        <v>0.47511609999999999</v>
      </c>
      <c r="E300" s="3">
        <v>1.8886099999999999</v>
      </c>
      <c r="F300" s="3">
        <v>3.6192999999999991</v>
      </c>
      <c r="G300" s="3">
        <v>4.4715699999999998</v>
      </c>
      <c r="H300" s="3">
        <v>5.0179600000000022</v>
      </c>
      <c r="I300" s="3">
        <v>1.7306899999999992</v>
      </c>
      <c r="J300" s="3">
        <v>2.5829599999999999</v>
      </c>
      <c r="K300" s="3">
        <v>3.1293500000000023</v>
      </c>
      <c r="L300" s="3">
        <v>0.85227000000000075</v>
      </c>
      <c r="M300" s="3">
        <v>1.3986600000000031</v>
      </c>
      <c r="N300" s="3">
        <v>0.54639000000000237</v>
      </c>
      <c r="O300" s="13">
        <v>-1.944920726870107</v>
      </c>
      <c r="P300" s="13">
        <v>1.1072667524184733E-2</v>
      </c>
      <c r="Q300" s="13">
        <v>0.88723235242323961</v>
      </c>
    </row>
    <row r="301" spans="1:17" x14ac:dyDescent="0.25">
      <c r="A301" s="3">
        <v>1.2376624736910001E+18</v>
      </c>
      <c r="B301" s="3">
        <v>236.49501000000001</v>
      </c>
      <c r="C301" s="3">
        <v>36.296745999999999</v>
      </c>
      <c r="D301" s="3">
        <v>0.47551729999999998</v>
      </c>
      <c r="E301" s="3">
        <v>1.8886099999999999</v>
      </c>
      <c r="F301" s="3">
        <v>3.6192999999999991</v>
      </c>
      <c r="G301" s="3">
        <v>4.4715699999999998</v>
      </c>
      <c r="H301" s="3">
        <v>5.0179600000000022</v>
      </c>
      <c r="I301" s="3">
        <v>1.7306899999999992</v>
      </c>
      <c r="J301" s="3">
        <v>2.5829599999999999</v>
      </c>
      <c r="K301" s="3">
        <v>3.1293500000000023</v>
      </c>
      <c r="L301" s="3">
        <v>0.85227000000000075</v>
      </c>
      <c r="M301" s="3">
        <v>1.3986600000000031</v>
      </c>
      <c r="N301" s="3">
        <v>0.54639000000000237</v>
      </c>
      <c r="O301" s="13">
        <v>-1.9454309385371555</v>
      </c>
      <c r="P301" s="13">
        <v>1.1369771706194683E-2</v>
      </c>
      <c r="Q301" s="13">
        <v>0.88719846281163506</v>
      </c>
    </row>
    <row r="302" spans="1:17" x14ac:dyDescent="0.25">
      <c r="A302" s="3">
        <v>1.2376624731541299E+18</v>
      </c>
      <c r="B302" s="3">
        <v>236.28525999999999</v>
      </c>
      <c r="C302" s="3">
        <v>35.906967000000002</v>
      </c>
      <c r="D302" s="3">
        <v>0.47694170000000002</v>
      </c>
      <c r="E302" s="3">
        <v>1.9364199999999983</v>
      </c>
      <c r="F302" s="3">
        <v>3.8497399999999971</v>
      </c>
      <c r="G302" s="3">
        <v>4.8103300000000004</v>
      </c>
      <c r="H302" s="3">
        <v>5.1448999999999998</v>
      </c>
      <c r="I302" s="3">
        <v>1.9133199999999988</v>
      </c>
      <c r="J302" s="3">
        <v>2.8739100000000022</v>
      </c>
      <c r="K302" s="3">
        <v>3.2084800000000016</v>
      </c>
      <c r="L302" s="3">
        <v>0.96059000000000339</v>
      </c>
      <c r="M302" s="3">
        <v>1.2951600000000028</v>
      </c>
      <c r="N302" s="3">
        <v>0.33456999999999937</v>
      </c>
      <c r="O302" s="13">
        <v>-1.9930296575652431</v>
      </c>
      <c r="P302" s="13">
        <v>-0.51074743567626013</v>
      </c>
      <c r="Q302" s="13">
        <v>-0.65827563657783339</v>
      </c>
    </row>
    <row r="303" spans="1:17" x14ac:dyDescent="0.25">
      <c r="A303" s="3">
        <v>1.23766247422781E+18</v>
      </c>
      <c r="B303" s="3">
        <v>236.69828000000001</v>
      </c>
      <c r="C303" s="3">
        <v>36.560623</v>
      </c>
      <c r="D303" s="3">
        <v>0.4814427</v>
      </c>
      <c r="E303" s="3">
        <v>1.3377599999999994</v>
      </c>
      <c r="F303" s="3">
        <v>2.8652200000000008</v>
      </c>
      <c r="G303" s="3">
        <v>3.696550000000002</v>
      </c>
      <c r="H303" s="3">
        <v>4.2425700000000006</v>
      </c>
      <c r="I303" s="3">
        <v>1.5274600000000014</v>
      </c>
      <c r="J303" s="3">
        <v>2.3587900000000026</v>
      </c>
      <c r="K303" s="3">
        <v>2.9048100000000012</v>
      </c>
      <c r="L303" s="3">
        <v>0.83133000000000123</v>
      </c>
      <c r="M303" s="3">
        <v>1.3773499999999999</v>
      </c>
      <c r="N303" s="3">
        <v>0.54601999999999862</v>
      </c>
      <c r="O303" s="13">
        <v>-1.1437120848230997</v>
      </c>
      <c r="P303" s="13">
        <v>1.0755954910916863</v>
      </c>
      <c r="Q303" s="13">
        <v>2.0105384037789116</v>
      </c>
    </row>
    <row r="304" spans="1:17" x14ac:dyDescent="0.25">
      <c r="A304" s="3">
        <v>1.2376614659863301E+18</v>
      </c>
      <c r="B304" s="3">
        <v>236.34246999999999</v>
      </c>
      <c r="C304" s="3">
        <v>35.605102000000002</v>
      </c>
      <c r="D304" s="3">
        <v>0.48429060000000002</v>
      </c>
      <c r="E304" s="3">
        <v>3.5117999999999974</v>
      </c>
      <c r="F304" s="3">
        <v>4.9389000000000003</v>
      </c>
      <c r="G304" s="3">
        <v>5.7707599999999992</v>
      </c>
      <c r="H304" s="3">
        <v>6.2627500000000005</v>
      </c>
      <c r="I304" s="3">
        <v>1.4271000000000029</v>
      </c>
      <c r="J304" s="3">
        <v>2.2589600000000019</v>
      </c>
      <c r="K304" s="3">
        <v>2.7509500000000031</v>
      </c>
      <c r="L304" s="3">
        <v>0.83185999999999893</v>
      </c>
      <c r="M304" s="3">
        <v>1.3238500000000002</v>
      </c>
      <c r="N304" s="3">
        <v>0.49199000000000126</v>
      </c>
      <c r="O304" s="13">
        <v>-2.1099024879174695</v>
      </c>
      <c r="P304" s="13">
        <v>-2.6054177282487627</v>
      </c>
      <c r="Q304" s="13">
        <v>-0.96468766794080396</v>
      </c>
    </row>
    <row r="305" spans="1:17" x14ac:dyDescent="0.25">
      <c r="A305" s="3">
        <v>1.2376624736910001E+18</v>
      </c>
      <c r="B305" s="3">
        <v>236.43652</v>
      </c>
      <c r="C305" s="3">
        <v>36.263806000000002</v>
      </c>
      <c r="D305" s="3">
        <v>0.48682690000000001</v>
      </c>
      <c r="E305" s="3">
        <v>4.9590700000000005</v>
      </c>
      <c r="F305" s="3">
        <v>6.753420000000002</v>
      </c>
      <c r="G305" s="3">
        <v>7.631689999999999</v>
      </c>
      <c r="H305" s="3">
        <v>8.1429700000000018</v>
      </c>
      <c r="I305" s="3">
        <v>1.7943500000000014</v>
      </c>
      <c r="J305" s="3">
        <v>2.6726199999999984</v>
      </c>
      <c r="K305" s="3">
        <v>3.1839000000000013</v>
      </c>
      <c r="L305" s="3">
        <v>0.878269999999997</v>
      </c>
      <c r="M305" s="3">
        <v>1.3895499999999998</v>
      </c>
      <c r="N305" s="3">
        <v>0.51128000000000284</v>
      </c>
      <c r="O305" s="13">
        <v>-4.1476752691185323</v>
      </c>
      <c r="P305" s="13">
        <v>-4.8766817341948219</v>
      </c>
      <c r="Q305" s="13">
        <v>0.86701165097905675</v>
      </c>
    </row>
    <row r="306" spans="1:17" x14ac:dyDescent="0.25">
      <c r="A306" s="3">
        <v>1.2376624736910001E+18</v>
      </c>
      <c r="B306" s="3">
        <v>236.43652</v>
      </c>
      <c r="C306" s="3">
        <v>36.263806000000002</v>
      </c>
      <c r="D306" s="3">
        <v>0.48692390000000002</v>
      </c>
      <c r="E306" s="3">
        <v>4.9590700000000005</v>
      </c>
      <c r="F306" s="3">
        <v>6.753420000000002</v>
      </c>
      <c r="G306" s="3">
        <v>7.631689999999999</v>
      </c>
      <c r="H306" s="3">
        <v>8.1429700000000018</v>
      </c>
      <c r="I306" s="3">
        <v>1.7943500000000014</v>
      </c>
      <c r="J306" s="3">
        <v>2.6726199999999984</v>
      </c>
      <c r="K306" s="3">
        <v>3.1839000000000013</v>
      </c>
      <c r="L306" s="3">
        <v>0.878269999999997</v>
      </c>
      <c r="M306" s="3">
        <v>1.3895499999999998</v>
      </c>
      <c r="N306" s="3">
        <v>0.51128000000000284</v>
      </c>
      <c r="O306" s="13">
        <v>-4.1477986253790169</v>
      </c>
      <c r="P306" s="13">
        <v>-4.8766099019274876</v>
      </c>
      <c r="Q306" s="13">
        <v>0.86700345732919237</v>
      </c>
    </row>
    <row r="307" spans="1:17" x14ac:dyDescent="0.25">
      <c r="A307" s="3">
        <v>1.2376624736909399E+18</v>
      </c>
      <c r="B307" s="3">
        <v>236.37562</v>
      </c>
      <c r="C307" s="3">
        <v>36.267167999999998</v>
      </c>
      <c r="D307" s="3">
        <v>0.48791800000000002</v>
      </c>
      <c r="E307" s="3">
        <v>4.0758699999999983</v>
      </c>
      <c r="F307" s="3">
        <v>5.7414699999999996</v>
      </c>
      <c r="G307" s="3">
        <v>6.6291900000000012</v>
      </c>
      <c r="H307" s="3">
        <v>7.1711500000000008</v>
      </c>
      <c r="I307" s="3">
        <v>1.6656000000000013</v>
      </c>
      <c r="J307" s="3">
        <v>2.5533200000000029</v>
      </c>
      <c r="K307" s="3">
        <v>3.0952800000000025</v>
      </c>
      <c r="L307" s="3">
        <v>0.88772000000000162</v>
      </c>
      <c r="M307" s="3">
        <v>1.4296800000000012</v>
      </c>
      <c r="N307" s="3">
        <v>0.54195999999999955</v>
      </c>
      <c r="O307" s="13">
        <v>-3.3823134437576297</v>
      </c>
      <c r="P307" s="13">
        <v>-3.3525071184806503</v>
      </c>
      <c r="Q307" s="13">
        <v>0.73194162234373961</v>
      </c>
    </row>
    <row r="308" spans="1:17" x14ac:dyDescent="0.25">
      <c r="A308" s="3">
        <v>1.2376624736909399E+18</v>
      </c>
      <c r="B308" s="3">
        <v>236.37562</v>
      </c>
      <c r="C308" s="3">
        <v>36.267167999999998</v>
      </c>
      <c r="D308" s="3">
        <v>0.48806119999999997</v>
      </c>
      <c r="E308" s="3">
        <v>4.0758699999999983</v>
      </c>
      <c r="F308" s="3">
        <v>5.7414699999999996</v>
      </c>
      <c r="G308" s="3">
        <v>6.6291900000000012</v>
      </c>
      <c r="H308" s="3">
        <v>7.1711500000000008</v>
      </c>
      <c r="I308" s="3">
        <v>1.6656000000000013</v>
      </c>
      <c r="J308" s="3">
        <v>2.5533200000000029</v>
      </c>
      <c r="K308" s="3">
        <v>3.0952800000000025</v>
      </c>
      <c r="L308" s="3">
        <v>0.88772000000000162</v>
      </c>
      <c r="M308" s="3">
        <v>1.4296800000000012</v>
      </c>
      <c r="N308" s="3">
        <v>0.54195999999999955</v>
      </c>
      <c r="O308" s="13">
        <v>-3.3824955532060881</v>
      </c>
      <c r="P308" s="13">
        <v>-3.3524010733189757</v>
      </c>
      <c r="Q308" s="13">
        <v>0.73192952615136242</v>
      </c>
    </row>
    <row r="309" spans="1:17" x14ac:dyDescent="0.25">
      <c r="A309" s="3">
        <v>1.2376614659864E+18</v>
      </c>
      <c r="B309" s="3">
        <v>236.53321</v>
      </c>
      <c r="C309" s="3">
        <v>35.662090999999997</v>
      </c>
      <c r="D309" s="3">
        <v>0.48877179999999998</v>
      </c>
      <c r="E309" s="3">
        <v>1.7843600000000031</v>
      </c>
      <c r="F309" s="3">
        <v>3.4597800000000021</v>
      </c>
      <c r="G309" s="3">
        <v>4.265310000000003</v>
      </c>
      <c r="H309" s="3">
        <v>4.7272300000000023</v>
      </c>
      <c r="I309" s="3">
        <v>1.675419999999999</v>
      </c>
      <c r="J309" s="3">
        <v>2.48095</v>
      </c>
      <c r="K309" s="3">
        <v>2.9428699999999992</v>
      </c>
      <c r="L309" s="3">
        <v>0.80553000000000097</v>
      </c>
      <c r="M309" s="3">
        <v>1.2674500000000002</v>
      </c>
      <c r="N309" s="3">
        <v>0.46191999999999922</v>
      </c>
      <c r="O309" s="13">
        <v>-1.3372914844307426</v>
      </c>
      <c r="P309" s="13">
        <v>-0.11078549582929929</v>
      </c>
      <c r="Q309" s="13">
        <v>-0.62837551715174567</v>
      </c>
    </row>
    <row r="310" spans="1:17" x14ac:dyDescent="0.25">
      <c r="A310" s="3">
        <v>1.2376624736910001E+18</v>
      </c>
      <c r="B310" s="3">
        <v>236.511</v>
      </c>
      <c r="C310" s="3">
        <v>36.230271000000002</v>
      </c>
      <c r="D310" s="3">
        <v>0.48893579999999998</v>
      </c>
      <c r="E310" s="3">
        <v>1.3064900000000002</v>
      </c>
      <c r="F310" s="3">
        <v>3.0185899999999997</v>
      </c>
      <c r="G310" s="3">
        <v>3.9085099999999997</v>
      </c>
      <c r="H310" s="3">
        <v>4.4128100000000003</v>
      </c>
      <c r="I310" s="3">
        <v>1.7120999999999995</v>
      </c>
      <c r="J310" s="3">
        <v>2.6020199999999996</v>
      </c>
      <c r="K310" s="3">
        <v>3.1063200000000002</v>
      </c>
      <c r="L310" s="3">
        <v>0.88992000000000004</v>
      </c>
      <c r="M310" s="3">
        <v>1.3942200000000007</v>
      </c>
      <c r="N310" s="3">
        <v>0.50430000000000064</v>
      </c>
      <c r="O310" s="13">
        <v>-1.5125557887453449</v>
      </c>
      <c r="P310" s="13">
        <v>0.89315225612437898</v>
      </c>
      <c r="Q310" s="13">
        <v>0.70266093634402438</v>
      </c>
    </row>
    <row r="311" spans="1:17" x14ac:dyDescent="0.25">
      <c r="A311" s="3">
        <v>1.2376624736910001E+18</v>
      </c>
      <c r="B311" s="3">
        <v>236.511</v>
      </c>
      <c r="C311" s="3">
        <v>36.230271000000002</v>
      </c>
      <c r="D311" s="3">
        <v>0.4890215</v>
      </c>
      <c r="E311" s="3">
        <v>1.3064900000000002</v>
      </c>
      <c r="F311" s="3">
        <v>3.0185899999999997</v>
      </c>
      <c r="G311" s="3">
        <v>3.9085099999999997</v>
      </c>
      <c r="H311" s="3">
        <v>4.4128100000000003</v>
      </c>
      <c r="I311" s="3">
        <v>1.7120999999999995</v>
      </c>
      <c r="J311" s="3">
        <v>2.6020199999999996</v>
      </c>
      <c r="K311" s="3">
        <v>3.1063200000000002</v>
      </c>
      <c r="L311" s="3">
        <v>0.88992000000000004</v>
      </c>
      <c r="M311" s="3">
        <v>1.3942200000000007</v>
      </c>
      <c r="N311" s="3">
        <v>0.50430000000000064</v>
      </c>
      <c r="O311" s="13">
        <v>-1.5126647746373345</v>
      </c>
      <c r="P311" s="13">
        <v>0.89321572030283924</v>
      </c>
      <c r="Q311" s="13">
        <v>0.70265369721213378</v>
      </c>
    </row>
    <row r="312" spans="1:17" x14ac:dyDescent="0.25">
      <c r="A312" s="3">
        <v>1.2376625037557701E+18</v>
      </c>
      <c r="B312" s="3">
        <v>236.57469</v>
      </c>
      <c r="C312" s="3">
        <v>36.377665999999998</v>
      </c>
      <c r="D312" s="3">
        <v>0.49893389999999999</v>
      </c>
      <c r="E312" s="3">
        <v>1.5072299999999998</v>
      </c>
      <c r="F312" s="3">
        <v>3.5565499999999979</v>
      </c>
      <c r="G312" s="3">
        <v>4.4745899999999992</v>
      </c>
      <c r="H312" s="3">
        <v>5.0892799999999987</v>
      </c>
      <c r="I312" s="3">
        <v>2.049319999999998</v>
      </c>
      <c r="J312" s="3">
        <v>2.9673599999999993</v>
      </c>
      <c r="K312" s="3">
        <v>3.5820499999999988</v>
      </c>
      <c r="L312" s="3">
        <v>0.9180400000000013</v>
      </c>
      <c r="M312" s="3">
        <v>1.5327300000000008</v>
      </c>
      <c r="N312" s="3">
        <v>0.61468999999999951</v>
      </c>
      <c r="O312" s="13">
        <v>-2.8125349687209549</v>
      </c>
      <c r="P312" s="13">
        <v>0.56014391061917146</v>
      </c>
      <c r="Q312" s="13">
        <v>1.1319512581411784</v>
      </c>
    </row>
    <row r="313" spans="1:17" x14ac:dyDescent="0.25">
      <c r="A313" s="3">
        <v>1.2376624736909299E+18</v>
      </c>
      <c r="B313" s="3">
        <v>236.38335000000001</v>
      </c>
      <c r="C313" s="3">
        <v>36.318854000000002</v>
      </c>
      <c r="D313" s="3">
        <v>0.49973709999999999</v>
      </c>
      <c r="E313" s="3">
        <v>1.0801900000000018</v>
      </c>
      <c r="F313" s="3">
        <v>2.6434400000000018</v>
      </c>
      <c r="G313" s="3">
        <v>3.6115600000000008</v>
      </c>
      <c r="H313" s="3">
        <v>3.9672699999999992</v>
      </c>
      <c r="I313" s="3">
        <v>1.56325</v>
      </c>
      <c r="J313" s="3">
        <v>2.531369999999999</v>
      </c>
      <c r="K313" s="3">
        <v>2.8870799999999974</v>
      </c>
      <c r="L313" s="3">
        <v>0.96811999999999898</v>
      </c>
      <c r="M313" s="3">
        <v>1.3238299999999974</v>
      </c>
      <c r="N313" s="3">
        <v>0.35570999999999842</v>
      </c>
      <c r="O313" s="13">
        <v>-0.83531376756518494</v>
      </c>
      <c r="P313" s="13">
        <v>1.2405513813793787</v>
      </c>
      <c r="Q313" s="13">
        <v>0.64040124530561171</v>
      </c>
    </row>
    <row r="314" spans="1:17" x14ac:dyDescent="0.25">
      <c r="A314" s="3">
        <v>1.2376624736909299E+18</v>
      </c>
      <c r="B314" s="3">
        <v>236.38335000000001</v>
      </c>
      <c r="C314" s="3">
        <v>36.318854000000002</v>
      </c>
      <c r="D314" s="3">
        <v>0.49991029999999997</v>
      </c>
      <c r="E314" s="3">
        <v>1.0801900000000018</v>
      </c>
      <c r="F314" s="3">
        <v>2.6434400000000018</v>
      </c>
      <c r="G314" s="3">
        <v>3.6115600000000008</v>
      </c>
      <c r="H314" s="3">
        <v>3.9672699999999992</v>
      </c>
      <c r="I314" s="3">
        <v>1.56325</v>
      </c>
      <c r="J314" s="3">
        <v>2.531369999999999</v>
      </c>
      <c r="K314" s="3">
        <v>2.8870799999999974</v>
      </c>
      <c r="L314" s="3">
        <v>0.96811999999999898</v>
      </c>
      <c r="M314" s="3">
        <v>1.3238299999999974</v>
      </c>
      <c r="N314" s="3">
        <v>0.35570999999999842</v>
      </c>
      <c r="O314" s="13">
        <v>-0.8355340284344086</v>
      </c>
      <c r="P314" s="13">
        <v>1.2406796427062101</v>
      </c>
      <c r="Q314" s="13">
        <v>0.64038661499471916</v>
      </c>
    </row>
    <row r="315" spans="1:17" x14ac:dyDescent="0.25">
      <c r="A315" s="3">
        <v>1.23766247422787E+18</v>
      </c>
      <c r="B315" s="3">
        <v>236.77708000000001</v>
      </c>
      <c r="C315" s="3">
        <v>36.612729000000002</v>
      </c>
      <c r="D315" s="3">
        <v>0.50017730000000005</v>
      </c>
      <c r="E315" s="3">
        <v>3.7154699999999998</v>
      </c>
      <c r="F315" s="3">
        <v>5.0866899999999973</v>
      </c>
      <c r="G315" s="3">
        <v>6.0794199999999989</v>
      </c>
      <c r="H315" s="3">
        <v>6.6410099999999979</v>
      </c>
      <c r="I315" s="3">
        <v>1.3712199999999974</v>
      </c>
      <c r="J315" s="3">
        <v>2.3639499999999991</v>
      </c>
      <c r="K315" s="3">
        <v>2.925539999999998</v>
      </c>
      <c r="L315" s="3">
        <v>0.99273000000000167</v>
      </c>
      <c r="M315" s="3">
        <v>1.5543200000000006</v>
      </c>
      <c r="N315" s="3">
        <v>0.56158999999999892</v>
      </c>
      <c r="O315" s="13">
        <v>-3.0082203081931698</v>
      </c>
      <c r="P315" s="13">
        <v>-2.4009456530834941</v>
      </c>
      <c r="Q315" s="13">
        <v>2.513241492666741</v>
      </c>
    </row>
    <row r="316" spans="1:17" x14ac:dyDescent="0.25">
      <c r="A316" s="3">
        <v>1.23766247422787E+18</v>
      </c>
      <c r="B316" s="3">
        <v>236.77206000000001</v>
      </c>
      <c r="C316" s="3">
        <v>36.457030000000003</v>
      </c>
      <c r="D316" s="3">
        <v>0.50160280000000002</v>
      </c>
      <c r="E316" s="3">
        <v>2.6629700000000014</v>
      </c>
      <c r="F316" s="3">
        <v>5.2266700000000021</v>
      </c>
      <c r="G316" s="3">
        <v>6.1650500000000008</v>
      </c>
      <c r="H316" s="3">
        <v>6.419710000000002</v>
      </c>
      <c r="I316" s="3">
        <v>2.5637000000000008</v>
      </c>
      <c r="J316" s="3">
        <v>3.5020799999999994</v>
      </c>
      <c r="K316" s="3">
        <v>3.7567400000000006</v>
      </c>
      <c r="L316" s="3">
        <v>0.93837999999999866</v>
      </c>
      <c r="M316" s="3">
        <v>1.1930399999999999</v>
      </c>
      <c r="N316" s="3">
        <v>0.25466000000000122</v>
      </c>
      <c r="O316" s="13">
        <v>-3.7330650141548238</v>
      </c>
      <c r="P316" s="13">
        <v>-2.0533257714446895</v>
      </c>
      <c r="Q316" s="13">
        <v>1.5705982909947021</v>
      </c>
    </row>
    <row r="317" spans="1:17" x14ac:dyDescent="0.25">
      <c r="A317" s="3">
        <v>1.23766247422787E+18</v>
      </c>
      <c r="B317" s="3">
        <v>236.77206000000001</v>
      </c>
      <c r="C317" s="3">
        <v>36.457030000000003</v>
      </c>
      <c r="D317" s="3">
        <v>0.50189079999999997</v>
      </c>
      <c r="E317" s="3">
        <v>2.6629700000000014</v>
      </c>
      <c r="F317" s="3">
        <v>5.2266700000000021</v>
      </c>
      <c r="G317" s="3">
        <v>6.1650500000000008</v>
      </c>
      <c r="H317" s="3">
        <v>6.419710000000002</v>
      </c>
      <c r="I317" s="3">
        <v>2.5637000000000008</v>
      </c>
      <c r="J317" s="3">
        <v>3.5020799999999994</v>
      </c>
      <c r="K317" s="3">
        <v>3.7567400000000006</v>
      </c>
      <c r="L317" s="3">
        <v>0.93837999999999866</v>
      </c>
      <c r="M317" s="3">
        <v>1.1930399999999999</v>
      </c>
      <c r="N317" s="3">
        <v>0.25466000000000122</v>
      </c>
      <c r="O317" s="13">
        <v>-3.7334312677941806</v>
      </c>
      <c r="P317" s="13">
        <v>-2.0531124962591978</v>
      </c>
      <c r="Q317" s="13">
        <v>1.5705739634569589</v>
      </c>
    </row>
    <row r="318" spans="1:17" x14ac:dyDescent="0.25">
      <c r="A318" s="3">
        <v>1.23766247369107E+18</v>
      </c>
      <c r="B318" s="3">
        <v>236.50611000000001</v>
      </c>
      <c r="C318" s="3">
        <v>36.073979000000001</v>
      </c>
      <c r="D318" s="3">
        <v>0.50234250000000003</v>
      </c>
      <c r="E318" s="3">
        <v>-0.16061000000000192</v>
      </c>
      <c r="F318" s="3">
        <v>1.5448999999999984</v>
      </c>
      <c r="G318" s="3">
        <v>2.4969499999999982</v>
      </c>
      <c r="H318" s="3">
        <v>2.8129499999999972</v>
      </c>
      <c r="I318" s="3">
        <v>1.7055100000000003</v>
      </c>
      <c r="J318" s="3">
        <v>2.6575600000000001</v>
      </c>
      <c r="K318" s="3">
        <v>2.9735599999999991</v>
      </c>
      <c r="L318" s="3">
        <v>0.95204999999999984</v>
      </c>
      <c r="M318" s="3">
        <v>1.2680499999999988</v>
      </c>
      <c r="N318" s="3">
        <v>0.31599999999999895</v>
      </c>
      <c r="O318" s="13">
        <v>-0.13127252558089267</v>
      </c>
      <c r="P318" s="13">
        <v>2.949041020180744</v>
      </c>
      <c r="Q318" s="13">
        <v>0.1422516221974546</v>
      </c>
    </row>
    <row r="319" spans="1:17" x14ac:dyDescent="0.25">
      <c r="A319" s="3">
        <v>1.2376625037557701E+18</v>
      </c>
      <c r="B319" s="3">
        <v>236.66847999999999</v>
      </c>
      <c r="C319" s="3">
        <v>36.275706</v>
      </c>
      <c r="D319" s="3">
        <v>0.50268520000000005</v>
      </c>
      <c r="E319" s="3">
        <v>1.0589800000000018</v>
      </c>
      <c r="F319" s="3">
        <v>2.5711300000000001</v>
      </c>
      <c r="G319" s="3">
        <v>3.3450400000000009</v>
      </c>
      <c r="H319" s="3">
        <v>3.9148700000000005</v>
      </c>
      <c r="I319" s="3">
        <v>1.5121499999999983</v>
      </c>
      <c r="J319" s="3">
        <v>2.2860599999999991</v>
      </c>
      <c r="K319" s="3">
        <v>2.8558899999999987</v>
      </c>
      <c r="L319" s="3">
        <v>0.77391000000000076</v>
      </c>
      <c r="M319" s="3">
        <v>1.3437400000000004</v>
      </c>
      <c r="N319" s="3">
        <v>0.56982999999999961</v>
      </c>
      <c r="O319" s="13">
        <v>-0.81632510397969682</v>
      </c>
      <c r="P319" s="13">
        <v>1.4512828248474787</v>
      </c>
      <c r="Q319" s="13">
        <v>1.2290502586111807</v>
      </c>
    </row>
    <row r="320" spans="1:17" x14ac:dyDescent="0.25">
      <c r="A320" s="3">
        <v>1.23766146598627E+18</v>
      </c>
      <c r="B320" s="3">
        <v>236.30378999999999</v>
      </c>
      <c r="C320" s="3">
        <v>35.821069999999999</v>
      </c>
      <c r="D320" s="3">
        <v>0.50426159999999998</v>
      </c>
      <c r="E320" s="3">
        <v>1.8839700000000015</v>
      </c>
      <c r="F320" s="3">
        <v>3.2898100000000028</v>
      </c>
      <c r="G320" s="3">
        <v>4.2445100000000018</v>
      </c>
      <c r="H320" s="3">
        <v>4.7261900000000026</v>
      </c>
      <c r="I320" s="3">
        <v>1.4058400000000013</v>
      </c>
      <c r="J320" s="3">
        <v>2.3605400000000003</v>
      </c>
      <c r="K320" s="3">
        <v>2.8422200000000011</v>
      </c>
      <c r="L320" s="3">
        <v>0.95469999999999899</v>
      </c>
      <c r="M320" s="3">
        <v>1.4363799999999998</v>
      </c>
      <c r="N320" s="3">
        <v>0.48168000000000077</v>
      </c>
      <c r="O320" s="13">
        <v>-1.3308726397761246</v>
      </c>
      <c r="P320" s="13">
        <v>0.10434101870505745</v>
      </c>
      <c r="Q320" s="13">
        <v>-0.63457643799186048</v>
      </c>
    </row>
    <row r="321" spans="1:17" x14ac:dyDescent="0.25">
      <c r="A321" s="3">
        <v>1.2376614659863301E+18</v>
      </c>
      <c r="B321" s="3">
        <v>236.39053000000001</v>
      </c>
      <c r="C321" s="3">
        <v>35.756470999999998</v>
      </c>
      <c r="D321" s="3">
        <v>0.50478540000000005</v>
      </c>
      <c r="E321" s="3">
        <v>0.76332000000000022</v>
      </c>
      <c r="F321" s="3">
        <v>2.113940000000003</v>
      </c>
      <c r="G321" s="3">
        <v>2.9102700000000006</v>
      </c>
      <c r="H321" s="3">
        <v>3.2970600000000019</v>
      </c>
      <c r="I321" s="3">
        <v>1.3506200000000028</v>
      </c>
      <c r="J321" s="3">
        <v>2.1469500000000004</v>
      </c>
      <c r="K321" s="3">
        <v>2.5337400000000017</v>
      </c>
      <c r="L321" s="3">
        <v>0.79632999999999754</v>
      </c>
      <c r="M321" s="3">
        <v>1.1831199999999988</v>
      </c>
      <c r="N321" s="3">
        <v>0.3867900000000013</v>
      </c>
      <c r="O321" s="13">
        <v>0.29571620778323315</v>
      </c>
      <c r="P321" s="13">
        <v>1.6539431175637058</v>
      </c>
      <c r="Q321" s="13">
        <v>-0.67792180774907063</v>
      </c>
    </row>
    <row r="322" spans="1:17" x14ac:dyDescent="0.25">
      <c r="A322" s="3">
        <v>1.23766146598607E+18</v>
      </c>
      <c r="B322" s="3">
        <v>235.80842999999999</v>
      </c>
      <c r="C322" s="3">
        <v>36.016514000000001</v>
      </c>
      <c r="D322" s="3">
        <v>0.50828139999999999</v>
      </c>
      <c r="E322" s="3">
        <v>2.1560900000000025</v>
      </c>
      <c r="F322" s="3">
        <v>3.8449500000000008</v>
      </c>
      <c r="G322" s="3">
        <v>4.813480000000002</v>
      </c>
      <c r="H322" s="3">
        <v>5.1877900000000032</v>
      </c>
      <c r="I322" s="3">
        <v>1.6888599999999983</v>
      </c>
      <c r="J322" s="3">
        <v>2.6573899999999995</v>
      </c>
      <c r="K322" s="3">
        <v>3.0317000000000007</v>
      </c>
      <c r="L322" s="3">
        <v>0.96853000000000122</v>
      </c>
      <c r="M322" s="3">
        <v>1.3428400000000025</v>
      </c>
      <c r="N322" s="3">
        <v>0.37431000000000125</v>
      </c>
      <c r="O322" s="13">
        <v>-1.7669953247700902</v>
      </c>
      <c r="P322" s="13">
        <v>-0.56619153279661716</v>
      </c>
      <c r="Q322" s="13">
        <v>-1.2985231355224147</v>
      </c>
    </row>
    <row r="323" spans="1:17" x14ac:dyDescent="0.25">
      <c r="A323" s="3">
        <v>1.23766250375584E+18</v>
      </c>
      <c r="B323" s="3">
        <v>236.68878000000001</v>
      </c>
      <c r="C323" s="3">
        <v>36.205488000000003</v>
      </c>
      <c r="D323" s="3">
        <v>0.51101370000000002</v>
      </c>
      <c r="E323" s="3">
        <v>0.84224000000000032</v>
      </c>
      <c r="F323" s="3">
        <v>2.2649100000000004</v>
      </c>
      <c r="G323" s="3">
        <v>3.2161200000000001</v>
      </c>
      <c r="H323" s="3">
        <v>3.0502400000000023</v>
      </c>
      <c r="I323" s="3">
        <v>1.4226700000000001</v>
      </c>
      <c r="J323" s="3">
        <v>2.3738799999999998</v>
      </c>
      <c r="K323" s="3">
        <v>2.208000000000002</v>
      </c>
      <c r="L323" s="3">
        <v>0.95120999999999967</v>
      </c>
      <c r="M323" s="3">
        <v>0.78533000000000186</v>
      </c>
      <c r="N323" s="3">
        <v>-0.16587999999999781</v>
      </c>
      <c r="O323" s="13">
        <v>1.1567947394095943</v>
      </c>
      <c r="P323" s="13">
        <v>0.96711213687747377</v>
      </c>
      <c r="Q323" s="13">
        <v>0.90784286498384192</v>
      </c>
    </row>
    <row r="324" spans="1:17" x14ac:dyDescent="0.25">
      <c r="A324" s="3">
        <v>1.2376623378635799E+18</v>
      </c>
      <c r="B324" s="3">
        <v>235.90980999999999</v>
      </c>
      <c r="C324" s="3">
        <v>35.747709999999998</v>
      </c>
      <c r="D324" s="3">
        <v>0.51307579999999997</v>
      </c>
      <c r="E324" s="3">
        <v>0.80823999999999785</v>
      </c>
      <c r="F324" s="3">
        <v>2.6162299999999981</v>
      </c>
      <c r="G324" s="3">
        <v>3.48048</v>
      </c>
      <c r="H324" s="3">
        <v>3.9831099999999999</v>
      </c>
      <c r="I324" s="3">
        <v>1.8079900000000002</v>
      </c>
      <c r="J324" s="3">
        <v>2.6722400000000022</v>
      </c>
      <c r="K324" s="3">
        <v>3.1748700000000021</v>
      </c>
      <c r="L324" s="3">
        <v>0.86425000000000196</v>
      </c>
      <c r="M324" s="3">
        <v>1.3668800000000019</v>
      </c>
      <c r="N324" s="3">
        <v>0.50262999999999991</v>
      </c>
      <c r="O324" s="13">
        <v>-1.1696313001963359</v>
      </c>
      <c r="P324" s="13">
        <v>1.4908970753080368</v>
      </c>
      <c r="Q324" s="13">
        <v>-1.8501351397251717</v>
      </c>
    </row>
    <row r="325" spans="1:17" x14ac:dyDescent="0.25">
      <c r="A325" s="3">
        <v>1.2376623378635799E+18</v>
      </c>
      <c r="B325" s="3">
        <v>235.90980999999999</v>
      </c>
      <c r="C325" s="3">
        <v>35.747709999999998</v>
      </c>
      <c r="D325" s="3">
        <v>0.51317179999999996</v>
      </c>
      <c r="E325" s="3">
        <v>0.80823999999999785</v>
      </c>
      <c r="F325" s="3">
        <v>2.6162299999999981</v>
      </c>
      <c r="G325" s="3">
        <v>3.48048</v>
      </c>
      <c r="H325" s="3">
        <v>3.9831099999999999</v>
      </c>
      <c r="I325" s="3">
        <v>1.8079900000000002</v>
      </c>
      <c r="J325" s="3">
        <v>2.6722400000000022</v>
      </c>
      <c r="K325" s="3">
        <v>3.1748700000000021</v>
      </c>
      <c r="L325" s="3">
        <v>0.86425000000000196</v>
      </c>
      <c r="M325" s="3">
        <v>1.3668800000000019</v>
      </c>
      <c r="N325" s="3">
        <v>0.50262999999999991</v>
      </c>
      <c r="O325" s="13">
        <v>-1.1697533847427879</v>
      </c>
      <c r="P325" s="13">
        <v>1.4909681670365331</v>
      </c>
      <c r="Q325" s="13">
        <v>-1.8501432489044203</v>
      </c>
    </row>
    <row r="326" spans="1:17" x14ac:dyDescent="0.25">
      <c r="A326" s="3">
        <v>1.23766247369074E+18</v>
      </c>
      <c r="B326" s="3">
        <v>235.84210999999999</v>
      </c>
      <c r="C326" s="3">
        <v>36.522838999999998</v>
      </c>
      <c r="D326" s="3">
        <v>0.52174149999999997</v>
      </c>
      <c r="E326" s="3">
        <v>1.9109599999999993</v>
      </c>
      <c r="F326" s="3">
        <v>3.3784999999999989</v>
      </c>
      <c r="G326" s="3">
        <v>4.3614800000000002</v>
      </c>
      <c r="H326" s="3">
        <v>4.6940600000000003</v>
      </c>
      <c r="I326" s="3">
        <v>1.4675399999999996</v>
      </c>
      <c r="J326" s="3">
        <v>2.4505200000000009</v>
      </c>
      <c r="K326" s="3">
        <v>2.783100000000001</v>
      </c>
      <c r="L326" s="3">
        <v>0.9829800000000013</v>
      </c>
      <c r="M326" s="3">
        <v>1.3155600000000014</v>
      </c>
      <c r="N326" s="3">
        <v>0.3325800000000001</v>
      </c>
      <c r="O326" s="13">
        <v>-1.1170602874543538</v>
      </c>
      <c r="P326" s="13">
        <v>8.3790908314868684E-2</v>
      </c>
      <c r="Q326" s="13">
        <v>8.5880439483671953E-2</v>
      </c>
    </row>
    <row r="327" spans="1:17" x14ac:dyDescent="0.25">
      <c r="A327" s="3">
        <v>1.2376624736911301E+18</v>
      </c>
      <c r="B327" s="3">
        <v>236.69861</v>
      </c>
      <c r="C327" s="3">
        <v>35.951822999999997</v>
      </c>
      <c r="D327" s="3">
        <v>0.5257349</v>
      </c>
      <c r="E327" s="3">
        <v>0.82813999999999766</v>
      </c>
      <c r="F327" s="3">
        <v>2.6037700000000008</v>
      </c>
      <c r="G327" s="3">
        <v>3.4088899999999995</v>
      </c>
      <c r="H327" s="3">
        <v>3.7686799999999998</v>
      </c>
      <c r="I327" s="3">
        <v>1.7756300000000032</v>
      </c>
      <c r="J327" s="3">
        <v>2.5807500000000019</v>
      </c>
      <c r="K327" s="3">
        <v>2.9405400000000022</v>
      </c>
      <c r="L327" s="3">
        <v>0.80511999999999873</v>
      </c>
      <c r="M327" s="3">
        <v>1.164909999999999</v>
      </c>
      <c r="N327" s="3">
        <v>0.35979000000000028</v>
      </c>
      <c r="O327" s="13">
        <v>-0.69720588828424579</v>
      </c>
      <c r="P327" s="13">
        <v>1.29114558761388</v>
      </c>
      <c r="Q327" s="13">
        <v>0.31911034753096706</v>
      </c>
    </row>
    <row r="328" spans="1:17" x14ac:dyDescent="0.25">
      <c r="A328" s="3">
        <v>1.2376614659862001E+18</v>
      </c>
      <c r="B328" s="3">
        <v>236.08600999999999</v>
      </c>
      <c r="C328" s="3">
        <v>35.839691000000002</v>
      </c>
      <c r="D328" s="3">
        <v>0.52591169999999998</v>
      </c>
      <c r="E328" s="3">
        <v>1.2871799999999993</v>
      </c>
      <c r="F328" s="3">
        <v>2.4778099999999981</v>
      </c>
      <c r="G328" s="3">
        <v>3.4781300000000002</v>
      </c>
      <c r="H328" s="3">
        <v>3.5588699999999989</v>
      </c>
      <c r="I328" s="3">
        <v>1.1906299999999987</v>
      </c>
      <c r="J328" s="3">
        <v>2.1909500000000008</v>
      </c>
      <c r="K328" s="3">
        <v>2.2716899999999995</v>
      </c>
      <c r="L328" s="3">
        <v>1.0003200000000021</v>
      </c>
      <c r="M328" s="3">
        <v>1.0810600000000008</v>
      </c>
      <c r="N328" s="3">
        <v>8.0739999999998702E-2</v>
      </c>
      <c r="O328" s="13">
        <v>0.59384119615790565</v>
      </c>
      <c r="P328" s="13">
        <v>0.71410332325905934</v>
      </c>
      <c r="Q328" s="13">
        <v>-1.1263860168812092</v>
      </c>
    </row>
    <row r="329" spans="1:17" x14ac:dyDescent="0.25">
      <c r="A329" s="3">
        <v>1.2376624736911301E+18</v>
      </c>
      <c r="B329" s="3">
        <v>236.73108999999999</v>
      </c>
      <c r="C329" s="3">
        <v>36.068480999999998</v>
      </c>
      <c r="D329" s="3">
        <v>0.52675000000000005</v>
      </c>
      <c r="E329" s="3">
        <v>2.237999999999829E-2</v>
      </c>
      <c r="F329" s="3">
        <v>2.6121099999999977</v>
      </c>
      <c r="G329" s="3">
        <v>3.688679999999998</v>
      </c>
      <c r="H329" s="3">
        <v>4.0405300000000004</v>
      </c>
      <c r="I329" s="3">
        <v>2.5897299999999994</v>
      </c>
      <c r="J329" s="3">
        <v>3.6662999999999997</v>
      </c>
      <c r="K329" s="3">
        <v>4.0181500000000021</v>
      </c>
      <c r="L329" s="3">
        <v>1.0765700000000002</v>
      </c>
      <c r="M329" s="3">
        <v>1.4284200000000027</v>
      </c>
      <c r="N329" s="3">
        <v>0.35185000000000244</v>
      </c>
      <c r="O329" s="13">
        <v>-2.683788724014895</v>
      </c>
      <c r="P329" s="13">
        <v>2.1864650984881759</v>
      </c>
      <c r="Q329" s="13">
        <v>0.31505857800905779</v>
      </c>
    </row>
    <row r="330" spans="1:17" x14ac:dyDescent="0.25">
      <c r="A330" s="3">
        <v>1.23766250375584E+18</v>
      </c>
      <c r="B330" s="3">
        <v>236.86367999999999</v>
      </c>
      <c r="C330" s="3">
        <v>36.247342000000003</v>
      </c>
      <c r="D330" s="3">
        <v>0.5274221</v>
      </c>
      <c r="E330" s="3">
        <v>1.0399199999999986</v>
      </c>
      <c r="F330" s="3">
        <v>2.8054600000000001</v>
      </c>
      <c r="G330" s="3">
        <v>3.8454999999999977</v>
      </c>
      <c r="H330" s="3">
        <v>4.3072599999999994</v>
      </c>
      <c r="I330" s="3">
        <v>1.7655400000000014</v>
      </c>
      <c r="J330" s="3">
        <v>2.8055799999999991</v>
      </c>
      <c r="K330" s="3">
        <v>3.2673400000000008</v>
      </c>
      <c r="L330" s="3">
        <v>1.0400399999999976</v>
      </c>
      <c r="M330" s="3">
        <v>1.5017999999999994</v>
      </c>
      <c r="N330" s="3">
        <v>0.46176000000000172</v>
      </c>
      <c r="O330" s="13">
        <v>-1.887539615027221</v>
      </c>
      <c r="P330" s="13">
        <v>1.3271768221647735</v>
      </c>
      <c r="Q330" s="13">
        <v>1.4242890909421857</v>
      </c>
    </row>
    <row r="331" spans="1:17" x14ac:dyDescent="0.25">
      <c r="A331" s="3">
        <v>1.2376625037558999E+18</v>
      </c>
      <c r="B331" s="3">
        <v>236.86318</v>
      </c>
      <c r="C331" s="3">
        <v>36.162860000000002</v>
      </c>
      <c r="D331" s="3">
        <v>0.52834449999999999</v>
      </c>
      <c r="E331" s="3">
        <v>1.5045399999999987</v>
      </c>
      <c r="F331" s="3">
        <v>2.8871099999999998</v>
      </c>
      <c r="G331" s="3">
        <v>3.8932600000000015</v>
      </c>
      <c r="H331" s="3">
        <v>4.3489000000000004</v>
      </c>
      <c r="I331" s="3">
        <v>1.3825700000000012</v>
      </c>
      <c r="J331" s="3">
        <v>2.3887200000000028</v>
      </c>
      <c r="K331" s="3">
        <v>2.8443600000000018</v>
      </c>
      <c r="L331" s="3">
        <v>1.0061500000000017</v>
      </c>
      <c r="M331" s="3">
        <v>1.4617900000000006</v>
      </c>
      <c r="N331" s="3">
        <v>0.45563999999999893</v>
      </c>
      <c r="O331" s="13">
        <v>-1.2666043847449222</v>
      </c>
      <c r="P331" s="13">
        <v>0.80732023802056152</v>
      </c>
      <c r="Q331" s="13">
        <v>1.3751428249389634</v>
      </c>
    </row>
    <row r="332" spans="1:17" x14ac:dyDescent="0.25">
      <c r="A332" s="3">
        <v>1.2376625037556401E+18</v>
      </c>
      <c r="B332" s="3">
        <v>236.33627000000001</v>
      </c>
      <c r="C332" s="3">
        <v>36.486868999999999</v>
      </c>
      <c r="D332" s="3">
        <v>0.52961060000000004</v>
      </c>
      <c r="E332" s="3">
        <v>2.4346200000000024</v>
      </c>
      <c r="F332" s="3">
        <v>4.0475500000000011</v>
      </c>
      <c r="G332" s="3">
        <v>5.0888400000000011</v>
      </c>
      <c r="H332" s="3">
        <v>5.5393700000000017</v>
      </c>
      <c r="I332" s="3">
        <v>1.6129299999999986</v>
      </c>
      <c r="J332" s="3">
        <v>2.6542199999999987</v>
      </c>
      <c r="K332" s="3">
        <v>3.1047499999999992</v>
      </c>
      <c r="L332" s="3">
        <v>1.04129</v>
      </c>
      <c r="M332" s="3">
        <v>1.4918200000000006</v>
      </c>
      <c r="N332" s="3">
        <v>0.45053000000000054</v>
      </c>
      <c r="O332" s="13">
        <v>-2.4077398561702985</v>
      </c>
      <c r="P332" s="13">
        <v>-0.67201640995674738</v>
      </c>
      <c r="Q332" s="13">
        <v>1.0540219251809804</v>
      </c>
    </row>
    <row r="333" spans="1:17" x14ac:dyDescent="0.25">
      <c r="A333" s="3">
        <v>1.2376625037556401E+18</v>
      </c>
      <c r="B333" s="3">
        <v>236.33627000000001</v>
      </c>
      <c r="C333" s="3">
        <v>36.486868999999999</v>
      </c>
      <c r="D333" s="3">
        <v>0.52992499999999998</v>
      </c>
      <c r="E333" s="3">
        <v>2.4346200000000024</v>
      </c>
      <c r="F333" s="3">
        <v>4.0475500000000011</v>
      </c>
      <c r="G333" s="3">
        <v>5.0888400000000011</v>
      </c>
      <c r="H333" s="3">
        <v>5.5393700000000017</v>
      </c>
      <c r="I333" s="3">
        <v>1.6129299999999986</v>
      </c>
      <c r="J333" s="3">
        <v>2.6542199999999987</v>
      </c>
      <c r="K333" s="3">
        <v>3.1047499999999992</v>
      </c>
      <c r="L333" s="3">
        <v>1.04129</v>
      </c>
      <c r="M333" s="3">
        <v>1.4918200000000006</v>
      </c>
      <c r="N333" s="3">
        <v>0.45053000000000054</v>
      </c>
      <c r="O333" s="13">
        <v>-2.4081396830599298</v>
      </c>
      <c r="P333" s="13">
        <v>-0.67178358454591935</v>
      </c>
      <c r="Q333" s="13">
        <v>1.053995367618946</v>
      </c>
    </row>
    <row r="334" spans="1:17" x14ac:dyDescent="0.25">
      <c r="A334" s="3">
        <v>1.23766247422781E+18</v>
      </c>
      <c r="B334" s="3">
        <v>236.60076000000001</v>
      </c>
      <c r="C334" s="3">
        <v>36.570005000000002</v>
      </c>
      <c r="D334" s="3">
        <v>0.53062200000000004</v>
      </c>
      <c r="E334" s="3">
        <v>1.0395200000000031</v>
      </c>
      <c r="F334" s="3">
        <v>2.5523699999999998</v>
      </c>
      <c r="G334" s="3">
        <v>3.5011800000000015</v>
      </c>
      <c r="H334" s="3">
        <v>3.941080000000003</v>
      </c>
      <c r="I334" s="3">
        <v>1.5128499999999967</v>
      </c>
      <c r="J334" s="3">
        <v>2.4616599999999984</v>
      </c>
      <c r="K334" s="3">
        <v>2.9015599999999999</v>
      </c>
      <c r="L334" s="3">
        <v>0.94881000000000171</v>
      </c>
      <c r="M334" s="3">
        <v>1.3887100000000032</v>
      </c>
      <c r="N334" s="3">
        <v>0.43990000000000151</v>
      </c>
      <c r="O334" s="13">
        <v>-0.9937093378838705</v>
      </c>
      <c r="P334" s="13">
        <v>1.5274880097154879</v>
      </c>
      <c r="Q334" s="13">
        <v>1.76580929713904</v>
      </c>
    </row>
    <row r="335" spans="1:17" x14ac:dyDescent="0.25">
      <c r="A335" s="3">
        <v>1.23766146598607E+18</v>
      </c>
      <c r="B335" s="3">
        <v>235.89977999999999</v>
      </c>
      <c r="C335" s="3">
        <v>36.042614999999998</v>
      </c>
      <c r="D335" s="3">
        <v>0.53627650000000004</v>
      </c>
      <c r="E335" s="3">
        <v>2.0813400000000009</v>
      </c>
      <c r="F335" s="3">
        <v>3.8383600000000015</v>
      </c>
      <c r="G335" s="3">
        <v>4.8928200000000004</v>
      </c>
      <c r="H335" s="3">
        <v>5.5482000000000014</v>
      </c>
      <c r="I335" s="3">
        <v>1.7570200000000007</v>
      </c>
      <c r="J335" s="3">
        <v>2.8114799999999995</v>
      </c>
      <c r="K335" s="3">
        <v>3.4668600000000005</v>
      </c>
      <c r="L335" s="3">
        <v>1.0544599999999988</v>
      </c>
      <c r="M335" s="3">
        <v>1.7098399999999998</v>
      </c>
      <c r="N335" s="3">
        <v>0.65538000000000096</v>
      </c>
      <c r="O335" s="13">
        <v>-3.0063880202629067</v>
      </c>
      <c r="P335" s="13">
        <v>-4.5438323528119953E-2</v>
      </c>
      <c r="Q335" s="13">
        <v>-1.0119487860283818</v>
      </c>
    </row>
    <row r="336" spans="1:17" x14ac:dyDescent="0.25">
      <c r="A336" s="3">
        <v>1.2376624731539999E+18</v>
      </c>
      <c r="B336" s="3">
        <v>235.90816000000001</v>
      </c>
      <c r="C336" s="3">
        <v>36.137295000000002</v>
      </c>
      <c r="D336" s="3">
        <v>0.53643940000000001</v>
      </c>
      <c r="E336" s="3">
        <v>1.2640600000000006</v>
      </c>
      <c r="F336" s="3">
        <v>3.0131100000000011</v>
      </c>
      <c r="G336" s="3">
        <v>3.8672199999999997</v>
      </c>
      <c r="H336" s="3">
        <v>4.2782000000000018</v>
      </c>
      <c r="I336" s="3">
        <v>1.7490500000000004</v>
      </c>
      <c r="J336" s="3">
        <v>2.603159999999999</v>
      </c>
      <c r="K336" s="3">
        <v>3.0141400000000012</v>
      </c>
      <c r="L336" s="3">
        <v>0.85410999999999859</v>
      </c>
      <c r="M336" s="3">
        <v>1.2650900000000007</v>
      </c>
      <c r="N336" s="3">
        <v>0.41098000000000212</v>
      </c>
      <c r="O336" s="13">
        <v>-1.1157077991107094</v>
      </c>
      <c r="P336" s="13">
        <v>0.823081239326382</v>
      </c>
      <c r="Q336" s="13">
        <v>-0.84721136353427895</v>
      </c>
    </row>
    <row r="337" spans="1:17" x14ac:dyDescent="0.25">
      <c r="A337" s="3">
        <v>1.2376624736911301E+18</v>
      </c>
      <c r="B337" s="3">
        <v>236.72568999999999</v>
      </c>
      <c r="C337" s="3">
        <v>36.086035000000003</v>
      </c>
      <c r="D337" s="3">
        <v>0.53951959999999999</v>
      </c>
      <c r="E337" s="3">
        <v>2.6192099999999989</v>
      </c>
      <c r="F337" s="3">
        <v>4.4450900000000004</v>
      </c>
      <c r="G337" s="3">
        <v>5.6276100000000007</v>
      </c>
      <c r="H337" s="3">
        <v>6.0324500000000008</v>
      </c>
      <c r="I337" s="3">
        <v>1.8258800000000015</v>
      </c>
      <c r="J337" s="3">
        <v>3.0084000000000017</v>
      </c>
      <c r="K337" s="3">
        <v>3.4132400000000018</v>
      </c>
      <c r="L337" s="3">
        <v>1.1825200000000002</v>
      </c>
      <c r="M337" s="3">
        <v>1.5873600000000003</v>
      </c>
      <c r="N337" s="3">
        <v>0.40484000000000009</v>
      </c>
      <c r="O337" s="13">
        <v>-3.3275948835221199</v>
      </c>
      <c r="P337" s="13">
        <v>-1.2127601311715941</v>
      </c>
      <c r="Q337" s="13">
        <v>0.7874589544488102</v>
      </c>
    </row>
    <row r="338" spans="1:17" x14ac:dyDescent="0.25">
      <c r="A338" s="3">
        <v>1.2376614659863301E+18</v>
      </c>
      <c r="B338" s="3">
        <v>236.49252999999999</v>
      </c>
      <c r="C338" s="3">
        <v>35.737130000000001</v>
      </c>
      <c r="D338" s="3">
        <v>0.54048229999999997</v>
      </c>
      <c r="E338" s="3">
        <v>1.6594900000000017</v>
      </c>
      <c r="F338" s="3">
        <v>3.1494300000000024</v>
      </c>
      <c r="G338" s="3">
        <v>4.2224600000000017</v>
      </c>
      <c r="H338" s="3">
        <v>4.8844999999999992</v>
      </c>
      <c r="I338" s="3">
        <v>1.4899400000000007</v>
      </c>
      <c r="J338" s="3">
        <v>2.56297</v>
      </c>
      <c r="K338" s="3">
        <v>3.2250099999999975</v>
      </c>
      <c r="L338" s="3">
        <v>1.0730299999999993</v>
      </c>
      <c r="M338" s="3">
        <v>1.7350699999999968</v>
      </c>
      <c r="N338" s="3">
        <v>0.66203999999999752</v>
      </c>
      <c r="O338" s="13">
        <v>-2.3211183060847698</v>
      </c>
      <c r="P338" s="13">
        <v>0.7035024320460187</v>
      </c>
      <c r="Q338" s="13">
        <v>-0.46275827933638874</v>
      </c>
    </row>
    <row r="339" spans="1:17" x14ac:dyDescent="0.25">
      <c r="A339" s="3">
        <v>1.2376623378636401E+18</v>
      </c>
      <c r="B339" s="3">
        <v>235.91525999999999</v>
      </c>
      <c r="C339" s="3">
        <v>35.668117000000002</v>
      </c>
      <c r="D339" s="3">
        <v>0.54120729999999995</v>
      </c>
      <c r="E339" s="3">
        <v>1.1325000000000003</v>
      </c>
      <c r="F339" s="3">
        <v>2.8493700000000004</v>
      </c>
      <c r="G339" s="3">
        <v>3.8497500000000002</v>
      </c>
      <c r="H339" s="3">
        <v>4.4014300000000013</v>
      </c>
      <c r="I339" s="3">
        <v>1.7168700000000001</v>
      </c>
      <c r="J339" s="3">
        <v>2.7172499999999999</v>
      </c>
      <c r="K339" s="3">
        <v>3.268930000000001</v>
      </c>
      <c r="L339" s="3">
        <v>1.0003799999999998</v>
      </c>
      <c r="M339" s="3">
        <v>1.5520600000000009</v>
      </c>
      <c r="N339" s="3">
        <v>0.55168000000000106</v>
      </c>
      <c r="O339" s="13">
        <v>-1.7826247263324131</v>
      </c>
      <c r="P339" s="13">
        <v>1.1895370185489365</v>
      </c>
      <c r="Q339" s="13">
        <v>-1.9920261285580618</v>
      </c>
    </row>
    <row r="340" spans="1:17" x14ac:dyDescent="0.25">
      <c r="A340" s="3">
        <v>1.2376623378636401E+18</v>
      </c>
      <c r="B340" s="3">
        <v>235.91525999999999</v>
      </c>
      <c r="C340" s="3">
        <v>35.668117000000002</v>
      </c>
      <c r="D340" s="3">
        <v>0.54141649999999997</v>
      </c>
      <c r="E340" s="3">
        <v>1.1325000000000003</v>
      </c>
      <c r="F340" s="3">
        <v>2.8493700000000004</v>
      </c>
      <c r="G340" s="3">
        <v>3.8497500000000002</v>
      </c>
      <c r="H340" s="3">
        <v>4.4014300000000013</v>
      </c>
      <c r="I340" s="3">
        <v>1.7168700000000001</v>
      </c>
      <c r="J340" s="3">
        <v>2.7172499999999999</v>
      </c>
      <c r="K340" s="3">
        <v>3.268930000000001</v>
      </c>
      <c r="L340" s="3">
        <v>1.0003799999999998</v>
      </c>
      <c r="M340" s="3">
        <v>1.5520600000000009</v>
      </c>
      <c r="N340" s="3">
        <v>0.55168000000000106</v>
      </c>
      <c r="O340" s="13">
        <v>-1.7828907689065572</v>
      </c>
      <c r="P340" s="13">
        <v>1.1896919392739531</v>
      </c>
      <c r="Q340" s="13">
        <v>-1.9920437998111717</v>
      </c>
    </row>
    <row r="341" spans="1:17" x14ac:dyDescent="0.25">
      <c r="A341" s="3">
        <v>1.2376614659862001E+18</v>
      </c>
      <c r="B341" s="3">
        <v>236.13220999999999</v>
      </c>
      <c r="C341" s="3">
        <v>35.763306999999998</v>
      </c>
      <c r="D341" s="3">
        <v>0.54212579999999999</v>
      </c>
      <c r="E341" s="3">
        <v>2.6087200000000017</v>
      </c>
      <c r="F341" s="3">
        <v>4.3053200000000018</v>
      </c>
      <c r="G341" s="3">
        <v>5.2240600000000015</v>
      </c>
      <c r="H341" s="3">
        <v>5.8027499999999996</v>
      </c>
      <c r="I341" s="3">
        <v>1.6966000000000001</v>
      </c>
      <c r="J341" s="3">
        <v>2.6153399999999998</v>
      </c>
      <c r="K341" s="3">
        <v>3.1940299999999979</v>
      </c>
      <c r="L341" s="3">
        <v>0.91873999999999967</v>
      </c>
      <c r="M341" s="3">
        <v>1.4974299999999978</v>
      </c>
      <c r="N341" s="3">
        <v>0.57868999999999815</v>
      </c>
      <c r="O341" s="13">
        <v>-2.6304488235280816</v>
      </c>
      <c r="P341" s="13">
        <v>-1.1057861255918442</v>
      </c>
      <c r="Q341" s="13">
        <v>-1.1634239707922118</v>
      </c>
    </row>
    <row r="342" spans="1:17" x14ac:dyDescent="0.25">
      <c r="A342" s="3">
        <v>1.2376614659862001E+18</v>
      </c>
      <c r="B342" s="3">
        <v>236.06861000000001</v>
      </c>
      <c r="C342" s="3">
        <v>35.751274000000002</v>
      </c>
      <c r="D342" s="3">
        <v>0.54225440000000003</v>
      </c>
      <c r="E342" s="3">
        <v>4.1862099999999991</v>
      </c>
      <c r="F342" s="3">
        <v>5.7881099999999996</v>
      </c>
      <c r="G342" s="3">
        <v>6.8258499999999991</v>
      </c>
      <c r="H342" s="3">
        <v>7.3196900000000014</v>
      </c>
      <c r="I342" s="3">
        <v>1.6019000000000005</v>
      </c>
      <c r="J342" s="3">
        <v>2.63964</v>
      </c>
      <c r="K342" s="3">
        <v>3.1334800000000023</v>
      </c>
      <c r="L342" s="3">
        <v>1.0377399999999994</v>
      </c>
      <c r="M342" s="3">
        <v>1.5315800000000017</v>
      </c>
      <c r="N342" s="3">
        <v>0.49384000000000228</v>
      </c>
      <c r="O342" s="13">
        <v>-3.5989141717758977</v>
      </c>
      <c r="P342" s="13">
        <v>-3.5555012819848195</v>
      </c>
      <c r="Q342" s="13">
        <v>-1.219310664364702</v>
      </c>
    </row>
    <row r="343" spans="1:17" x14ac:dyDescent="0.25">
      <c r="A343" s="3">
        <v>1.2376614659862001E+18</v>
      </c>
      <c r="B343" s="3">
        <v>236.06861000000001</v>
      </c>
      <c r="C343" s="3">
        <v>35.751274000000002</v>
      </c>
      <c r="D343" s="3">
        <v>0.54251059999999995</v>
      </c>
      <c r="E343" s="3">
        <v>4.1862099999999991</v>
      </c>
      <c r="F343" s="3">
        <v>5.7881099999999996</v>
      </c>
      <c r="G343" s="3">
        <v>6.8258499999999991</v>
      </c>
      <c r="H343" s="3">
        <v>7.3196900000000014</v>
      </c>
      <c r="I343" s="3">
        <v>1.6019000000000005</v>
      </c>
      <c r="J343" s="3">
        <v>2.63964</v>
      </c>
      <c r="K343" s="3">
        <v>3.1334800000000023</v>
      </c>
      <c r="L343" s="3">
        <v>1.0377399999999994</v>
      </c>
      <c r="M343" s="3">
        <v>1.5315800000000017</v>
      </c>
      <c r="N343" s="3">
        <v>0.49384000000000228</v>
      </c>
      <c r="O343" s="13">
        <v>-3.5992399849092429</v>
      </c>
      <c r="P343" s="13">
        <v>-3.555311555934396</v>
      </c>
      <c r="Q343" s="13">
        <v>-1.2193323057368175</v>
      </c>
    </row>
    <row r="344" spans="1:17" x14ac:dyDescent="0.25">
      <c r="A344" s="3">
        <v>1.2376614659863301E+18</v>
      </c>
      <c r="B344" s="3">
        <v>236.36223000000001</v>
      </c>
      <c r="C344" s="3">
        <v>35.749028000000003</v>
      </c>
      <c r="D344" s="3">
        <v>0.54267540000000003</v>
      </c>
      <c r="E344" s="3">
        <v>1.1587299999999985</v>
      </c>
      <c r="F344" s="3">
        <v>2.3996400000000015</v>
      </c>
      <c r="G344" s="3">
        <v>3.4312000000000005</v>
      </c>
      <c r="H344" s="3">
        <v>3.9796399999999998</v>
      </c>
      <c r="I344" s="3">
        <v>1.2409100000000031</v>
      </c>
      <c r="J344" s="3">
        <v>2.272470000000002</v>
      </c>
      <c r="K344" s="3">
        <v>2.8209100000000014</v>
      </c>
      <c r="L344" s="3">
        <v>1.0315599999999989</v>
      </c>
      <c r="M344" s="3">
        <v>1.5799999999999983</v>
      </c>
      <c r="N344" s="3">
        <v>0.54843999999999937</v>
      </c>
      <c r="O344" s="13">
        <v>-0.9700581516635115</v>
      </c>
      <c r="P344" s="13">
        <v>1.4941451710491553</v>
      </c>
      <c r="Q344" s="13">
        <v>-0.68496657159912444</v>
      </c>
    </row>
    <row r="345" spans="1:17" x14ac:dyDescent="0.25">
      <c r="A345" s="3">
        <v>1.2376623378635799E+18</v>
      </c>
      <c r="B345" s="3">
        <v>235.88549</v>
      </c>
      <c r="C345" s="3">
        <v>35.751984999999998</v>
      </c>
      <c r="D345" s="3">
        <v>0.54372220000000004</v>
      </c>
      <c r="E345" s="3">
        <v>3.6625300000000003</v>
      </c>
      <c r="F345" s="3">
        <v>5.3276199999999996</v>
      </c>
      <c r="G345" s="3">
        <v>6.3872399999999985</v>
      </c>
      <c r="H345" s="3">
        <v>6.7395800000000001</v>
      </c>
      <c r="I345" s="3">
        <v>1.6650899999999993</v>
      </c>
      <c r="J345" s="3">
        <v>2.7247099999999982</v>
      </c>
      <c r="K345" s="3">
        <v>3.0770499999999998</v>
      </c>
      <c r="L345" s="3">
        <v>1.0596199999999989</v>
      </c>
      <c r="M345" s="3">
        <v>1.4119600000000005</v>
      </c>
      <c r="N345" s="3">
        <v>0.35234000000000165</v>
      </c>
      <c r="O345" s="13">
        <v>-2.9899246315496084</v>
      </c>
      <c r="P345" s="13">
        <v>-2.9426606845801295</v>
      </c>
      <c r="Q345" s="13">
        <v>-1.7021325133560419</v>
      </c>
    </row>
    <row r="346" spans="1:17" x14ac:dyDescent="0.25">
      <c r="A346" s="3">
        <v>1.23766146544926E+18</v>
      </c>
      <c r="B346" s="3">
        <v>235.65893</v>
      </c>
      <c r="C346" s="3">
        <v>35.619235000000003</v>
      </c>
      <c r="D346" s="3">
        <v>0.54387209999999997</v>
      </c>
      <c r="E346" s="3">
        <v>1.0089100000000002</v>
      </c>
      <c r="F346" s="3">
        <v>2.4879299999999986</v>
      </c>
      <c r="G346" s="3">
        <v>3.3021199999999986</v>
      </c>
      <c r="H346" s="3">
        <v>3.8823000000000008</v>
      </c>
      <c r="I346" s="3">
        <v>1.4790199999999984</v>
      </c>
      <c r="J346" s="3">
        <v>2.2932099999999984</v>
      </c>
      <c r="K346" s="3">
        <v>2.8733900000000006</v>
      </c>
      <c r="L346" s="3">
        <v>0.81418999999999997</v>
      </c>
      <c r="M346" s="3">
        <v>1.3943700000000021</v>
      </c>
      <c r="N346" s="3">
        <v>0.58018000000000214</v>
      </c>
      <c r="O346" s="13">
        <v>-0.66888261510796065</v>
      </c>
      <c r="P346" s="13">
        <v>1.4694969815709349</v>
      </c>
      <c r="Q346" s="13">
        <v>-2.5578964060173055</v>
      </c>
    </row>
    <row r="347" spans="1:17" x14ac:dyDescent="0.25">
      <c r="A347" s="3">
        <v>1.2376614659862001E+18</v>
      </c>
      <c r="B347" s="3">
        <v>236.18845999999999</v>
      </c>
      <c r="C347" s="3">
        <v>35.844822000000001</v>
      </c>
      <c r="D347" s="3">
        <v>0.54441819999999996</v>
      </c>
      <c r="E347" s="3">
        <v>3.5982599999999998</v>
      </c>
      <c r="F347" s="3">
        <v>5.0877800000000022</v>
      </c>
      <c r="G347" s="3">
        <v>6.1357700000000008</v>
      </c>
      <c r="H347" s="3">
        <v>6.6929900000000018</v>
      </c>
      <c r="I347" s="3">
        <v>1.4895200000000024</v>
      </c>
      <c r="J347" s="3">
        <v>2.537510000000001</v>
      </c>
      <c r="K347" s="3">
        <v>3.094730000000002</v>
      </c>
      <c r="L347" s="3">
        <v>1.0479899999999986</v>
      </c>
      <c r="M347" s="3">
        <v>1.6052099999999996</v>
      </c>
      <c r="N347" s="3">
        <v>0.55722000000000094</v>
      </c>
      <c r="O347" s="13">
        <v>-3.2120247359553242</v>
      </c>
      <c r="P347" s="13">
        <v>-2.4418415147744863</v>
      </c>
      <c r="Q347" s="13">
        <v>-0.72116569053857094</v>
      </c>
    </row>
    <row r="348" spans="1:17" x14ac:dyDescent="0.25">
      <c r="A348" s="3">
        <v>1.2376624736909299E+18</v>
      </c>
      <c r="B348" s="3">
        <v>236.41211999999999</v>
      </c>
      <c r="C348" s="3">
        <v>36.278419999999997</v>
      </c>
      <c r="D348" s="3">
        <v>0.54758949999999995</v>
      </c>
      <c r="E348" s="3">
        <v>2.3515200000000007</v>
      </c>
      <c r="F348" s="3">
        <v>4.0100100000000012</v>
      </c>
      <c r="G348" s="3">
        <v>4.9003900000000016</v>
      </c>
      <c r="H348" s="3">
        <v>5.3435900000000025</v>
      </c>
      <c r="I348" s="3">
        <v>1.6584900000000005</v>
      </c>
      <c r="J348" s="3">
        <v>2.5488700000000009</v>
      </c>
      <c r="K348" s="3">
        <v>2.9920700000000018</v>
      </c>
      <c r="L348" s="3">
        <v>0.89038000000000039</v>
      </c>
      <c r="M348" s="3">
        <v>1.3335800000000013</v>
      </c>
      <c r="N348" s="3">
        <v>0.44320000000000093</v>
      </c>
      <c r="O348" s="13">
        <v>-1.9914893767234505</v>
      </c>
      <c r="P348" s="13">
        <v>-0.72735854970508729</v>
      </c>
      <c r="Q348" s="13">
        <v>0.68665279530272738</v>
      </c>
    </row>
    <row r="349" spans="1:17" x14ac:dyDescent="0.25">
      <c r="A349" s="3">
        <v>1.23766247422787E+18</v>
      </c>
      <c r="B349" s="3">
        <v>236.64350999999999</v>
      </c>
      <c r="C349" s="3">
        <v>36.486133000000002</v>
      </c>
      <c r="D349" s="3">
        <v>0.54784379999999999</v>
      </c>
      <c r="E349" s="3">
        <v>1.8050999999999995</v>
      </c>
      <c r="F349" s="3">
        <v>3.663330000000002</v>
      </c>
      <c r="G349" s="3">
        <v>4.5913400000000024</v>
      </c>
      <c r="H349" s="3">
        <v>5.0947899999999997</v>
      </c>
      <c r="I349" s="3">
        <v>1.8582300000000025</v>
      </c>
      <c r="J349" s="3">
        <v>2.7862400000000029</v>
      </c>
      <c r="K349" s="3">
        <v>3.2896900000000002</v>
      </c>
      <c r="L349" s="3">
        <v>0.92801000000000045</v>
      </c>
      <c r="M349" s="3">
        <v>1.4314599999999977</v>
      </c>
      <c r="N349" s="3">
        <v>0.50344999999999729</v>
      </c>
      <c r="O349" s="13">
        <v>-2.3957685513428992</v>
      </c>
      <c r="P349" s="13">
        <v>0.14789061616260757</v>
      </c>
      <c r="Q349" s="13">
        <v>1.6026135194041824</v>
      </c>
    </row>
    <row r="350" spans="1:17" x14ac:dyDescent="0.25">
      <c r="A350" s="3">
        <v>1.23766250375571E+18</v>
      </c>
      <c r="B350" s="3">
        <v>236.39384000000001</v>
      </c>
      <c r="C350" s="3">
        <v>36.380113000000001</v>
      </c>
      <c r="D350" s="3">
        <v>0.54818100000000003</v>
      </c>
      <c r="E350" s="3">
        <v>0.23131000000000057</v>
      </c>
      <c r="F350" s="3">
        <v>1.6708700000000007</v>
      </c>
      <c r="G350" s="3">
        <v>2.4839599999999997</v>
      </c>
      <c r="H350" s="3">
        <v>2.9181300000000014</v>
      </c>
      <c r="I350" s="3">
        <v>1.4395600000000002</v>
      </c>
      <c r="J350" s="3">
        <v>2.2526499999999992</v>
      </c>
      <c r="K350" s="3">
        <v>2.6868200000000009</v>
      </c>
      <c r="L350" s="3">
        <v>0.81308999999999898</v>
      </c>
      <c r="M350" s="3">
        <v>1.2472600000000007</v>
      </c>
      <c r="N350" s="3">
        <v>0.43417000000000172</v>
      </c>
      <c r="O350" s="13">
        <v>0.17087952599963027</v>
      </c>
      <c r="P350" s="13">
        <v>2.7199901861734901</v>
      </c>
      <c r="Q350" s="13">
        <v>0.83110594129680149</v>
      </c>
    </row>
    <row r="351" spans="1:17" x14ac:dyDescent="0.25">
      <c r="A351" s="3">
        <v>1.23766250375571E+18</v>
      </c>
      <c r="B351" s="3">
        <v>236.39384000000001</v>
      </c>
      <c r="C351" s="3">
        <v>36.380113000000001</v>
      </c>
      <c r="D351" s="3">
        <v>0.54828149999999998</v>
      </c>
      <c r="E351" s="3">
        <v>0.23131000000000057</v>
      </c>
      <c r="F351" s="3">
        <v>1.6708700000000007</v>
      </c>
      <c r="G351" s="3">
        <v>2.4839599999999997</v>
      </c>
      <c r="H351" s="3">
        <v>2.9181300000000014</v>
      </c>
      <c r="I351" s="3">
        <v>1.4395600000000002</v>
      </c>
      <c r="J351" s="3">
        <v>2.2526499999999992</v>
      </c>
      <c r="K351" s="3">
        <v>2.6868200000000009</v>
      </c>
      <c r="L351" s="3">
        <v>0.81308999999999898</v>
      </c>
      <c r="M351" s="3">
        <v>1.2472600000000007</v>
      </c>
      <c r="N351" s="3">
        <v>0.43417000000000172</v>
      </c>
      <c r="O351" s="13">
        <v>0.17075171874006345</v>
      </c>
      <c r="P351" s="13">
        <v>2.7200646103267618</v>
      </c>
      <c r="Q351" s="13">
        <v>0.83109745199977703</v>
      </c>
    </row>
    <row r="352" spans="1:17" x14ac:dyDescent="0.25">
      <c r="A352" s="3">
        <v>1.2376624731543301E+18</v>
      </c>
      <c r="B352" s="3">
        <v>236.68618000000001</v>
      </c>
      <c r="C352" s="3">
        <v>35.672313000000003</v>
      </c>
      <c r="D352" s="3">
        <v>0.54847179999999995</v>
      </c>
      <c r="E352" s="3">
        <v>4.660499999999999</v>
      </c>
      <c r="F352" s="3">
        <v>6.2239000000000004</v>
      </c>
      <c r="G352" s="3">
        <v>7.2660099999999979</v>
      </c>
      <c r="H352" s="3">
        <v>7.6568000000000005</v>
      </c>
      <c r="I352" s="3">
        <v>1.5634000000000015</v>
      </c>
      <c r="J352" s="3">
        <v>2.6055099999999989</v>
      </c>
      <c r="K352" s="3">
        <v>2.9963000000000015</v>
      </c>
      <c r="L352" s="3">
        <v>1.0421099999999974</v>
      </c>
      <c r="M352" s="3">
        <v>1.4329000000000001</v>
      </c>
      <c r="N352" s="3">
        <v>0.39079000000000264</v>
      </c>
      <c r="O352" s="13">
        <v>-3.6674890703917682</v>
      </c>
      <c r="P352" s="13">
        <v>-4.4541938782226591</v>
      </c>
      <c r="Q352" s="13">
        <v>-8.6356493095760545E-2</v>
      </c>
    </row>
    <row r="353" spans="1:17" x14ac:dyDescent="0.25">
      <c r="A353" s="3">
        <v>1.2376624742279401E+18</v>
      </c>
      <c r="B353" s="3">
        <v>236.82606999999999</v>
      </c>
      <c r="C353" s="3">
        <v>36.413358000000002</v>
      </c>
      <c r="D353" s="3">
        <v>0.54851039999999995</v>
      </c>
      <c r="E353" s="3">
        <v>1.9296299999999995</v>
      </c>
      <c r="F353" s="3">
        <v>3.3097599999999971</v>
      </c>
      <c r="G353" s="3">
        <v>4.3841999999999999</v>
      </c>
      <c r="H353" s="3">
        <v>5.0686099999999996</v>
      </c>
      <c r="I353" s="3">
        <v>1.3801299999999976</v>
      </c>
      <c r="J353" s="3">
        <v>2.4545700000000004</v>
      </c>
      <c r="K353" s="3">
        <v>3.1389800000000001</v>
      </c>
      <c r="L353" s="3">
        <v>1.0744400000000027</v>
      </c>
      <c r="M353" s="3">
        <v>1.7588500000000025</v>
      </c>
      <c r="N353" s="3">
        <v>0.68440999999999974</v>
      </c>
      <c r="O353" s="13">
        <v>-2.4735901350198346</v>
      </c>
      <c r="P353" s="13">
        <v>0.57988010538324852</v>
      </c>
      <c r="Q353" s="13">
        <v>2.0015242074267188</v>
      </c>
    </row>
    <row r="354" spans="1:17" x14ac:dyDescent="0.25">
      <c r="A354" s="3">
        <v>1.2376614659863301E+18</v>
      </c>
      <c r="B354" s="3">
        <v>236.37029000000001</v>
      </c>
      <c r="C354" s="3">
        <v>35.660674999999998</v>
      </c>
      <c r="D354" s="3">
        <v>0.55088800000000004</v>
      </c>
      <c r="E354" s="3">
        <v>2.707849999999997</v>
      </c>
      <c r="F354" s="3">
        <v>4.2613099999999982</v>
      </c>
      <c r="G354" s="3">
        <v>5.3295099999999991</v>
      </c>
      <c r="H354" s="3">
        <v>5.7424199999999992</v>
      </c>
      <c r="I354" s="3">
        <v>1.5534600000000012</v>
      </c>
      <c r="J354" s="3">
        <v>2.6216600000000021</v>
      </c>
      <c r="K354" s="3">
        <v>3.0345700000000022</v>
      </c>
      <c r="L354" s="3">
        <v>1.0682000000000009</v>
      </c>
      <c r="M354" s="3">
        <v>1.481110000000001</v>
      </c>
      <c r="N354" s="3">
        <v>0.41291000000000011</v>
      </c>
      <c r="O354" s="13">
        <v>-2.401638971165402</v>
      </c>
      <c r="P354" s="13">
        <v>-1.3275926209154287</v>
      </c>
      <c r="Q354" s="13">
        <v>-0.9207913280079858</v>
      </c>
    </row>
    <row r="355" spans="1:17" x14ac:dyDescent="0.25">
      <c r="A355" s="3">
        <v>1.2376614659863301E+18</v>
      </c>
      <c r="B355" s="3">
        <v>236.37747999999999</v>
      </c>
      <c r="C355" s="3">
        <v>35.666274000000001</v>
      </c>
      <c r="D355" s="3">
        <v>0.55253479999999999</v>
      </c>
      <c r="E355" s="3">
        <v>2.3498200000000011</v>
      </c>
      <c r="F355" s="3">
        <v>3.88795</v>
      </c>
      <c r="G355" s="3">
        <v>4.9644500000000029</v>
      </c>
      <c r="H355" s="3">
        <v>5.2017699999999998</v>
      </c>
      <c r="I355" s="3">
        <v>1.5381299999999989</v>
      </c>
      <c r="J355" s="3">
        <v>2.6146300000000018</v>
      </c>
      <c r="K355" s="3">
        <v>2.8519499999999987</v>
      </c>
      <c r="L355" s="3">
        <v>1.0765000000000029</v>
      </c>
      <c r="M355" s="3">
        <v>1.3138199999999998</v>
      </c>
      <c r="N355" s="3">
        <v>0.23731999999999687</v>
      </c>
      <c r="O355" s="13">
        <v>-1.6342466031186977</v>
      </c>
      <c r="P355" s="13">
        <v>-0.98131737969624477</v>
      </c>
      <c r="Q355" s="13">
        <v>-0.95611186732373155</v>
      </c>
    </row>
    <row r="356" spans="1:17" x14ac:dyDescent="0.25">
      <c r="A356" s="3">
        <v>1.2376614659861299E+18</v>
      </c>
      <c r="B356" s="3">
        <v>235.92670000000001</v>
      </c>
      <c r="C356" s="3">
        <v>35.834781</v>
      </c>
      <c r="D356" s="3">
        <v>0.55517689999999997</v>
      </c>
      <c r="E356" s="3">
        <v>0.99632999999999683</v>
      </c>
      <c r="F356" s="3">
        <v>2.5353599999999972</v>
      </c>
      <c r="G356" s="3">
        <v>3.5350399999999986</v>
      </c>
      <c r="H356" s="3">
        <v>4.0209699999999984</v>
      </c>
      <c r="I356" s="3">
        <v>1.5390300000000003</v>
      </c>
      <c r="J356" s="3">
        <v>2.5387100000000018</v>
      </c>
      <c r="K356" s="3">
        <v>3.0246400000000015</v>
      </c>
      <c r="L356" s="3">
        <v>0.99968000000000146</v>
      </c>
      <c r="M356" s="3">
        <v>1.4856100000000012</v>
      </c>
      <c r="N356" s="3">
        <v>0.48592999999999975</v>
      </c>
      <c r="O356" s="13">
        <v>-1.1502178375440457</v>
      </c>
      <c r="P356" s="13">
        <v>1.4969878022221117</v>
      </c>
      <c r="Q356" s="13">
        <v>-1.5173548482854899</v>
      </c>
    </row>
    <row r="357" spans="1:17" x14ac:dyDescent="0.25">
      <c r="A357" s="3">
        <v>1.2376614659861299E+18</v>
      </c>
      <c r="B357" s="3">
        <v>235.81912</v>
      </c>
      <c r="C357" s="3">
        <v>35.868046</v>
      </c>
      <c r="D357" s="3">
        <v>0.55590569999999995</v>
      </c>
      <c r="E357" s="3">
        <v>1.3466799999999992</v>
      </c>
      <c r="F357" s="3">
        <v>3.0365299999999991</v>
      </c>
      <c r="G357" s="3">
        <v>4.0319900000000004</v>
      </c>
      <c r="H357" s="3">
        <v>4.4812899999999978</v>
      </c>
      <c r="I357" s="3">
        <v>1.6898499999999999</v>
      </c>
      <c r="J357" s="3">
        <v>2.6853100000000012</v>
      </c>
      <c r="K357" s="3">
        <v>3.1346099999999986</v>
      </c>
      <c r="L357" s="3">
        <v>0.99546000000000134</v>
      </c>
      <c r="M357" s="3">
        <v>1.4447599999999987</v>
      </c>
      <c r="N357" s="3">
        <v>0.44929999999999737</v>
      </c>
      <c r="O357" s="13">
        <v>-1.5706437568823284</v>
      </c>
      <c r="P357" s="13">
        <v>0.8085269665892677</v>
      </c>
      <c r="Q357" s="13">
        <v>-1.6957834413229462</v>
      </c>
    </row>
    <row r="358" spans="1:17" x14ac:dyDescent="0.25">
      <c r="A358" s="3">
        <v>1.2376623378635799E+18</v>
      </c>
      <c r="B358" s="3">
        <v>235.88399000000001</v>
      </c>
      <c r="C358" s="3">
        <v>35.804220999999998</v>
      </c>
      <c r="D358" s="3">
        <v>0.55748390000000003</v>
      </c>
      <c r="E358" s="3">
        <v>0.83626000000000289</v>
      </c>
      <c r="F358" s="3">
        <v>2.4074300000000015</v>
      </c>
      <c r="G358" s="3">
        <v>3.2617100000000008</v>
      </c>
      <c r="H358" s="3">
        <v>3.5693300000000008</v>
      </c>
      <c r="I358" s="3">
        <v>1.5711699999999986</v>
      </c>
      <c r="J358" s="3">
        <v>2.4254499999999979</v>
      </c>
      <c r="K358" s="3">
        <v>2.7330699999999979</v>
      </c>
      <c r="L358" s="3">
        <v>0.85427999999999926</v>
      </c>
      <c r="M358" s="3">
        <v>1.1618999999999993</v>
      </c>
      <c r="N358" s="3">
        <v>0.30762</v>
      </c>
      <c r="O358" s="13">
        <v>-0.1359419774839111</v>
      </c>
      <c r="P358" s="13">
        <v>1.3949860144491943</v>
      </c>
      <c r="Q358" s="13">
        <v>-1.7322539161880259</v>
      </c>
    </row>
    <row r="359" spans="1:17" x14ac:dyDescent="0.25">
      <c r="A359" s="3">
        <v>1.2376623378635799E+18</v>
      </c>
      <c r="B359" s="3">
        <v>235.88399000000001</v>
      </c>
      <c r="C359" s="3">
        <v>35.804220999999998</v>
      </c>
      <c r="D359" s="3">
        <v>0.55753070000000005</v>
      </c>
      <c r="E359" s="3">
        <v>0.83626000000000289</v>
      </c>
      <c r="F359" s="3">
        <v>2.4074300000000015</v>
      </c>
      <c r="G359" s="3">
        <v>3.2617100000000008</v>
      </c>
      <c r="H359" s="3">
        <v>3.5693300000000008</v>
      </c>
      <c r="I359" s="3">
        <v>1.5711699999999986</v>
      </c>
      <c r="J359" s="3">
        <v>2.4254499999999979</v>
      </c>
      <c r="K359" s="3">
        <v>2.7330699999999979</v>
      </c>
      <c r="L359" s="3">
        <v>0.85427999999999926</v>
      </c>
      <c r="M359" s="3">
        <v>1.1618999999999993</v>
      </c>
      <c r="N359" s="3">
        <v>0.30762</v>
      </c>
      <c r="O359" s="13">
        <v>-0.13600149370030629</v>
      </c>
      <c r="P359" s="13">
        <v>1.3950206716668339</v>
      </c>
      <c r="Q359" s="13">
        <v>-1.73225786941291</v>
      </c>
    </row>
    <row r="360" spans="1:17" x14ac:dyDescent="0.25">
      <c r="A360" s="3">
        <v>1.2376624736911301E+18</v>
      </c>
      <c r="B360" s="3">
        <v>236.75480999999999</v>
      </c>
      <c r="C360" s="3">
        <v>35.893577000000001</v>
      </c>
      <c r="D360" s="3">
        <v>0.55971649999999995</v>
      </c>
      <c r="E360" s="3">
        <v>1.6011400000000009</v>
      </c>
      <c r="F360" s="3">
        <v>4.2295300000000005</v>
      </c>
      <c r="G360" s="3">
        <v>5.3381800000000013</v>
      </c>
      <c r="H360" s="3">
        <v>5.91629</v>
      </c>
      <c r="I360" s="3">
        <v>2.6283899999999996</v>
      </c>
      <c r="J360" s="3">
        <v>3.7370400000000004</v>
      </c>
      <c r="K360" s="3">
        <v>4.3151499999999992</v>
      </c>
      <c r="L360" s="3">
        <v>1.1086500000000008</v>
      </c>
      <c r="M360" s="3">
        <v>1.6867599999999996</v>
      </c>
      <c r="N360" s="3">
        <v>0.57810999999999879</v>
      </c>
      <c r="O360" s="13">
        <v>-4.6397722615864136</v>
      </c>
      <c r="P360" s="13">
        <v>-2.4773321485132442E-2</v>
      </c>
      <c r="Q360" s="13">
        <v>7.5605900118030617E-2</v>
      </c>
    </row>
    <row r="361" spans="1:17" x14ac:dyDescent="0.25">
      <c r="A361" s="3">
        <v>1.2376623378636401E+18</v>
      </c>
      <c r="B361" s="3">
        <v>235.96710999999999</v>
      </c>
      <c r="C361" s="3">
        <v>35.660018000000001</v>
      </c>
      <c r="D361" s="3">
        <v>0.56007799999999996</v>
      </c>
      <c r="E361" s="3">
        <v>0.6490399999999994</v>
      </c>
      <c r="F361" s="3">
        <v>2.0432699999999997</v>
      </c>
      <c r="G361" s="3">
        <v>2.9311500000000024</v>
      </c>
      <c r="H361" s="3">
        <v>3.5090199999999996</v>
      </c>
      <c r="I361" s="3">
        <v>1.3942300000000003</v>
      </c>
      <c r="J361" s="3">
        <v>2.282110000000003</v>
      </c>
      <c r="K361" s="3">
        <v>2.8599800000000002</v>
      </c>
      <c r="L361" s="3">
        <v>0.88788000000000267</v>
      </c>
      <c r="M361" s="3">
        <v>1.4657499999999999</v>
      </c>
      <c r="N361" s="3">
        <v>0.57786999999999722</v>
      </c>
      <c r="O361" s="13">
        <v>-0.54164049472632803</v>
      </c>
      <c r="P361" s="13">
        <v>2.1439979674826346</v>
      </c>
      <c r="Q361" s="13">
        <v>-1.8105103738586934</v>
      </c>
    </row>
    <row r="362" spans="1:17" x14ac:dyDescent="0.25">
      <c r="A362" s="3">
        <v>1.23766250375584E+18</v>
      </c>
      <c r="B362" s="3">
        <v>236.7901</v>
      </c>
      <c r="C362" s="3">
        <v>36.223827999999997</v>
      </c>
      <c r="D362" s="3">
        <v>0.56812600000000002</v>
      </c>
      <c r="E362" s="3">
        <v>0.5154999999999994</v>
      </c>
      <c r="F362" s="3">
        <v>1.6514200000000017</v>
      </c>
      <c r="G362" s="3">
        <v>2.4845000000000006</v>
      </c>
      <c r="H362" s="3">
        <v>2.6333200000000012</v>
      </c>
      <c r="I362" s="3">
        <v>1.1359200000000023</v>
      </c>
      <c r="J362" s="3">
        <v>1.9690000000000012</v>
      </c>
      <c r="K362" s="3">
        <v>2.1178200000000018</v>
      </c>
      <c r="L362" s="3">
        <v>0.83307999999999893</v>
      </c>
      <c r="M362" s="3">
        <v>0.98189999999999955</v>
      </c>
      <c r="N362" s="3">
        <v>0.14882000000000062</v>
      </c>
      <c r="O362" s="13">
        <v>1.3174840339162248</v>
      </c>
      <c r="P362" s="13">
        <v>2.0651520700231401</v>
      </c>
      <c r="Q362" s="13">
        <v>1.3277684300027526</v>
      </c>
    </row>
    <row r="363" spans="1:17" x14ac:dyDescent="0.25">
      <c r="A363" s="3">
        <v>1.2376625037557701E+18</v>
      </c>
      <c r="B363" s="3">
        <v>236.65296000000001</v>
      </c>
      <c r="C363" s="3">
        <v>36.262743</v>
      </c>
      <c r="D363" s="3">
        <v>0.5693281</v>
      </c>
      <c r="E363" s="3">
        <v>3.7239199999999997</v>
      </c>
      <c r="F363" s="3">
        <v>5.6038999999999994</v>
      </c>
      <c r="G363" s="3">
        <v>6.5047700000000006</v>
      </c>
      <c r="H363" s="3">
        <v>7.0387199999999979</v>
      </c>
      <c r="I363" s="3">
        <v>1.8799799999999998</v>
      </c>
      <c r="J363" s="3">
        <v>2.7808500000000009</v>
      </c>
      <c r="K363" s="3">
        <v>3.3147999999999982</v>
      </c>
      <c r="L363" s="3">
        <v>0.90087000000000117</v>
      </c>
      <c r="M363" s="3">
        <v>1.4348199999999984</v>
      </c>
      <c r="N363" s="3">
        <v>0.53394999999999726</v>
      </c>
      <c r="O363" s="13">
        <v>-3.7685012824240069</v>
      </c>
      <c r="P363" s="13">
        <v>-2.9036019996981617</v>
      </c>
      <c r="Q363" s="13">
        <v>1.2020061839609124</v>
      </c>
    </row>
    <row r="364" spans="1:17" x14ac:dyDescent="0.25">
      <c r="A364" s="3">
        <v>1.23766250375584E+18</v>
      </c>
      <c r="B364" s="3">
        <v>236.76983000000001</v>
      </c>
      <c r="C364" s="3">
        <v>36.157921999999999</v>
      </c>
      <c r="D364" s="3">
        <v>0.57193450000000001</v>
      </c>
      <c r="E364" s="3">
        <v>2.922349999999998</v>
      </c>
      <c r="F364" s="3">
        <v>4.6615399999999987</v>
      </c>
      <c r="G364" s="3">
        <v>5.6639799999999987</v>
      </c>
      <c r="H364" s="3">
        <v>6.2942800000000005</v>
      </c>
      <c r="I364" s="3">
        <v>1.7391900000000007</v>
      </c>
      <c r="J364" s="3">
        <v>2.7416300000000007</v>
      </c>
      <c r="K364" s="3">
        <v>3.3719300000000025</v>
      </c>
      <c r="L364" s="3">
        <v>1.00244</v>
      </c>
      <c r="M364" s="3">
        <v>1.6327400000000019</v>
      </c>
      <c r="N364" s="3">
        <v>0.63030000000000186</v>
      </c>
      <c r="O364" s="13">
        <v>-3.5316188114456195</v>
      </c>
      <c r="P364" s="13">
        <v>-1.3952869740737559</v>
      </c>
      <c r="Q364" s="13">
        <v>1.1869798449826361</v>
      </c>
    </row>
    <row r="365" spans="1:17" x14ac:dyDescent="0.25">
      <c r="A365" s="3">
        <v>1.2376624736909399E+18</v>
      </c>
      <c r="B365" s="3">
        <v>236.42551</v>
      </c>
      <c r="C365" s="3">
        <v>36.336641999999998</v>
      </c>
      <c r="D365" s="3">
        <v>0.57215170000000004</v>
      </c>
      <c r="E365" s="3">
        <v>3.6820800000000027</v>
      </c>
      <c r="F365" s="3">
        <v>5.3453900000000019</v>
      </c>
      <c r="G365" s="3">
        <v>6.3961900000000007</v>
      </c>
      <c r="H365" s="3">
        <v>7.0280000000000022</v>
      </c>
      <c r="I365" s="3">
        <v>1.6633099999999992</v>
      </c>
      <c r="J365" s="3">
        <v>2.714109999999998</v>
      </c>
      <c r="K365" s="3">
        <v>3.3459199999999996</v>
      </c>
      <c r="L365" s="3">
        <v>1.0507999999999988</v>
      </c>
      <c r="M365" s="3">
        <v>1.6826100000000004</v>
      </c>
      <c r="N365" s="3">
        <v>0.63181000000000154</v>
      </c>
      <c r="O365" s="13">
        <v>-3.988398833158675</v>
      </c>
      <c r="P365" s="13">
        <v>-2.433724893106779</v>
      </c>
      <c r="Q365" s="13">
        <v>0.9788219985050971</v>
      </c>
    </row>
    <row r="366" spans="1:17" x14ac:dyDescent="0.25">
      <c r="A366" s="3">
        <v>1.2376624736911301E+18</v>
      </c>
      <c r="B366" s="3">
        <v>236.74807999999999</v>
      </c>
      <c r="C366" s="3">
        <v>36.076872000000002</v>
      </c>
      <c r="D366" s="3">
        <v>0.57257769999999997</v>
      </c>
      <c r="E366" s="3">
        <v>2.3820399999999999</v>
      </c>
      <c r="F366" s="3">
        <v>3.863430000000001</v>
      </c>
      <c r="G366" s="3">
        <v>4.9128900000000009</v>
      </c>
      <c r="H366" s="3">
        <v>5.64405</v>
      </c>
      <c r="I366" s="3">
        <v>1.4813900000000011</v>
      </c>
      <c r="J366" s="3">
        <v>2.5308500000000009</v>
      </c>
      <c r="K366" s="3">
        <v>3.2620100000000001</v>
      </c>
      <c r="L366" s="3">
        <v>1.0494599999999998</v>
      </c>
      <c r="M366" s="3">
        <v>1.780619999999999</v>
      </c>
      <c r="N366" s="3">
        <v>0.73115999999999914</v>
      </c>
      <c r="O366" s="13">
        <v>-3.0471444370390146</v>
      </c>
      <c r="P366" s="13">
        <v>-0.23181544373932705</v>
      </c>
      <c r="Q366" s="13">
        <v>1.003376533081703</v>
      </c>
    </row>
    <row r="367" spans="1:17" x14ac:dyDescent="0.25">
      <c r="A367" s="3">
        <v>1.2376625037557701E+18</v>
      </c>
      <c r="B367" s="3">
        <v>236.55561</v>
      </c>
      <c r="C367" s="3">
        <v>36.29954</v>
      </c>
      <c r="D367" s="3">
        <v>0.57280359999999997</v>
      </c>
      <c r="E367" s="3">
        <v>-0.59562000000000026</v>
      </c>
      <c r="F367" s="3">
        <v>1.2538099999999979</v>
      </c>
      <c r="G367" s="3">
        <v>2.3265600000000006</v>
      </c>
      <c r="H367" s="3">
        <v>3.1030499999999996</v>
      </c>
      <c r="I367" s="3">
        <v>1.8494299999999981</v>
      </c>
      <c r="J367" s="3">
        <v>2.9221800000000009</v>
      </c>
      <c r="K367" s="3">
        <v>3.6986699999999999</v>
      </c>
      <c r="L367" s="3">
        <v>1.0727500000000028</v>
      </c>
      <c r="M367" s="3">
        <v>1.8492400000000018</v>
      </c>
      <c r="N367" s="3">
        <v>0.77648999999999901</v>
      </c>
      <c r="O367" s="13">
        <v>-1.9842873195705126</v>
      </c>
      <c r="P367" s="13">
        <v>4.3357206438945006</v>
      </c>
      <c r="Q367" s="13">
        <v>0.82494455384343346</v>
      </c>
    </row>
    <row r="368" spans="1:17" x14ac:dyDescent="0.25">
      <c r="A368" s="3">
        <v>1.2376625037557701E+18</v>
      </c>
      <c r="B368" s="3">
        <v>236.55592999999999</v>
      </c>
      <c r="C368" s="3">
        <v>36.315261</v>
      </c>
      <c r="D368" s="3">
        <v>0.57286389999999998</v>
      </c>
      <c r="E368" s="3">
        <v>3.8868900000000011</v>
      </c>
      <c r="F368" s="3">
        <v>5.0514499999999991</v>
      </c>
      <c r="G368" s="3">
        <v>6.1054500000000012</v>
      </c>
      <c r="H368" s="3">
        <v>6.5373800000000024</v>
      </c>
      <c r="I368" s="3">
        <v>1.164559999999998</v>
      </c>
      <c r="J368" s="3">
        <v>2.2185600000000001</v>
      </c>
      <c r="K368" s="3">
        <v>2.6504900000000013</v>
      </c>
      <c r="L368" s="3">
        <v>1.054000000000002</v>
      </c>
      <c r="M368" s="3">
        <v>1.4859300000000033</v>
      </c>
      <c r="N368" s="3">
        <v>0.43193000000000126</v>
      </c>
      <c r="O368" s="13">
        <v>-2.5130688317709042</v>
      </c>
      <c r="P368" s="13">
        <v>-2.6888375848912425</v>
      </c>
      <c r="Q368" s="13">
        <v>1.3337528817349571</v>
      </c>
    </row>
    <row r="369" spans="1:17" x14ac:dyDescent="0.25">
      <c r="A369" s="3">
        <v>1.2376625037557701E+18</v>
      </c>
      <c r="B369" s="3">
        <v>236.55592999999999</v>
      </c>
      <c r="C369" s="3">
        <v>36.315261</v>
      </c>
      <c r="D369" s="3">
        <v>0.57297379999999998</v>
      </c>
      <c r="E369" s="3">
        <v>3.8868900000000011</v>
      </c>
      <c r="F369" s="3">
        <v>5.0514499999999991</v>
      </c>
      <c r="G369" s="3">
        <v>6.1054500000000012</v>
      </c>
      <c r="H369" s="3">
        <v>6.5373800000000024</v>
      </c>
      <c r="I369" s="3">
        <v>1.164559999999998</v>
      </c>
      <c r="J369" s="3">
        <v>2.2185600000000001</v>
      </c>
      <c r="K369" s="3">
        <v>2.6504900000000013</v>
      </c>
      <c r="L369" s="3">
        <v>1.054000000000002</v>
      </c>
      <c r="M369" s="3">
        <v>1.4859300000000033</v>
      </c>
      <c r="N369" s="3">
        <v>0.43193000000000126</v>
      </c>
      <c r="O369" s="13">
        <v>-2.5132085931423158</v>
      </c>
      <c r="P369" s="13">
        <v>-2.688756199672889</v>
      </c>
      <c r="Q369" s="13">
        <v>1.3337435984141313</v>
      </c>
    </row>
    <row r="370" spans="1:17" x14ac:dyDescent="0.25">
      <c r="A370" s="3">
        <v>1.2376625032189701E+18</v>
      </c>
      <c r="B370" s="3">
        <v>236.48553999999999</v>
      </c>
      <c r="C370" s="3">
        <v>36.019148000000001</v>
      </c>
      <c r="D370" s="3">
        <v>0.57327910000000004</v>
      </c>
      <c r="E370" s="3">
        <v>0.50534000000000034</v>
      </c>
      <c r="F370" s="3">
        <v>2.337530000000001</v>
      </c>
      <c r="G370" s="3">
        <v>3.397120000000001</v>
      </c>
      <c r="H370" s="3">
        <v>4.036719999999999</v>
      </c>
      <c r="I370" s="3">
        <v>1.8321900000000007</v>
      </c>
      <c r="J370" s="3">
        <v>2.8917800000000007</v>
      </c>
      <c r="K370" s="3">
        <v>3.5313799999999986</v>
      </c>
      <c r="L370" s="3">
        <v>1.05959</v>
      </c>
      <c r="M370" s="3">
        <v>1.699189999999998</v>
      </c>
      <c r="N370" s="3">
        <v>0.63959999999999795</v>
      </c>
      <c r="O370" s="13">
        <v>-2.2169059307030694</v>
      </c>
      <c r="P370" s="13">
        <v>2.3504299823989947</v>
      </c>
      <c r="Q370" s="13">
        <v>2.6104497592816866E-2</v>
      </c>
    </row>
    <row r="371" spans="1:17" x14ac:dyDescent="0.25">
      <c r="A371" s="3">
        <v>1.23766247422787E+18</v>
      </c>
      <c r="B371" s="3">
        <v>236.81554</v>
      </c>
      <c r="C371" s="3">
        <v>36.612485999999997</v>
      </c>
      <c r="D371" s="3">
        <v>0.5733279</v>
      </c>
      <c r="E371" s="3">
        <v>3.4845499999999987</v>
      </c>
      <c r="F371" s="3">
        <v>5.445529999999998</v>
      </c>
      <c r="G371" s="3">
        <v>6.4363399999999977</v>
      </c>
      <c r="H371" s="3">
        <v>7.1474399999999996</v>
      </c>
      <c r="I371" s="3">
        <v>1.9609799999999993</v>
      </c>
      <c r="J371" s="3">
        <v>2.951789999999999</v>
      </c>
      <c r="K371" s="3">
        <v>3.6628900000000009</v>
      </c>
      <c r="L371" s="3">
        <v>0.99080999999999975</v>
      </c>
      <c r="M371" s="3">
        <v>1.7019100000000016</v>
      </c>
      <c r="N371" s="3">
        <v>0.71110000000000184</v>
      </c>
      <c r="O371" s="13">
        <v>-4.637585249424693</v>
      </c>
      <c r="P371" s="13">
        <v>-2.1927784506073213</v>
      </c>
      <c r="Q371" s="13">
        <v>2.411470670129702</v>
      </c>
    </row>
    <row r="372" spans="1:17" x14ac:dyDescent="0.25">
      <c r="A372" s="3">
        <v>1.2376614659863301E+18</v>
      </c>
      <c r="B372" s="3">
        <v>236.34151</v>
      </c>
      <c r="C372" s="3">
        <v>35.652872000000002</v>
      </c>
      <c r="D372" s="3">
        <v>0.57405360000000005</v>
      </c>
      <c r="E372" s="3">
        <v>1.3901699999999977</v>
      </c>
      <c r="F372" s="3">
        <v>2.7086000000000006</v>
      </c>
      <c r="G372" s="3">
        <v>3.7061700000000002</v>
      </c>
      <c r="H372" s="3">
        <v>4.1977899999999977</v>
      </c>
      <c r="I372" s="3">
        <v>1.3184300000000029</v>
      </c>
      <c r="J372" s="3">
        <v>2.3160000000000025</v>
      </c>
      <c r="K372" s="3">
        <v>2.80762</v>
      </c>
      <c r="L372" s="3">
        <v>0.99756999999999962</v>
      </c>
      <c r="M372" s="3">
        <v>1.4891899999999971</v>
      </c>
      <c r="N372" s="3">
        <v>0.4916199999999975</v>
      </c>
      <c r="O372" s="13">
        <v>-1.0493922940974234</v>
      </c>
      <c r="P372" s="13">
        <v>0.97721969490744143</v>
      </c>
      <c r="Q372" s="13">
        <v>-0.99155942984949019</v>
      </c>
    </row>
    <row r="373" spans="1:17" x14ac:dyDescent="0.25">
      <c r="A373" s="3">
        <v>1.2376614659863301E+18</v>
      </c>
      <c r="B373" s="3">
        <v>236.26297</v>
      </c>
      <c r="C373" s="3">
        <v>35.624699999999997</v>
      </c>
      <c r="D373" s="3">
        <v>0.57423290000000005</v>
      </c>
      <c r="E373" s="3">
        <v>0.79211000000000098</v>
      </c>
      <c r="F373" s="3">
        <v>2.6312700000000007</v>
      </c>
      <c r="G373" s="3">
        <v>3.6668900000000022</v>
      </c>
      <c r="H373" s="3">
        <v>4.3609299999999998</v>
      </c>
      <c r="I373" s="3">
        <v>1.8391599999999997</v>
      </c>
      <c r="J373" s="3">
        <v>2.8747800000000012</v>
      </c>
      <c r="K373" s="3">
        <v>3.5688199999999988</v>
      </c>
      <c r="L373" s="3">
        <v>1.0356200000000015</v>
      </c>
      <c r="M373" s="3">
        <v>1.7296599999999991</v>
      </c>
      <c r="N373" s="3">
        <v>0.69403999999999755</v>
      </c>
      <c r="O373" s="13">
        <v>-2.4418088223462995</v>
      </c>
      <c r="P373" s="13">
        <v>1.8458486403205689</v>
      </c>
      <c r="Q373" s="13">
        <v>-1.4009129210194655</v>
      </c>
    </row>
    <row r="374" spans="1:17" x14ac:dyDescent="0.25">
      <c r="A374" s="3">
        <v>1.2376625037556401E+18</v>
      </c>
      <c r="B374" s="3">
        <v>236.37797</v>
      </c>
      <c r="C374" s="3">
        <v>36.483097999999998</v>
      </c>
      <c r="D374" s="3">
        <v>0.57434810000000003</v>
      </c>
      <c r="E374" s="3">
        <v>0.46713000000000093</v>
      </c>
      <c r="F374" s="3">
        <v>2.5321899999999999</v>
      </c>
      <c r="G374" s="3">
        <v>3.5280099999999983</v>
      </c>
      <c r="H374" s="3">
        <v>4.1841399999999993</v>
      </c>
      <c r="I374" s="3">
        <v>2.065059999999999</v>
      </c>
      <c r="J374" s="3">
        <v>3.0608799999999974</v>
      </c>
      <c r="K374" s="3">
        <v>3.7170099999999984</v>
      </c>
      <c r="L374" s="3">
        <v>0.99581999999999837</v>
      </c>
      <c r="M374" s="3">
        <v>1.6519499999999994</v>
      </c>
      <c r="N374" s="3">
        <v>0.65613000000000099</v>
      </c>
      <c r="O374" s="13">
        <v>-2.561152510307108</v>
      </c>
      <c r="P374" s="13">
        <v>2.3792252422437516</v>
      </c>
      <c r="Q374" s="13">
        <v>0.89300278959086932</v>
      </c>
    </row>
    <row r="375" spans="1:17" x14ac:dyDescent="0.25">
      <c r="A375" s="3">
        <v>1.2376624736909399E+18</v>
      </c>
      <c r="B375" s="3">
        <v>236.43976000000001</v>
      </c>
      <c r="C375" s="3">
        <v>36.321854000000002</v>
      </c>
      <c r="D375" s="3">
        <v>0.57486490000000001</v>
      </c>
      <c r="E375" s="3">
        <v>2.8939199999999978</v>
      </c>
      <c r="F375" s="3">
        <v>4.9783099999999969</v>
      </c>
      <c r="G375" s="3">
        <v>6.2745999999999995</v>
      </c>
      <c r="H375" s="3">
        <v>6.8351299999999995</v>
      </c>
      <c r="I375" s="3">
        <v>2.0843899999999991</v>
      </c>
      <c r="J375" s="3">
        <v>3.3806800000000017</v>
      </c>
      <c r="K375" s="3">
        <v>3.9412100000000017</v>
      </c>
      <c r="L375" s="3">
        <v>1.2962900000000026</v>
      </c>
      <c r="M375" s="3">
        <v>1.8568200000000026</v>
      </c>
      <c r="N375" s="3">
        <v>0.56052999999999997</v>
      </c>
      <c r="O375" s="13">
        <v>-4.8762358829033179</v>
      </c>
      <c r="P375" s="13">
        <v>-1.4343482534080936</v>
      </c>
      <c r="Q375" s="13">
        <v>0.7264441266983066</v>
      </c>
    </row>
    <row r="376" spans="1:17" x14ac:dyDescent="0.25">
      <c r="A376" s="3">
        <v>1.23766250375571E+18</v>
      </c>
      <c r="B376" s="3">
        <v>236.51935</v>
      </c>
      <c r="C376" s="3">
        <v>36.546565999999999</v>
      </c>
      <c r="D376" s="3">
        <v>0.57981760000000004</v>
      </c>
      <c r="E376" s="3">
        <v>3.2913199999999989</v>
      </c>
      <c r="F376" s="3">
        <v>4.9806300000000014</v>
      </c>
      <c r="G376" s="3">
        <v>6.0606200000000001</v>
      </c>
      <c r="H376" s="3">
        <v>6.6753</v>
      </c>
      <c r="I376" s="3">
        <v>1.6893100000000025</v>
      </c>
      <c r="J376" s="3">
        <v>2.7693000000000012</v>
      </c>
      <c r="K376" s="3">
        <v>3.3839800000000011</v>
      </c>
      <c r="L376" s="3">
        <v>1.0799899999999987</v>
      </c>
      <c r="M376" s="3">
        <v>1.6946699999999986</v>
      </c>
      <c r="N376" s="3">
        <v>0.61467999999999989</v>
      </c>
      <c r="O376" s="13">
        <v>-3.8595883543197607</v>
      </c>
      <c r="P376" s="13">
        <v>-1.7791896855900509</v>
      </c>
      <c r="Q376" s="13">
        <v>1.6591781547142801</v>
      </c>
    </row>
    <row r="377" spans="1:17" x14ac:dyDescent="0.25">
      <c r="A377" s="3">
        <v>1.2376625037557701E+18</v>
      </c>
      <c r="B377" s="3">
        <v>236.49377000000001</v>
      </c>
      <c r="C377" s="3">
        <v>36.316184</v>
      </c>
      <c r="D377" s="3">
        <v>0.58962110000000001</v>
      </c>
      <c r="E377" s="3">
        <v>1.0610899999999965</v>
      </c>
      <c r="F377" s="3">
        <v>2.2819299999999991</v>
      </c>
      <c r="G377" s="3">
        <v>3.4177999999999997</v>
      </c>
      <c r="H377" s="3">
        <v>4.06494</v>
      </c>
      <c r="I377" s="3">
        <v>1.2208400000000026</v>
      </c>
      <c r="J377" s="3">
        <v>2.3567100000000032</v>
      </c>
      <c r="K377" s="3">
        <v>3.0038500000000035</v>
      </c>
      <c r="L377" s="3">
        <v>1.1358700000000006</v>
      </c>
      <c r="M377" s="3">
        <v>1.7830100000000009</v>
      </c>
      <c r="N377" s="3">
        <v>0.64714000000000027</v>
      </c>
      <c r="O377" s="13">
        <v>-1.599579312574358</v>
      </c>
      <c r="P377" s="13">
        <v>2.0550360495433155</v>
      </c>
      <c r="Q377" s="13">
        <v>1.0232344365850841</v>
      </c>
    </row>
    <row r="378" spans="1:17" x14ac:dyDescent="0.25">
      <c r="A378" s="3">
        <v>1.23766247369074E+18</v>
      </c>
      <c r="B378" s="3">
        <v>235.86815000000001</v>
      </c>
      <c r="C378" s="3">
        <v>36.585321</v>
      </c>
      <c r="D378" s="3">
        <v>0.59100940000000002</v>
      </c>
      <c r="E378" s="3">
        <v>0.99209000000000103</v>
      </c>
      <c r="F378" s="3">
        <v>2.7683</v>
      </c>
      <c r="G378" s="3">
        <v>3.8323800000000006</v>
      </c>
      <c r="H378" s="3">
        <v>4.3556400000000011</v>
      </c>
      <c r="I378" s="3">
        <v>1.776209999999999</v>
      </c>
      <c r="J378" s="3">
        <v>2.8402899999999995</v>
      </c>
      <c r="K378" s="3">
        <v>3.36355</v>
      </c>
      <c r="L378" s="3">
        <v>1.0640800000000006</v>
      </c>
      <c r="M378" s="3">
        <v>1.5873400000000011</v>
      </c>
      <c r="N378" s="3">
        <v>0.5232600000000005</v>
      </c>
      <c r="O378" s="13">
        <v>-2.0517422932243816</v>
      </c>
      <c r="P378" s="13">
        <v>1.6849792607704355</v>
      </c>
      <c r="Q378" s="13">
        <v>0.15935163594640919</v>
      </c>
    </row>
    <row r="379" spans="1:17" x14ac:dyDescent="0.25">
      <c r="A379" s="3">
        <v>1.23766247369074E+18</v>
      </c>
      <c r="B379" s="3">
        <v>235.99646999999999</v>
      </c>
      <c r="C379" s="3">
        <v>36.586255000000001</v>
      </c>
      <c r="D379" s="3">
        <v>0.59242760000000005</v>
      </c>
      <c r="E379" s="3">
        <v>0.4826599999999992</v>
      </c>
      <c r="F379" s="3">
        <v>2.2841299999999976</v>
      </c>
      <c r="G379" s="3">
        <v>3.2886299999999977</v>
      </c>
      <c r="H379" s="3">
        <v>3.7980299999999971</v>
      </c>
      <c r="I379" s="3">
        <v>1.8014699999999984</v>
      </c>
      <c r="J379" s="3">
        <v>2.8059699999999985</v>
      </c>
      <c r="K379" s="3">
        <v>3.3153699999999979</v>
      </c>
      <c r="L379" s="3">
        <v>1.0045000000000002</v>
      </c>
      <c r="M379" s="3">
        <v>1.5138999999999996</v>
      </c>
      <c r="N379" s="3">
        <v>0.50939999999999941</v>
      </c>
      <c r="O379" s="13">
        <v>-1.5640260641025061</v>
      </c>
      <c r="P379" s="13">
        <v>2.4073455992976092</v>
      </c>
      <c r="Q379" s="13">
        <v>0.39291903067124828</v>
      </c>
    </row>
    <row r="380" spans="1:17" x14ac:dyDescent="0.25">
      <c r="A380" s="3">
        <v>1.23766247369074E+18</v>
      </c>
      <c r="B380" s="3">
        <v>235.953</v>
      </c>
      <c r="C380" s="3">
        <v>36.593406999999999</v>
      </c>
      <c r="D380" s="3">
        <v>0.59282840000000003</v>
      </c>
      <c r="E380" s="3">
        <v>1.0743800000000014</v>
      </c>
      <c r="F380" s="3">
        <v>2.4218800000000016</v>
      </c>
      <c r="G380" s="3">
        <v>3.3967700000000001</v>
      </c>
      <c r="H380" s="3">
        <v>3.8523700000000005</v>
      </c>
      <c r="I380" s="3">
        <v>1.3475000000000001</v>
      </c>
      <c r="J380" s="3">
        <v>2.3223899999999986</v>
      </c>
      <c r="K380" s="3">
        <v>2.7779899999999991</v>
      </c>
      <c r="L380" s="3">
        <v>0.97488999999999848</v>
      </c>
      <c r="M380" s="3">
        <v>1.4304899999999989</v>
      </c>
      <c r="N380" s="3">
        <v>0.45560000000000045</v>
      </c>
      <c r="O380" s="13">
        <v>-0.74986735709135921</v>
      </c>
      <c r="P380" s="13">
        <v>1.7051685289022851</v>
      </c>
      <c r="Q380" s="13">
        <v>0.50310831548913015</v>
      </c>
    </row>
    <row r="381" spans="1:17" x14ac:dyDescent="0.25">
      <c r="A381" s="3">
        <v>1.2376625032189E+18</v>
      </c>
      <c r="B381" s="3">
        <v>236.2705</v>
      </c>
      <c r="C381" s="3">
        <v>35.976362999999999</v>
      </c>
      <c r="D381" s="3">
        <v>0.59927739999999996</v>
      </c>
      <c r="E381" s="3">
        <v>2.1902499999999989</v>
      </c>
      <c r="F381" s="3">
        <v>3.688839999999999</v>
      </c>
      <c r="G381" s="3">
        <v>4.7508400000000002</v>
      </c>
      <c r="H381" s="3">
        <v>5.4160600000000017</v>
      </c>
      <c r="I381" s="3">
        <v>1.4985900000000001</v>
      </c>
      <c r="J381" s="3">
        <v>2.5605900000000013</v>
      </c>
      <c r="K381" s="3">
        <v>3.2258100000000027</v>
      </c>
      <c r="L381" s="3">
        <v>1.0620000000000012</v>
      </c>
      <c r="M381" s="3">
        <v>1.7272200000000026</v>
      </c>
      <c r="N381" s="3">
        <v>0.66522000000000148</v>
      </c>
      <c r="O381" s="13">
        <v>-2.7300004828611031</v>
      </c>
      <c r="P381" s="13">
        <v>-1.1666775663905759E-2</v>
      </c>
      <c r="Q381" s="13">
        <v>-0.30140599326395867</v>
      </c>
    </row>
    <row r="382" spans="1:17" x14ac:dyDescent="0.25">
      <c r="A382" s="3">
        <v>1.2376625037556401E+18</v>
      </c>
      <c r="B382" s="3">
        <v>236.38063</v>
      </c>
      <c r="C382" s="3">
        <v>36.562551999999997</v>
      </c>
      <c r="D382" s="3">
        <v>0.6001263</v>
      </c>
      <c r="E382" s="3">
        <v>-1.5900000000002024E-3</v>
      </c>
      <c r="F382" s="3">
        <v>1.4370399999999997</v>
      </c>
      <c r="G382" s="3">
        <v>2.2947699999999998</v>
      </c>
      <c r="H382" s="3">
        <v>2.6332599999999999</v>
      </c>
      <c r="I382" s="3">
        <v>1.4386299999999999</v>
      </c>
      <c r="J382" s="3">
        <v>2.29636</v>
      </c>
      <c r="K382" s="3">
        <v>2.6348500000000001</v>
      </c>
      <c r="L382" s="3">
        <v>0.8577300000000001</v>
      </c>
      <c r="M382" s="3">
        <v>1.1962200000000003</v>
      </c>
      <c r="N382" s="3">
        <v>0.33849000000000018</v>
      </c>
      <c r="O382" s="13">
        <v>0.40158354195586271</v>
      </c>
      <c r="P382" s="13">
        <v>3.0798422640732608</v>
      </c>
      <c r="Q382" s="13">
        <v>1.210880871861183</v>
      </c>
    </row>
    <row r="383" spans="1:17" x14ac:dyDescent="0.25">
      <c r="A383" s="3">
        <v>1.23766233786351E+18</v>
      </c>
      <c r="B383" s="3">
        <v>235.73212000000001</v>
      </c>
      <c r="C383" s="3">
        <v>35.856115000000003</v>
      </c>
      <c r="D383" s="3">
        <v>0.6017247</v>
      </c>
      <c r="E383" s="3">
        <v>0.7410899999999998</v>
      </c>
      <c r="F383" s="3">
        <v>1.7513000000000005</v>
      </c>
      <c r="G383" s="3">
        <v>2.457259999999998</v>
      </c>
      <c r="H383" s="3">
        <v>3.1222899999999996</v>
      </c>
      <c r="I383" s="3">
        <v>1.0102100000000007</v>
      </c>
      <c r="J383" s="3">
        <v>1.7161699999999982</v>
      </c>
      <c r="K383" s="3">
        <v>2.3811999999999998</v>
      </c>
      <c r="L383" s="3">
        <v>0.70595999999999748</v>
      </c>
      <c r="M383" s="3">
        <v>1.370989999999999</v>
      </c>
      <c r="N383" s="3">
        <v>0.66503000000000156</v>
      </c>
      <c r="O383" s="13">
        <v>0.47409651190328428</v>
      </c>
      <c r="P383" s="13">
        <v>2.3679935480417629</v>
      </c>
      <c r="Q383" s="13">
        <v>-1.6419731834438591</v>
      </c>
    </row>
    <row r="384" spans="1:17" x14ac:dyDescent="0.25">
      <c r="A384" s="3">
        <v>1.2376624736909399E+18</v>
      </c>
      <c r="B384" s="3">
        <v>236.33093</v>
      </c>
      <c r="C384" s="3">
        <v>36.296190000000003</v>
      </c>
      <c r="D384" s="3">
        <v>0.60239480000000001</v>
      </c>
      <c r="E384" s="3">
        <v>1.9173299999999998</v>
      </c>
      <c r="F384" s="3">
        <v>3.7025500000000022</v>
      </c>
      <c r="G384" s="3">
        <v>4.72879</v>
      </c>
      <c r="H384" s="3">
        <v>5.3237900000000025</v>
      </c>
      <c r="I384" s="3">
        <v>1.7852200000000025</v>
      </c>
      <c r="J384" s="3">
        <v>2.8114600000000003</v>
      </c>
      <c r="K384" s="3">
        <v>3.4064600000000027</v>
      </c>
      <c r="L384" s="3">
        <v>1.0262399999999978</v>
      </c>
      <c r="M384" s="3">
        <v>1.6212400000000002</v>
      </c>
      <c r="N384" s="3">
        <v>0.59500000000000242</v>
      </c>
      <c r="O384" s="13">
        <v>-2.8781521545515059</v>
      </c>
      <c r="P384" s="13">
        <v>0.20075625481400791</v>
      </c>
      <c r="Q384" s="13">
        <v>0.50083119211618932</v>
      </c>
    </row>
    <row r="385" spans="1:17" x14ac:dyDescent="0.25">
      <c r="A385" s="3">
        <v>1.2376624736909399E+18</v>
      </c>
      <c r="B385" s="3">
        <v>236.33093</v>
      </c>
      <c r="C385" s="3">
        <v>36.296190000000003</v>
      </c>
      <c r="D385" s="3">
        <v>0.60253420000000002</v>
      </c>
      <c r="E385" s="3">
        <v>1.9173299999999998</v>
      </c>
      <c r="F385" s="3">
        <v>3.7025500000000022</v>
      </c>
      <c r="G385" s="3">
        <v>4.72879</v>
      </c>
      <c r="H385" s="3">
        <v>5.3237900000000025</v>
      </c>
      <c r="I385" s="3">
        <v>1.7852200000000025</v>
      </c>
      <c r="J385" s="3">
        <v>2.8114600000000003</v>
      </c>
      <c r="K385" s="3">
        <v>3.4064600000000027</v>
      </c>
      <c r="L385" s="3">
        <v>1.0262399999999978</v>
      </c>
      <c r="M385" s="3">
        <v>1.6212400000000002</v>
      </c>
      <c r="N385" s="3">
        <v>0.59500000000000242</v>
      </c>
      <c r="O385" s="13">
        <v>-2.8783294314866668</v>
      </c>
      <c r="P385" s="13">
        <v>0.20085948592809613</v>
      </c>
      <c r="Q385" s="13">
        <v>0.50081941691215748</v>
      </c>
    </row>
    <row r="386" spans="1:17" x14ac:dyDescent="0.25">
      <c r="A386" s="3">
        <v>1.2376625032190999E+18</v>
      </c>
      <c r="B386" s="3">
        <v>236.73903999999999</v>
      </c>
      <c r="C386" s="3">
        <v>35.691412</v>
      </c>
      <c r="D386" s="3">
        <v>0.60596910000000004</v>
      </c>
      <c r="E386" s="3">
        <v>1.6847299999999983</v>
      </c>
      <c r="F386" s="3">
        <v>3.0898699999999977</v>
      </c>
      <c r="G386" s="3">
        <v>4.0293899999999994</v>
      </c>
      <c r="H386" s="3">
        <v>4.5044800000000009</v>
      </c>
      <c r="I386" s="3">
        <v>1.4051399999999994</v>
      </c>
      <c r="J386" s="3">
        <v>2.3446600000000011</v>
      </c>
      <c r="K386" s="3">
        <v>2.8197500000000026</v>
      </c>
      <c r="L386" s="3">
        <v>0.93952000000000169</v>
      </c>
      <c r="M386" s="3">
        <v>1.4146100000000033</v>
      </c>
      <c r="N386" s="3">
        <v>0.47509000000000157</v>
      </c>
      <c r="O386" s="13">
        <v>-1.3297027206918661</v>
      </c>
      <c r="P386" s="13">
        <v>0.41588651474066546</v>
      </c>
      <c r="Q386" s="13">
        <v>-5.8662650682508505E-2</v>
      </c>
    </row>
    <row r="387" spans="1:17" x14ac:dyDescent="0.25">
      <c r="A387" s="3">
        <v>1.2376614659862001E+18</v>
      </c>
      <c r="B387" s="3">
        <v>235.99653000000001</v>
      </c>
      <c r="C387" s="3">
        <v>35.808416000000001</v>
      </c>
      <c r="D387" s="3">
        <v>0.61062159999999999</v>
      </c>
      <c r="E387" s="3">
        <v>2.6701100000000011</v>
      </c>
      <c r="F387" s="3">
        <v>4.2054200000000002</v>
      </c>
      <c r="G387" s="3">
        <v>5.4019399999999997</v>
      </c>
      <c r="H387" s="3">
        <v>6.0510200000000012</v>
      </c>
      <c r="I387" s="3">
        <v>1.5353099999999991</v>
      </c>
      <c r="J387" s="3">
        <v>2.7318299999999986</v>
      </c>
      <c r="K387" s="3">
        <v>3.3809100000000001</v>
      </c>
      <c r="L387" s="3">
        <v>1.1965199999999996</v>
      </c>
      <c r="M387" s="3">
        <v>1.845600000000001</v>
      </c>
      <c r="N387" s="3">
        <v>0.64908000000000143</v>
      </c>
      <c r="O387" s="13">
        <v>-3.4400965817388061</v>
      </c>
      <c r="P387" s="13">
        <v>-0.75849705577213899</v>
      </c>
      <c r="Q387" s="13">
        <v>-1.3034766797754638</v>
      </c>
    </row>
    <row r="388" spans="1:17" x14ac:dyDescent="0.25">
      <c r="A388" s="3">
        <v>1.23766250375571E+18</v>
      </c>
      <c r="B388" s="3">
        <v>236.41127</v>
      </c>
      <c r="C388" s="3">
        <v>36.389094</v>
      </c>
      <c r="D388" s="3">
        <v>0.61104910000000001</v>
      </c>
      <c r="E388" s="3">
        <v>-8.481000000000094E-2</v>
      </c>
      <c r="F388" s="3">
        <v>1.4992300000000007</v>
      </c>
      <c r="G388" s="3">
        <v>3.0704399999999978</v>
      </c>
      <c r="H388" s="3">
        <v>3.9557199999999995</v>
      </c>
      <c r="I388" s="3">
        <v>1.5840400000000017</v>
      </c>
      <c r="J388" s="3">
        <v>3.1552499999999988</v>
      </c>
      <c r="K388" s="3">
        <v>4.0405300000000004</v>
      </c>
      <c r="L388" s="3">
        <v>1.5712099999999971</v>
      </c>
      <c r="M388" s="3">
        <v>2.4564899999999987</v>
      </c>
      <c r="N388" s="3">
        <v>0.88528000000000162</v>
      </c>
      <c r="O388" s="13">
        <v>-3.6211823488583272</v>
      </c>
      <c r="P388" s="13">
        <v>4.2263292331437983</v>
      </c>
      <c r="Q388" s="13">
        <v>0.8291800727759957</v>
      </c>
    </row>
    <row r="389" spans="1:17" x14ac:dyDescent="0.25">
      <c r="A389" s="3">
        <v>1.2376624736910001E+18</v>
      </c>
      <c r="B389" s="3">
        <v>236.40432999999999</v>
      </c>
      <c r="C389" s="3">
        <v>36.202257000000003</v>
      </c>
      <c r="D389" s="3">
        <v>0.61435850000000003</v>
      </c>
      <c r="E389" s="3">
        <v>0.54938999999999893</v>
      </c>
      <c r="F389" s="3">
        <v>2.540379999999999</v>
      </c>
      <c r="G389" s="3">
        <v>3.6705499999999986</v>
      </c>
      <c r="H389" s="3">
        <v>4.3325500000000012</v>
      </c>
      <c r="I389" s="3">
        <v>1.99099</v>
      </c>
      <c r="J389" s="3">
        <v>3.1211599999999997</v>
      </c>
      <c r="K389" s="3">
        <v>3.7831600000000023</v>
      </c>
      <c r="L389" s="3">
        <v>1.1301699999999997</v>
      </c>
      <c r="M389" s="3">
        <v>1.7921700000000023</v>
      </c>
      <c r="N389" s="3">
        <v>0.66200000000000259</v>
      </c>
      <c r="O389" s="13">
        <v>-2.9143208859803225</v>
      </c>
      <c r="P389" s="13">
        <v>2.3345491736906103</v>
      </c>
      <c r="Q389" s="13">
        <v>0.25636338460237901</v>
      </c>
    </row>
    <row r="390" spans="1:17" x14ac:dyDescent="0.25">
      <c r="A390" s="3">
        <v>1.2376624736910001E+18</v>
      </c>
      <c r="B390" s="3">
        <v>236.40432999999999</v>
      </c>
      <c r="C390" s="3">
        <v>36.202257000000003</v>
      </c>
      <c r="D390" s="3">
        <v>0.61459019999999998</v>
      </c>
      <c r="E390" s="3">
        <v>0.54938999999999893</v>
      </c>
      <c r="F390" s="3">
        <v>2.540379999999999</v>
      </c>
      <c r="G390" s="3">
        <v>3.6705499999999986</v>
      </c>
      <c r="H390" s="3">
        <v>4.3325500000000012</v>
      </c>
      <c r="I390" s="3">
        <v>1.99099</v>
      </c>
      <c r="J390" s="3">
        <v>3.1211599999999997</v>
      </c>
      <c r="K390" s="3">
        <v>3.7831600000000023</v>
      </c>
      <c r="L390" s="3">
        <v>1.1301699999999997</v>
      </c>
      <c r="M390" s="3">
        <v>1.7921700000000023</v>
      </c>
      <c r="N390" s="3">
        <v>0.66200000000000259</v>
      </c>
      <c r="O390" s="13">
        <v>-2.9146155421200395</v>
      </c>
      <c r="P390" s="13">
        <v>2.3347207565394932</v>
      </c>
      <c r="Q390" s="13">
        <v>0.25634381276038298</v>
      </c>
    </row>
    <row r="391" spans="1:17" x14ac:dyDescent="0.25">
      <c r="A391" s="3">
        <v>1.2376624736910001E+18</v>
      </c>
      <c r="B391" s="3">
        <v>236.40675999999999</v>
      </c>
      <c r="C391" s="3">
        <v>36.208255000000001</v>
      </c>
      <c r="D391" s="3">
        <v>0.61752399999999996</v>
      </c>
      <c r="E391" s="3">
        <v>0.48648000000000025</v>
      </c>
      <c r="F391" s="3">
        <v>2.0130499999999998</v>
      </c>
      <c r="G391" s="3">
        <v>3.1407299999999978</v>
      </c>
      <c r="H391" s="3">
        <v>3.6592599999999997</v>
      </c>
      <c r="I391" s="3">
        <v>1.5265699999999995</v>
      </c>
      <c r="J391" s="3">
        <v>2.6542499999999976</v>
      </c>
      <c r="K391" s="3">
        <v>3.1727799999999995</v>
      </c>
      <c r="L391" s="3">
        <v>1.127679999999998</v>
      </c>
      <c r="M391" s="3">
        <v>1.64621</v>
      </c>
      <c r="N391" s="3">
        <v>0.51853000000000193</v>
      </c>
      <c r="O391" s="13">
        <v>-1.4602025422279463</v>
      </c>
      <c r="P391" s="13">
        <v>2.5630610036567902</v>
      </c>
      <c r="Q391" s="13">
        <v>0.39199379733588202</v>
      </c>
    </row>
    <row r="392" spans="1:17" x14ac:dyDescent="0.25">
      <c r="A392" s="3">
        <v>1.23766247369087E+18</v>
      </c>
      <c r="B392" s="3">
        <v>236.17</v>
      </c>
      <c r="C392" s="3">
        <v>36.290598000000003</v>
      </c>
      <c r="D392" s="3">
        <v>0.61812180000000005</v>
      </c>
      <c r="E392" s="3">
        <v>0.78533999999999793</v>
      </c>
      <c r="F392" s="3">
        <v>2.5051399999999973</v>
      </c>
      <c r="G392" s="3">
        <v>3.6074199999999976</v>
      </c>
      <c r="H392" s="3">
        <v>4.2607299999999988</v>
      </c>
      <c r="I392" s="3">
        <v>1.7197999999999993</v>
      </c>
      <c r="J392" s="3">
        <v>2.8220799999999997</v>
      </c>
      <c r="K392" s="3">
        <v>3.4753900000000009</v>
      </c>
      <c r="L392" s="3">
        <v>1.1022800000000004</v>
      </c>
      <c r="M392" s="3">
        <v>1.7555900000000015</v>
      </c>
      <c r="N392" s="3">
        <v>0.65331000000000117</v>
      </c>
      <c r="O392" s="13">
        <v>-2.3584630369529127</v>
      </c>
      <c r="P392" s="13">
        <v>2.1616371045737286</v>
      </c>
      <c r="Q392" s="13">
        <v>8.9214635900596306E-2</v>
      </c>
    </row>
    <row r="393" spans="1:17" x14ac:dyDescent="0.25">
      <c r="A393" s="3">
        <v>1.2376625032188401E+18</v>
      </c>
      <c r="B393" s="3">
        <v>236.20054999999999</v>
      </c>
      <c r="C393" s="3">
        <v>36.196964000000001</v>
      </c>
      <c r="D393" s="3">
        <v>0.62161840000000002</v>
      </c>
      <c r="E393" s="3">
        <v>3.30715</v>
      </c>
      <c r="F393" s="3">
        <v>5.1374500000000012</v>
      </c>
      <c r="G393" s="3">
        <v>6.2598100000000017</v>
      </c>
      <c r="H393" s="3">
        <v>6.9848099999999995</v>
      </c>
      <c r="I393" s="3">
        <v>1.8303000000000011</v>
      </c>
      <c r="J393" s="3">
        <v>2.9526600000000016</v>
      </c>
      <c r="K393" s="3">
        <v>3.6776599999999995</v>
      </c>
      <c r="L393" s="3">
        <v>1.1223600000000005</v>
      </c>
      <c r="M393" s="3">
        <v>1.8473599999999983</v>
      </c>
      <c r="N393" s="3">
        <v>0.72499999999999787</v>
      </c>
      <c r="O393" s="13">
        <v>-4.586305458079341</v>
      </c>
      <c r="P393" s="13">
        <v>-1.7879294542496504</v>
      </c>
      <c r="Q393" s="13">
        <v>7.8146928358340181E-2</v>
      </c>
    </row>
    <row r="394" spans="1:17" x14ac:dyDescent="0.25">
      <c r="A394" s="3">
        <v>1.23766247369074E+18</v>
      </c>
      <c r="B394" s="3">
        <v>235.80663000000001</v>
      </c>
      <c r="C394" s="3">
        <v>36.589880000000001</v>
      </c>
      <c r="D394" s="3">
        <v>0.62682689999999996</v>
      </c>
      <c r="E394" s="3">
        <v>-0.18815999999999988</v>
      </c>
      <c r="F394" s="3">
        <v>1.4453700000000005</v>
      </c>
      <c r="G394" s="3">
        <v>2.5507199999999983</v>
      </c>
      <c r="H394" s="3">
        <v>2.8666799999999988</v>
      </c>
      <c r="I394" s="3">
        <v>1.6335300000000004</v>
      </c>
      <c r="J394" s="3">
        <v>2.7388799999999982</v>
      </c>
      <c r="K394" s="3">
        <v>3.0548399999999987</v>
      </c>
      <c r="L394" s="3">
        <v>1.1053499999999978</v>
      </c>
      <c r="M394" s="3">
        <v>1.4213099999999983</v>
      </c>
      <c r="N394" s="3">
        <v>0.31596000000000046</v>
      </c>
      <c r="O394" s="13">
        <v>-0.48981513885593886</v>
      </c>
      <c r="P394" s="13">
        <v>3.4138122248409526</v>
      </c>
      <c r="Q394" s="13">
        <v>-5.5705280298584715E-2</v>
      </c>
    </row>
    <row r="395" spans="1:17" x14ac:dyDescent="0.25">
      <c r="A395" s="3">
        <v>1.2376625032186399E+18</v>
      </c>
      <c r="B395" s="3">
        <v>235.72863000000001</v>
      </c>
      <c r="C395" s="3">
        <v>36.440753000000001</v>
      </c>
      <c r="D395" s="3">
        <v>0.62733669999999997</v>
      </c>
      <c r="E395" s="3">
        <v>-1.1891500000000015</v>
      </c>
      <c r="F395" s="3">
        <v>1.7695399999999992</v>
      </c>
      <c r="G395" s="3">
        <v>2.8894999999999982</v>
      </c>
      <c r="H395" s="3">
        <v>3.7974899999999998</v>
      </c>
      <c r="I395" s="3">
        <v>2.9586900000000007</v>
      </c>
      <c r="J395" s="3">
        <v>4.0786499999999997</v>
      </c>
      <c r="K395" s="3">
        <v>4.9866400000000013</v>
      </c>
      <c r="L395" s="3">
        <v>1.119959999999999</v>
      </c>
      <c r="M395" s="3">
        <v>2.0279500000000006</v>
      </c>
      <c r="N395" s="3">
        <v>0.90799000000000163</v>
      </c>
      <c r="O395" s="13">
        <v>-4.3852637129918497</v>
      </c>
      <c r="P395" s="13">
        <v>4.8307324935881963</v>
      </c>
      <c r="Q395" s="13">
        <v>-0.96656234936708607</v>
      </c>
    </row>
    <row r="396" spans="1:17" x14ac:dyDescent="0.25">
      <c r="A396" s="3">
        <v>1.23766247315406E+18</v>
      </c>
      <c r="B396" s="3">
        <v>236.05430000000001</v>
      </c>
      <c r="C396" s="3">
        <v>36.013688999999999</v>
      </c>
      <c r="D396" s="3">
        <v>0.62873049999999997</v>
      </c>
      <c r="E396" s="3">
        <v>3.6886200000000002</v>
      </c>
      <c r="F396" s="3">
        <v>5.2229400000000012</v>
      </c>
      <c r="G396" s="3">
        <v>6.5292400000000015</v>
      </c>
      <c r="H396" s="3">
        <v>6.9950299999999999</v>
      </c>
      <c r="I396" s="3">
        <v>1.534320000000001</v>
      </c>
      <c r="J396" s="3">
        <v>2.8406200000000013</v>
      </c>
      <c r="K396" s="3">
        <v>3.3064099999999996</v>
      </c>
      <c r="L396" s="3">
        <v>1.3063000000000002</v>
      </c>
      <c r="M396" s="3">
        <v>1.7720899999999986</v>
      </c>
      <c r="N396" s="3">
        <v>0.46578999999999837</v>
      </c>
      <c r="O396" s="13">
        <v>-3.9712241914192283</v>
      </c>
      <c r="P396" s="13">
        <v>-2.4590524972877001</v>
      </c>
      <c r="Q396" s="13">
        <v>-0.65262869145650781</v>
      </c>
    </row>
    <row r="397" spans="1:17" x14ac:dyDescent="0.25">
      <c r="A397" s="3">
        <v>1.23766247315406E+18</v>
      </c>
      <c r="B397" s="3">
        <v>236.05430000000001</v>
      </c>
      <c r="C397" s="3">
        <v>36.013688999999999</v>
      </c>
      <c r="D397" s="3">
        <v>0.6288996</v>
      </c>
      <c r="E397" s="3">
        <v>3.6886200000000002</v>
      </c>
      <c r="F397" s="3">
        <v>5.2229400000000012</v>
      </c>
      <c r="G397" s="3">
        <v>6.5292400000000015</v>
      </c>
      <c r="H397" s="3">
        <v>6.9950299999999999</v>
      </c>
      <c r="I397" s="3">
        <v>1.534320000000001</v>
      </c>
      <c r="J397" s="3">
        <v>2.8406200000000013</v>
      </c>
      <c r="K397" s="3">
        <v>3.3064099999999996</v>
      </c>
      <c r="L397" s="3">
        <v>1.3063000000000002</v>
      </c>
      <c r="M397" s="3">
        <v>1.7720899999999986</v>
      </c>
      <c r="N397" s="3">
        <v>0.46578999999999837</v>
      </c>
      <c r="O397" s="13">
        <v>-3.9714392382609445</v>
      </c>
      <c r="P397" s="13">
        <v>-2.4589272721701079</v>
      </c>
      <c r="Q397" s="13">
        <v>-0.6526429754378702</v>
      </c>
    </row>
    <row r="398" spans="1:17" x14ac:dyDescent="0.25">
      <c r="A398" s="3">
        <v>1.23766247369087E+18</v>
      </c>
      <c r="B398" s="3">
        <v>236.16084000000001</v>
      </c>
      <c r="C398" s="3">
        <v>36.439591</v>
      </c>
      <c r="D398" s="3">
        <v>0.63015180000000004</v>
      </c>
      <c r="E398" s="3">
        <v>0.3759200000000007</v>
      </c>
      <c r="F398" s="3">
        <v>2.0870499999999979</v>
      </c>
      <c r="G398" s="3">
        <v>3.3371999999999993</v>
      </c>
      <c r="H398" s="3">
        <v>4.0568500000000007</v>
      </c>
      <c r="I398" s="3">
        <v>1.7111299999999972</v>
      </c>
      <c r="J398" s="3">
        <v>2.9612799999999986</v>
      </c>
      <c r="K398" s="3">
        <v>3.68093</v>
      </c>
      <c r="L398" s="3">
        <v>1.2501500000000014</v>
      </c>
      <c r="M398" s="3">
        <v>1.9698000000000029</v>
      </c>
      <c r="N398" s="3">
        <v>0.71965000000000146</v>
      </c>
      <c r="O398" s="13">
        <v>-2.7286201608755944</v>
      </c>
      <c r="P398" s="13">
        <v>3.0419137683952489</v>
      </c>
      <c r="Q398" s="13">
        <v>0.41352408413117109</v>
      </c>
    </row>
    <row r="399" spans="1:17" x14ac:dyDescent="0.25">
      <c r="A399" s="3">
        <v>1.23766146598607E+18</v>
      </c>
      <c r="B399" s="3">
        <v>235.78863999999999</v>
      </c>
      <c r="C399" s="3">
        <v>36.057056000000003</v>
      </c>
      <c r="D399" s="3">
        <v>0.63020189999999998</v>
      </c>
      <c r="E399" s="3">
        <v>-0.87587999999999866</v>
      </c>
      <c r="F399" s="3">
        <v>1.1196999999999981</v>
      </c>
      <c r="G399" s="3">
        <v>2.3041699999999992</v>
      </c>
      <c r="H399" s="3">
        <v>2.7668199999999992</v>
      </c>
      <c r="I399" s="3">
        <v>1.9955799999999968</v>
      </c>
      <c r="J399" s="3">
        <v>3.1800499999999978</v>
      </c>
      <c r="K399" s="3">
        <v>3.6426999999999978</v>
      </c>
      <c r="L399" s="3">
        <v>1.184470000000001</v>
      </c>
      <c r="M399" s="3">
        <v>1.647120000000001</v>
      </c>
      <c r="N399" s="3">
        <v>0.46265000000000001</v>
      </c>
      <c r="O399" s="13">
        <v>-1.4167083909286862</v>
      </c>
      <c r="P399" s="13">
        <v>4.3305060549361363</v>
      </c>
      <c r="Q399" s="13">
        <v>-1.5747995502865366</v>
      </c>
    </row>
    <row r="400" spans="1:17" x14ac:dyDescent="0.25">
      <c r="A400" s="3">
        <v>1.23766247369087E+18</v>
      </c>
      <c r="B400" s="3">
        <v>236.16084000000001</v>
      </c>
      <c r="C400" s="3">
        <v>36.439591</v>
      </c>
      <c r="D400" s="3">
        <v>0.63024000000000002</v>
      </c>
      <c r="E400" s="3">
        <v>0.3759200000000007</v>
      </c>
      <c r="F400" s="3">
        <v>2.0870499999999979</v>
      </c>
      <c r="G400" s="3">
        <v>3.3371999999999993</v>
      </c>
      <c r="H400" s="3">
        <v>4.0568500000000007</v>
      </c>
      <c r="I400" s="3">
        <v>1.7111299999999972</v>
      </c>
      <c r="J400" s="3">
        <v>2.9612799999999986</v>
      </c>
      <c r="K400" s="3">
        <v>3.68093</v>
      </c>
      <c r="L400" s="3">
        <v>1.2501500000000014</v>
      </c>
      <c r="M400" s="3">
        <v>1.9698000000000029</v>
      </c>
      <c r="N400" s="3">
        <v>0.71965000000000146</v>
      </c>
      <c r="O400" s="13">
        <v>-2.7287323260526479</v>
      </c>
      <c r="P400" s="13">
        <v>3.0419790839208036</v>
      </c>
      <c r="Q400" s="13">
        <v>0.41351663382273784</v>
      </c>
    </row>
    <row r="401" spans="1:17" x14ac:dyDescent="0.25">
      <c r="A401" s="3">
        <v>1.2376625037555799E+18</v>
      </c>
      <c r="B401" s="3">
        <v>236.15545</v>
      </c>
      <c r="C401" s="3">
        <v>36.553722999999998</v>
      </c>
      <c r="D401" s="3">
        <v>0.63042010000000004</v>
      </c>
      <c r="E401" s="3">
        <v>1.5155100000000026</v>
      </c>
      <c r="F401" s="3">
        <v>2.9701100000000018</v>
      </c>
      <c r="G401" s="3">
        <v>4.175690000000003</v>
      </c>
      <c r="H401" s="3">
        <v>4.7441100000000027</v>
      </c>
      <c r="I401" s="3">
        <v>1.4545999999999992</v>
      </c>
      <c r="J401" s="3">
        <v>2.6601800000000004</v>
      </c>
      <c r="K401" s="3">
        <v>3.2286000000000001</v>
      </c>
      <c r="L401" s="3">
        <v>1.2055800000000012</v>
      </c>
      <c r="M401" s="3">
        <v>1.7740000000000009</v>
      </c>
      <c r="N401" s="3">
        <v>0.5684199999999997</v>
      </c>
      <c r="O401" s="13">
        <v>-2.3887884106223005</v>
      </c>
      <c r="P401" s="13">
        <v>1.2372553937796207</v>
      </c>
      <c r="Q401" s="13">
        <v>0.82443673119817862</v>
      </c>
    </row>
    <row r="402" spans="1:17" x14ac:dyDescent="0.25">
      <c r="A402" s="3">
        <v>1.23766233786351E+18</v>
      </c>
      <c r="B402" s="3">
        <v>235.71995999999999</v>
      </c>
      <c r="C402" s="3">
        <v>35.916905999999997</v>
      </c>
      <c r="D402" s="3">
        <v>0.63062130000000005</v>
      </c>
      <c r="E402" s="3">
        <v>2.3513200000000012</v>
      </c>
      <c r="F402" s="3">
        <v>3.9729299999999981</v>
      </c>
      <c r="G402" s="3">
        <v>5.1124699999999983</v>
      </c>
      <c r="H402" s="3">
        <v>5.7416499999999999</v>
      </c>
      <c r="I402" s="3">
        <v>1.6216099999999969</v>
      </c>
      <c r="J402" s="3">
        <v>2.7611499999999971</v>
      </c>
      <c r="K402" s="3">
        <v>3.3903299999999987</v>
      </c>
      <c r="L402" s="3">
        <v>1.1395400000000002</v>
      </c>
      <c r="M402" s="3">
        <v>1.7687200000000018</v>
      </c>
      <c r="N402" s="3">
        <v>0.62918000000000163</v>
      </c>
      <c r="O402" s="13">
        <v>-3.1571762176957932</v>
      </c>
      <c r="P402" s="13">
        <v>-0.31888315683994262</v>
      </c>
      <c r="Q402" s="13">
        <v>-1.6692449000539287</v>
      </c>
    </row>
    <row r="403" spans="1:17" x14ac:dyDescent="0.25">
      <c r="A403" s="3">
        <v>1.2376625032186399E+18</v>
      </c>
      <c r="B403" s="3">
        <v>235.74715</v>
      </c>
      <c r="C403" s="3">
        <v>36.449482000000003</v>
      </c>
      <c r="D403" s="3">
        <v>0.63072620000000001</v>
      </c>
      <c r="E403" s="3">
        <v>3.0398199999999989</v>
      </c>
      <c r="F403" s="3">
        <v>4.4746699999999997</v>
      </c>
      <c r="G403" s="3">
        <v>5.6852300000000007</v>
      </c>
      <c r="H403" s="3">
        <v>6.3260100000000001</v>
      </c>
      <c r="I403" s="3">
        <v>1.4348500000000008</v>
      </c>
      <c r="J403" s="3">
        <v>2.6454100000000018</v>
      </c>
      <c r="K403" s="3">
        <v>3.2861900000000013</v>
      </c>
      <c r="L403" s="3">
        <v>1.210560000000001</v>
      </c>
      <c r="M403" s="3">
        <v>1.8513400000000004</v>
      </c>
      <c r="N403" s="3">
        <v>0.64077999999999946</v>
      </c>
      <c r="O403" s="13">
        <v>-3.5288888551135198</v>
      </c>
      <c r="P403" s="13">
        <v>-1.0529767528867653</v>
      </c>
      <c r="Q403" s="13">
        <v>-0.17021141341111426</v>
      </c>
    </row>
    <row r="404" spans="1:17" x14ac:dyDescent="0.25">
      <c r="A404" s="3">
        <v>1.2376625032186399E+18</v>
      </c>
      <c r="B404" s="3">
        <v>235.74715</v>
      </c>
      <c r="C404" s="3">
        <v>36.449482000000003</v>
      </c>
      <c r="D404" s="3">
        <v>0.63086900000000001</v>
      </c>
      <c r="E404" s="3">
        <v>3.0398199999999989</v>
      </c>
      <c r="F404" s="3">
        <v>4.4746699999999997</v>
      </c>
      <c r="G404" s="3">
        <v>5.6852300000000007</v>
      </c>
      <c r="H404" s="3">
        <v>6.3260100000000001</v>
      </c>
      <c r="I404" s="3">
        <v>1.4348500000000008</v>
      </c>
      <c r="J404" s="3">
        <v>2.6454100000000018</v>
      </c>
      <c r="K404" s="3">
        <v>3.2861900000000013</v>
      </c>
      <c r="L404" s="3">
        <v>1.210560000000001</v>
      </c>
      <c r="M404" s="3">
        <v>1.8513400000000004</v>
      </c>
      <c r="N404" s="3">
        <v>0.64077999999999946</v>
      </c>
      <c r="O404" s="13">
        <v>-3.5290704558763681</v>
      </c>
      <c r="P404" s="13">
        <v>-1.0528710039406268</v>
      </c>
      <c r="Q404" s="13">
        <v>-0.17022347581524494</v>
      </c>
    </row>
    <row r="405" spans="1:17" x14ac:dyDescent="0.25">
      <c r="A405" s="3">
        <v>1.23766247422781E+18</v>
      </c>
      <c r="B405" s="3">
        <v>236.56397000000001</v>
      </c>
      <c r="C405" s="3">
        <v>36.598655999999998</v>
      </c>
      <c r="D405" s="3">
        <v>0.63153570000000003</v>
      </c>
      <c r="E405" s="3">
        <v>-0.17698999999999998</v>
      </c>
      <c r="F405" s="3">
        <v>1.4757299999999987</v>
      </c>
      <c r="G405" s="3">
        <v>2.5270099999999971</v>
      </c>
      <c r="H405" s="3">
        <v>3.2111099999999979</v>
      </c>
      <c r="I405" s="3">
        <v>1.6527199999999986</v>
      </c>
      <c r="J405" s="3">
        <v>2.7039999999999971</v>
      </c>
      <c r="K405" s="3">
        <v>3.3880999999999979</v>
      </c>
      <c r="L405" s="3">
        <v>1.0512799999999984</v>
      </c>
      <c r="M405" s="3">
        <v>1.7353799999999993</v>
      </c>
      <c r="N405" s="3">
        <v>0.68410000000000082</v>
      </c>
      <c r="O405" s="13">
        <v>-1.6160974012977001</v>
      </c>
      <c r="P405" s="13">
        <v>3.8111887233592059</v>
      </c>
      <c r="Q405" s="13">
        <v>1.6637457307632975</v>
      </c>
    </row>
    <row r="406" spans="1:17" x14ac:dyDescent="0.25">
      <c r="A406" s="3">
        <v>1.2376625032188301E+18</v>
      </c>
      <c r="B406" s="3">
        <v>236.20272</v>
      </c>
      <c r="C406" s="3">
        <v>36.101491000000003</v>
      </c>
      <c r="D406" s="3">
        <v>0.63277079999999997</v>
      </c>
      <c r="E406" s="3">
        <v>0.78077000000000041</v>
      </c>
      <c r="F406" s="3">
        <v>2.4181899999999992</v>
      </c>
      <c r="G406" s="3">
        <v>3.4537999999999975</v>
      </c>
      <c r="H406" s="3">
        <v>3.9785299999999992</v>
      </c>
      <c r="I406" s="3">
        <v>1.6374199999999988</v>
      </c>
      <c r="J406" s="3">
        <v>2.6730299999999971</v>
      </c>
      <c r="K406" s="3">
        <v>3.1977599999999988</v>
      </c>
      <c r="L406" s="3">
        <v>1.0356099999999984</v>
      </c>
      <c r="M406" s="3">
        <v>1.5603400000000001</v>
      </c>
      <c r="N406" s="3">
        <v>0.5247300000000017</v>
      </c>
      <c r="O406" s="13">
        <v>-1.6084363540053035</v>
      </c>
      <c r="P406" s="13">
        <v>1.9662667477603479</v>
      </c>
      <c r="Q406" s="13">
        <v>-0.31272090453214729</v>
      </c>
    </row>
    <row r="407" spans="1:17" x14ac:dyDescent="0.25">
      <c r="A407" s="3">
        <v>1.2376624736910001E+18</v>
      </c>
      <c r="B407" s="3">
        <v>236.48539</v>
      </c>
      <c r="C407" s="3">
        <v>36.315657000000002</v>
      </c>
      <c r="D407" s="3">
        <v>0.6336775</v>
      </c>
      <c r="E407" s="3">
        <v>-0.23215000000000074</v>
      </c>
      <c r="F407" s="3">
        <v>1.4701400000000007</v>
      </c>
      <c r="G407" s="3">
        <v>2.6447199999999995</v>
      </c>
      <c r="H407" s="3">
        <v>3.2927</v>
      </c>
      <c r="I407" s="3">
        <v>1.7022900000000014</v>
      </c>
      <c r="J407" s="3">
        <v>2.8768700000000003</v>
      </c>
      <c r="K407" s="3">
        <v>3.5248500000000007</v>
      </c>
      <c r="L407" s="3">
        <v>1.1745799999999988</v>
      </c>
      <c r="M407" s="3">
        <v>1.8225599999999993</v>
      </c>
      <c r="N407" s="3">
        <v>0.64798000000000044</v>
      </c>
      <c r="O407" s="13">
        <v>-1.9116936953536798</v>
      </c>
      <c r="P407" s="13">
        <v>3.8108931480758228</v>
      </c>
      <c r="Q407" s="13">
        <v>0.74227916302273389</v>
      </c>
    </row>
    <row r="408" spans="1:17" x14ac:dyDescent="0.25">
      <c r="A408" s="3">
        <v>1.2376614659859999E+18</v>
      </c>
      <c r="B408" s="3">
        <v>235.67941999999999</v>
      </c>
      <c r="C408" s="3">
        <v>36.139108</v>
      </c>
      <c r="D408" s="3">
        <v>0.63405750000000005</v>
      </c>
      <c r="E408" s="3">
        <v>1.1124000000000009</v>
      </c>
      <c r="F408" s="3">
        <v>2.7790099999999995</v>
      </c>
      <c r="G408" s="3">
        <v>3.9434100000000001</v>
      </c>
      <c r="H408" s="3">
        <v>4.4520699999999991</v>
      </c>
      <c r="I408" s="3">
        <v>1.6666099999999986</v>
      </c>
      <c r="J408" s="3">
        <v>2.8310099999999991</v>
      </c>
      <c r="K408" s="3">
        <v>3.3396699999999981</v>
      </c>
      <c r="L408" s="3">
        <v>1.1644000000000005</v>
      </c>
      <c r="M408" s="3">
        <v>1.6730599999999995</v>
      </c>
      <c r="N408" s="3">
        <v>0.508659999999999</v>
      </c>
      <c r="O408" s="13">
        <v>-2.1415469283494213</v>
      </c>
      <c r="P408" s="13">
        <v>1.5192829350558059</v>
      </c>
      <c r="Q408" s="13">
        <v>-1.3347858156644616</v>
      </c>
    </row>
    <row r="409" spans="1:17" x14ac:dyDescent="0.25">
      <c r="A409" s="3">
        <v>1.23766250375571E+18</v>
      </c>
      <c r="B409" s="3">
        <v>236.57463000000001</v>
      </c>
      <c r="C409" s="3">
        <v>36.423673000000001</v>
      </c>
      <c r="D409" s="3">
        <v>0.63505820000000002</v>
      </c>
      <c r="E409" s="3">
        <v>0.78532000000000224</v>
      </c>
      <c r="F409" s="3">
        <v>2.4095300000000002</v>
      </c>
      <c r="G409" s="3">
        <v>3.5254500000000029</v>
      </c>
      <c r="H409" s="3">
        <v>4.0446200000000019</v>
      </c>
      <c r="I409" s="3">
        <v>1.6242099999999979</v>
      </c>
      <c r="J409" s="3">
        <v>2.7401300000000006</v>
      </c>
      <c r="K409" s="3">
        <v>3.2592999999999996</v>
      </c>
      <c r="L409" s="3">
        <v>1.1159200000000027</v>
      </c>
      <c r="M409" s="3">
        <v>1.6350900000000017</v>
      </c>
      <c r="N409" s="3">
        <v>0.51916999999999902</v>
      </c>
      <c r="O409" s="13">
        <v>-1.9096111759978198</v>
      </c>
      <c r="P409" s="13">
        <v>2.0914701373111146</v>
      </c>
      <c r="Q409" s="13">
        <v>1.2774823386883842</v>
      </c>
    </row>
    <row r="410" spans="1:17" x14ac:dyDescent="0.25">
      <c r="A410" s="3">
        <v>1.23766250375571E+18</v>
      </c>
      <c r="B410" s="3">
        <v>236.57463000000001</v>
      </c>
      <c r="C410" s="3">
        <v>36.423673000000001</v>
      </c>
      <c r="D410" s="3">
        <v>0.63524349999999996</v>
      </c>
      <c r="E410" s="3">
        <v>0.78532000000000224</v>
      </c>
      <c r="F410" s="3">
        <v>2.4095300000000002</v>
      </c>
      <c r="G410" s="3">
        <v>3.5254500000000029</v>
      </c>
      <c r="H410" s="3">
        <v>4.0446200000000019</v>
      </c>
      <c r="I410" s="3">
        <v>1.6242099999999979</v>
      </c>
      <c r="J410" s="3">
        <v>2.7401300000000006</v>
      </c>
      <c r="K410" s="3">
        <v>3.2592999999999996</v>
      </c>
      <c r="L410" s="3">
        <v>1.1159200000000027</v>
      </c>
      <c r="M410" s="3">
        <v>1.6350900000000017</v>
      </c>
      <c r="N410" s="3">
        <v>0.51916999999999902</v>
      </c>
      <c r="O410" s="13">
        <v>-1.9098468246067535</v>
      </c>
      <c r="P410" s="13">
        <v>2.0916073591578885</v>
      </c>
      <c r="Q410" s="13">
        <v>1.2774666862830255</v>
      </c>
    </row>
    <row r="411" spans="1:17" x14ac:dyDescent="0.25">
      <c r="A411" s="3">
        <v>1.2376624731539999E+18</v>
      </c>
      <c r="B411" s="3">
        <v>235.9084</v>
      </c>
      <c r="C411" s="3">
        <v>36.087780000000002</v>
      </c>
      <c r="D411" s="3">
        <v>0.63723180000000001</v>
      </c>
      <c r="E411" s="3">
        <v>1.2085600000000021</v>
      </c>
      <c r="F411" s="3">
        <v>2.4418000000000006</v>
      </c>
      <c r="G411" s="3">
        <v>3.5644500000000008</v>
      </c>
      <c r="H411" s="3">
        <v>4.1427399999999999</v>
      </c>
      <c r="I411" s="3">
        <v>1.2332399999999986</v>
      </c>
      <c r="J411" s="3">
        <v>2.3558899999999987</v>
      </c>
      <c r="K411" s="3">
        <v>2.9341799999999978</v>
      </c>
      <c r="L411" s="3">
        <v>1.1226500000000001</v>
      </c>
      <c r="M411" s="3">
        <v>1.7009399999999992</v>
      </c>
      <c r="N411" s="3">
        <v>0.57828999999999908</v>
      </c>
      <c r="O411" s="13">
        <v>-1.4126458520110565</v>
      </c>
      <c r="P411" s="13">
        <v>1.708820326713792</v>
      </c>
      <c r="Q411" s="13">
        <v>-0.80427620059053473</v>
      </c>
    </row>
    <row r="412" spans="1:17" x14ac:dyDescent="0.25">
      <c r="A412" s="3">
        <v>1.2376624731539999E+18</v>
      </c>
      <c r="B412" s="3">
        <v>235.9084</v>
      </c>
      <c r="C412" s="3">
        <v>36.087780000000002</v>
      </c>
      <c r="D412" s="3">
        <v>0.63753910000000003</v>
      </c>
      <c r="E412" s="3">
        <v>1.2085600000000021</v>
      </c>
      <c r="F412" s="3">
        <v>2.4418000000000006</v>
      </c>
      <c r="G412" s="3">
        <v>3.5644500000000008</v>
      </c>
      <c r="H412" s="3">
        <v>4.1427399999999999</v>
      </c>
      <c r="I412" s="3">
        <v>1.2332399999999986</v>
      </c>
      <c r="J412" s="3">
        <v>2.3558899999999987</v>
      </c>
      <c r="K412" s="3">
        <v>2.9341799999999978</v>
      </c>
      <c r="L412" s="3">
        <v>1.1226500000000001</v>
      </c>
      <c r="M412" s="3">
        <v>1.7009399999999992</v>
      </c>
      <c r="N412" s="3">
        <v>0.57828999999999908</v>
      </c>
      <c r="O412" s="13">
        <v>-1.4130366497311053</v>
      </c>
      <c r="P412" s="13">
        <v>1.7090478942988649</v>
      </c>
      <c r="Q412" s="13">
        <v>-0.8043021584111878</v>
      </c>
    </row>
    <row r="413" spans="1:17" x14ac:dyDescent="0.25">
      <c r="A413" s="3">
        <v>1.2376625032189701E+18</v>
      </c>
      <c r="B413" s="3">
        <v>236.46351000000001</v>
      </c>
      <c r="C413" s="3">
        <v>35.956130999999999</v>
      </c>
      <c r="D413" s="3">
        <v>0.63840030000000003</v>
      </c>
      <c r="E413" s="3">
        <v>1.9139400000000002</v>
      </c>
      <c r="F413" s="3">
        <v>3.7738700000000023</v>
      </c>
      <c r="G413" s="3">
        <v>5.0765700000000002</v>
      </c>
      <c r="H413" s="3">
        <v>5.7396899999999995</v>
      </c>
      <c r="I413" s="3">
        <v>1.8599300000000021</v>
      </c>
      <c r="J413" s="3">
        <v>3.1626300000000001</v>
      </c>
      <c r="K413" s="3">
        <v>3.8257499999999993</v>
      </c>
      <c r="L413" s="3">
        <v>1.302699999999998</v>
      </c>
      <c r="M413" s="3">
        <v>1.9658199999999972</v>
      </c>
      <c r="N413" s="3">
        <v>0.66311999999999927</v>
      </c>
      <c r="O413" s="13">
        <v>-4.1103560333917581</v>
      </c>
      <c r="P413" s="13">
        <v>0.33221057989261193</v>
      </c>
      <c r="Q413" s="13">
        <v>-0.11707177184237041</v>
      </c>
    </row>
    <row r="414" spans="1:17" x14ac:dyDescent="0.25">
      <c r="A414" s="3">
        <v>1.2376625032189701E+18</v>
      </c>
      <c r="B414" s="3">
        <v>236.38307</v>
      </c>
      <c r="C414" s="3">
        <v>35.919638999999997</v>
      </c>
      <c r="D414" s="3">
        <v>0.63867180000000001</v>
      </c>
      <c r="E414" s="3">
        <v>0.67327999999999832</v>
      </c>
      <c r="F414" s="3">
        <v>3.9604299999999988</v>
      </c>
      <c r="G414" s="3">
        <v>5.3558299999999974</v>
      </c>
      <c r="H414" s="3">
        <v>5.8882499999999993</v>
      </c>
      <c r="I414" s="3">
        <v>3.2871500000000005</v>
      </c>
      <c r="J414" s="3">
        <v>4.6825499999999991</v>
      </c>
      <c r="K414" s="3">
        <v>5.214970000000001</v>
      </c>
      <c r="L414" s="3">
        <v>1.3953999999999986</v>
      </c>
      <c r="M414" s="3">
        <v>1.9278200000000005</v>
      </c>
      <c r="N414" s="3">
        <v>0.53242000000000189</v>
      </c>
      <c r="O414" s="13">
        <v>-6.1628546945615472</v>
      </c>
      <c r="P414" s="13">
        <v>1.1762787315855756</v>
      </c>
      <c r="Q414" s="13">
        <v>-0.98796356789314932</v>
      </c>
    </row>
    <row r="415" spans="1:17" x14ac:dyDescent="0.25">
      <c r="A415" s="3">
        <v>1.23766146598626E+18</v>
      </c>
      <c r="B415" s="3">
        <v>236.13403</v>
      </c>
      <c r="C415" s="3">
        <v>35.749065000000002</v>
      </c>
      <c r="D415" s="3">
        <v>0.64022860000000004</v>
      </c>
      <c r="E415" s="3">
        <v>1.2862600000000022</v>
      </c>
      <c r="F415" s="3">
        <v>2.4418700000000015</v>
      </c>
      <c r="G415" s="3">
        <v>3.4232200000000006</v>
      </c>
      <c r="H415" s="3">
        <v>3.8572400000000009</v>
      </c>
      <c r="I415" s="3">
        <v>1.1556099999999994</v>
      </c>
      <c r="J415" s="3">
        <v>2.1369599999999984</v>
      </c>
      <c r="K415" s="3">
        <v>2.5709799999999987</v>
      </c>
      <c r="L415" s="3">
        <v>0.98134999999999906</v>
      </c>
      <c r="M415" s="3">
        <v>1.4153699999999994</v>
      </c>
      <c r="N415" s="3">
        <v>0.43402000000000029</v>
      </c>
      <c r="O415" s="13">
        <v>-0.46699916163929783</v>
      </c>
      <c r="P415" s="13">
        <v>1.2525435393119144</v>
      </c>
      <c r="Q415" s="13">
        <v>-1.1612741836884239</v>
      </c>
    </row>
    <row r="416" spans="1:17" x14ac:dyDescent="0.25">
      <c r="A416" s="3">
        <v>1.23766146598627E+18</v>
      </c>
      <c r="B416" s="3">
        <v>236.17788999999999</v>
      </c>
      <c r="C416" s="3">
        <v>35.799301999999997</v>
      </c>
      <c r="D416" s="3">
        <v>0.64137339999999998</v>
      </c>
      <c r="E416" s="3">
        <v>1.1644900000000007</v>
      </c>
      <c r="F416" s="3">
        <v>2.3896699999999989</v>
      </c>
      <c r="G416" s="3">
        <v>3.801759999999998</v>
      </c>
      <c r="H416" s="3">
        <v>4.5852800000000009</v>
      </c>
      <c r="I416" s="3">
        <v>1.2251799999999982</v>
      </c>
      <c r="J416" s="3">
        <v>2.6372699999999973</v>
      </c>
      <c r="K416" s="3">
        <v>3.4207900000000002</v>
      </c>
      <c r="L416" s="3">
        <v>1.4120899999999992</v>
      </c>
      <c r="M416" s="3">
        <v>2.1956100000000021</v>
      </c>
      <c r="N416" s="3">
        <v>0.78352000000000288</v>
      </c>
      <c r="O416" s="13">
        <v>-2.8766068760223829</v>
      </c>
      <c r="P416" s="13">
        <v>2.1365161333579215</v>
      </c>
      <c r="Q416" s="13">
        <v>-0.94314192141586572</v>
      </c>
    </row>
    <row r="417" spans="1:17" x14ac:dyDescent="0.25">
      <c r="A417" s="3">
        <v>1.2376624736910001E+18</v>
      </c>
      <c r="B417" s="3">
        <v>236.57861</v>
      </c>
      <c r="C417" s="3">
        <v>36.202573999999998</v>
      </c>
      <c r="D417" s="3">
        <v>0.64257410000000004</v>
      </c>
      <c r="E417" s="3">
        <v>2.4270100000000028</v>
      </c>
      <c r="F417" s="3">
        <v>3.7391900000000007</v>
      </c>
      <c r="G417" s="3">
        <v>4.836310000000001</v>
      </c>
      <c r="H417" s="3">
        <v>5.3374200000000016</v>
      </c>
      <c r="I417" s="3">
        <v>1.3121799999999979</v>
      </c>
      <c r="J417" s="3">
        <v>2.4092999999999982</v>
      </c>
      <c r="K417" s="3">
        <v>2.9104099999999988</v>
      </c>
      <c r="L417" s="3">
        <v>1.0971200000000003</v>
      </c>
      <c r="M417" s="3">
        <v>1.5982300000000009</v>
      </c>
      <c r="N417" s="3">
        <v>0.50111000000000061</v>
      </c>
      <c r="O417" s="13">
        <v>-2.24899755537955</v>
      </c>
      <c r="P417" s="13">
        <v>-0.36578849491326493</v>
      </c>
      <c r="Q417" s="13">
        <v>0.95072458711677121</v>
      </c>
    </row>
    <row r="418" spans="1:17" x14ac:dyDescent="0.25">
      <c r="A418" s="3">
        <v>1.2376624736910001E+18</v>
      </c>
      <c r="B418" s="3">
        <v>236.57861</v>
      </c>
      <c r="C418" s="3">
        <v>36.202573999999998</v>
      </c>
      <c r="D418" s="3">
        <v>0.64261840000000003</v>
      </c>
      <c r="E418" s="3">
        <v>2.4270100000000028</v>
      </c>
      <c r="F418" s="3">
        <v>3.7391900000000007</v>
      </c>
      <c r="G418" s="3">
        <v>4.836310000000001</v>
      </c>
      <c r="H418" s="3">
        <v>5.3374200000000016</v>
      </c>
      <c r="I418" s="3">
        <v>1.3121799999999979</v>
      </c>
      <c r="J418" s="3">
        <v>2.4092999999999982</v>
      </c>
      <c r="K418" s="3">
        <v>2.9104099999999988</v>
      </c>
      <c r="L418" s="3">
        <v>1.0971200000000003</v>
      </c>
      <c r="M418" s="3">
        <v>1.5982300000000009</v>
      </c>
      <c r="N418" s="3">
        <v>0.50111000000000061</v>
      </c>
      <c r="O418" s="13">
        <v>-2.2490538923108829</v>
      </c>
      <c r="P418" s="13">
        <v>-0.3657556890427186</v>
      </c>
      <c r="Q418" s="13">
        <v>0.95072084506843157</v>
      </c>
    </row>
    <row r="419" spans="1:17" x14ac:dyDescent="0.25">
      <c r="A419" s="3">
        <v>1.2376624731541299E+18</v>
      </c>
      <c r="B419" s="3">
        <v>236.28894</v>
      </c>
      <c r="C419" s="3">
        <v>35.889907999999998</v>
      </c>
      <c r="D419" s="3">
        <v>0.64264690000000002</v>
      </c>
      <c r="E419" s="3">
        <v>3.847529999999999</v>
      </c>
      <c r="F419" s="3">
        <v>4.8888699999999972</v>
      </c>
      <c r="G419" s="3">
        <v>5.9206699999999977</v>
      </c>
      <c r="H419" s="3">
        <v>6.5477099999999986</v>
      </c>
      <c r="I419" s="3">
        <v>1.0413399999999982</v>
      </c>
      <c r="J419" s="3">
        <v>2.0731399999999987</v>
      </c>
      <c r="K419" s="3">
        <v>2.7001799999999996</v>
      </c>
      <c r="L419" s="3">
        <v>1.0318000000000005</v>
      </c>
      <c r="M419" s="3">
        <v>1.6588400000000014</v>
      </c>
      <c r="N419" s="3">
        <v>0.62704000000000093</v>
      </c>
      <c r="O419" s="13">
        <v>-2.7381135150507134</v>
      </c>
      <c r="P419" s="13">
        <v>-2.3612369311089489</v>
      </c>
      <c r="Q419" s="13">
        <v>-0.21674400050957326</v>
      </c>
    </row>
    <row r="420" spans="1:17" x14ac:dyDescent="0.25">
      <c r="A420" s="3">
        <v>1.23766247369107E+18</v>
      </c>
      <c r="B420" s="3">
        <v>236.74435</v>
      </c>
      <c r="C420" s="3">
        <v>36.149721999999997</v>
      </c>
      <c r="D420" s="3">
        <v>0.64500740000000001</v>
      </c>
      <c r="E420" s="3">
        <v>2.2473699999999965</v>
      </c>
      <c r="F420" s="3">
        <v>5.2153499999999973</v>
      </c>
      <c r="G420" s="3">
        <v>6.4538099999999972</v>
      </c>
      <c r="H420" s="3">
        <v>6.985479999999999</v>
      </c>
      <c r="I420" s="3">
        <v>2.9679800000000007</v>
      </c>
      <c r="J420" s="3">
        <v>4.2064400000000006</v>
      </c>
      <c r="K420" s="3">
        <v>4.7381100000000025</v>
      </c>
      <c r="L420" s="3">
        <v>1.2384599999999999</v>
      </c>
      <c r="M420" s="3">
        <v>1.7701300000000018</v>
      </c>
      <c r="N420" s="3">
        <v>0.53167000000000186</v>
      </c>
      <c r="O420" s="13">
        <v>-6.180951754588639</v>
      </c>
      <c r="P420" s="13">
        <v>-1.1125764267455132</v>
      </c>
      <c r="Q420" s="13">
        <v>0.59413196503591015</v>
      </c>
    </row>
    <row r="421" spans="1:17" x14ac:dyDescent="0.25">
      <c r="A421" s="3">
        <v>1.2376625032189701E+18</v>
      </c>
      <c r="B421" s="3">
        <v>236.4477</v>
      </c>
      <c r="C421" s="3">
        <v>35.878366</v>
      </c>
      <c r="D421" s="3">
        <v>0.64634170000000002</v>
      </c>
      <c r="E421" s="3">
        <v>2.0907499999999999</v>
      </c>
      <c r="F421" s="3">
        <v>3.8350000000000009</v>
      </c>
      <c r="G421" s="3">
        <v>5.0138499999999979</v>
      </c>
      <c r="H421" s="3">
        <v>5.7064699999999995</v>
      </c>
      <c r="I421" s="3">
        <v>1.744250000000001</v>
      </c>
      <c r="J421" s="3">
        <v>2.923099999999998</v>
      </c>
      <c r="K421" s="3">
        <v>3.6157199999999996</v>
      </c>
      <c r="L421" s="3">
        <v>1.1788499999999971</v>
      </c>
      <c r="M421" s="3">
        <v>1.8714699999999986</v>
      </c>
      <c r="N421" s="3">
        <v>0.69262000000000157</v>
      </c>
      <c r="O421" s="13">
        <v>-3.7008604765698019</v>
      </c>
      <c r="P421" s="13">
        <v>8.1117587291189938E-2</v>
      </c>
      <c r="Q421" s="13">
        <v>-0.27227873217186765</v>
      </c>
    </row>
    <row r="422" spans="1:17" x14ac:dyDescent="0.25">
      <c r="A422" s="3">
        <v>1.2376624736910001E+18</v>
      </c>
      <c r="B422" s="3">
        <v>236.46382</v>
      </c>
      <c r="C422" s="3">
        <v>36.181080000000001</v>
      </c>
      <c r="D422" s="3">
        <v>0.64662640000000005</v>
      </c>
      <c r="E422" s="3">
        <v>1.6058200000000014</v>
      </c>
      <c r="F422" s="3">
        <v>3.0132499999999993</v>
      </c>
      <c r="G422" s="3">
        <v>3.8201499999999982</v>
      </c>
      <c r="H422" s="3">
        <v>4.1286300000000011</v>
      </c>
      <c r="I422" s="3">
        <v>1.407429999999998</v>
      </c>
      <c r="J422" s="3">
        <v>2.2143299999999968</v>
      </c>
      <c r="K422" s="3">
        <v>2.5228099999999998</v>
      </c>
      <c r="L422" s="3">
        <v>0.80689999999999884</v>
      </c>
      <c r="M422" s="3">
        <v>1.1153800000000018</v>
      </c>
      <c r="N422" s="3">
        <v>0.30848000000000297</v>
      </c>
      <c r="O422" s="13">
        <v>-0.42884631500343617</v>
      </c>
      <c r="P422" s="13">
        <v>0.42574999366893057</v>
      </c>
      <c r="Q422" s="13">
        <v>0.55165284093967093</v>
      </c>
    </row>
    <row r="423" spans="1:17" x14ac:dyDescent="0.25">
      <c r="A423" s="3">
        <v>1.2376624736910001E+18</v>
      </c>
      <c r="B423" s="3">
        <v>236.46382</v>
      </c>
      <c r="C423" s="3">
        <v>36.181080000000001</v>
      </c>
      <c r="D423" s="3">
        <v>0.64669359999999998</v>
      </c>
      <c r="E423" s="3">
        <v>1.6058200000000014</v>
      </c>
      <c r="F423" s="3">
        <v>3.0132499999999993</v>
      </c>
      <c r="G423" s="3">
        <v>3.8201499999999982</v>
      </c>
      <c r="H423" s="3">
        <v>4.1286300000000011</v>
      </c>
      <c r="I423" s="3">
        <v>1.407429999999998</v>
      </c>
      <c r="J423" s="3">
        <v>2.2143299999999968</v>
      </c>
      <c r="K423" s="3">
        <v>2.5228099999999998</v>
      </c>
      <c r="L423" s="3">
        <v>0.80689999999999884</v>
      </c>
      <c r="M423" s="3">
        <v>1.1153800000000018</v>
      </c>
      <c r="N423" s="3">
        <v>0.30848000000000297</v>
      </c>
      <c r="O423" s="13">
        <v>-0.42893177418595296</v>
      </c>
      <c r="P423" s="13">
        <v>0.4257997578788783</v>
      </c>
      <c r="Q423" s="13">
        <v>0.55164716451419771</v>
      </c>
    </row>
    <row r="424" spans="1:17" x14ac:dyDescent="0.25">
      <c r="A424" s="3">
        <v>1.23766247422787E+18</v>
      </c>
      <c r="B424" s="3">
        <v>236.73444000000001</v>
      </c>
      <c r="C424" s="3">
        <v>36.491458999999999</v>
      </c>
      <c r="D424" s="3">
        <v>0.64683619999999997</v>
      </c>
      <c r="E424" s="3">
        <v>2.3045599999999986</v>
      </c>
      <c r="F424" s="3">
        <v>3.9476200000000006</v>
      </c>
      <c r="G424" s="3">
        <v>4.9762400000000007</v>
      </c>
      <c r="H424" s="3">
        <v>5.2503099999999989</v>
      </c>
      <c r="I424" s="3">
        <v>1.643060000000002</v>
      </c>
      <c r="J424" s="3">
        <v>2.6716800000000021</v>
      </c>
      <c r="K424" s="3">
        <v>2.9457500000000003</v>
      </c>
      <c r="L424" s="3">
        <v>1.0286200000000001</v>
      </c>
      <c r="M424" s="3">
        <v>1.3026899999999983</v>
      </c>
      <c r="N424" s="3">
        <v>0.27406999999999826</v>
      </c>
      <c r="O424" s="13">
        <v>-2.0476672905714115</v>
      </c>
      <c r="P424" s="13">
        <v>-0.66066660945132272</v>
      </c>
      <c r="Q424" s="13">
        <v>1.8395808816238581</v>
      </c>
    </row>
    <row r="425" spans="1:17" x14ac:dyDescent="0.25">
      <c r="A425" s="3">
        <v>1.2376624731541299E+18</v>
      </c>
      <c r="B425" s="3">
        <v>236.29131000000001</v>
      </c>
      <c r="C425" s="3">
        <v>35.892977999999999</v>
      </c>
      <c r="D425" s="3">
        <v>0.64851650000000005</v>
      </c>
      <c r="E425" s="3">
        <v>0.78732000000000113</v>
      </c>
      <c r="F425" s="3">
        <v>2.5596999999999994</v>
      </c>
      <c r="G425" s="3">
        <v>3.8198399999999992</v>
      </c>
      <c r="H425" s="3">
        <v>4.4039999999999999</v>
      </c>
      <c r="I425" s="3">
        <v>1.7723799999999983</v>
      </c>
      <c r="J425" s="3">
        <v>3.0325199999999981</v>
      </c>
      <c r="K425" s="3">
        <v>3.6166799999999988</v>
      </c>
      <c r="L425" s="3">
        <v>1.2601399999999998</v>
      </c>
      <c r="M425" s="3">
        <v>1.8443000000000005</v>
      </c>
      <c r="N425" s="3">
        <v>0.58416000000000068</v>
      </c>
      <c r="O425" s="13">
        <v>-2.7699622613617056</v>
      </c>
      <c r="P425" s="13">
        <v>2.024258948039793</v>
      </c>
      <c r="Q425" s="13">
        <v>-0.70730360019741834</v>
      </c>
    </row>
    <row r="426" spans="1:17" x14ac:dyDescent="0.25">
      <c r="A426" s="3">
        <v>1.2376614659861299E+18</v>
      </c>
      <c r="B426" s="3">
        <v>235.85878</v>
      </c>
      <c r="C426" s="3">
        <v>35.840904999999999</v>
      </c>
      <c r="D426" s="3">
        <v>0.65060560000000001</v>
      </c>
      <c r="E426" s="3">
        <v>1.77149</v>
      </c>
      <c r="F426" s="3">
        <v>3.9548800000000028</v>
      </c>
      <c r="G426" s="3">
        <v>5.2367200000000018</v>
      </c>
      <c r="H426" s="3">
        <v>5.8765999999999998</v>
      </c>
      <c r="I426" s="3">
        <v>2.1833900000000028</v>
      </c>
      <c r="J426" s="3">
        <v>3.4652300000000018</v>
      </c>
      <c r="K426" s="3">
        <v>4.1051099999999998</v>
      </c>
      <c r="L426" s="3">
        <v>1.281839999999999</v>
      </c>
      <c r="M426" s="3">
        <v>1.921719999999997</v>
      </c>
      <c r="N426" s="3">
        <v>0.63987999999999801</v>
      </c>
      <c r="O426" s="13">
        <v>-4.4577426438565206</v>
      </c>
      <c r="P426" s="13">
        <v>0.29229667921482938</v>
      </c>
      <c r="Q426" s="13">
        <v>-1.8113056603840545</v>
      </c>
    </row>
    <row r="427" spans="1:17" x14ac:dyDescent="0.25">
      <c r="A427" s="3">
        <v>1.2376614659862001E+18</v>
      </c>
      <c r="B427" s="3">
        <v>235.98567</v>
      </c>
      <c r="C427" s="3">
        <v>35.785175000000002</v>
      </c>
      <c r="D427" s="3">
        <v>0.65082850000000003</v>
      </c>
      <c r="E427" s="3">
        <v>3.226899999999997</v>
      </c>
      <c r="F427" s="3">
        <v>5.3853799999999978</v>
      </c>
      <c r="G427" s="3">
        <v>6.6435699999999969</v>
      </c>
      <c r="H427" s="3">
        <v>7.0639699999999976</v>
      </c>
      <c r="I427" s="3">
        <v>2.1584800000000008</v>
      </c>
      <c r="J427" s="3">
        <v>3.4166699999999999</v>
      </c>
      <c r="K427" s="3">
        <v>3.8370700000000006</v>
      </c>
      <c r="L427" s="3">
        <v>1.258189999999999</v>
      </c>
      <c r="M427" s="3">
        <v>1.6785899999999998</v>
      </c>
      <c r="N427" s="3">
        <v>0.42040000000000077</v>
      </c>
      <c r="O427" s="13">
        <v>-4.6956596775948229</v>
      </c>
      <c r="P427" s="13">
        <v>-2.3011986403631624</v>
      </c>
      <c r="Q427" s="13">
        <v>-1.6195936460469484</v>
      </c>
    </row>
    <row r="428" spans="1:17" x14ac:dyDescent="0.25">
      <c r="A428" s="3">
        <v>1.2376614659862001E+18</v>
      </c>
      <c r="B428" s="3">
        <v>235.98567</v>
      </c>
      <c r="C428" s="3">
        <v>35.785175000000002</v>
      </c>
      <c r="D428" s="3">
        <v>0.65089680000000005</v>
      </c>
      <c r="E428" s="3">
        <v>3.226899999999997</v>
      </c>
      <c r="F428" s="3">
        <v>5.3853799999999978</v>
      </c>
      <c r="G428" s="3">
        <v>6.6435699999999969</v>
      </c>
      <c r="H428" s="3">
        <v>7.0639699999999976</v>
      </c>
      <c r="I428" s="3">
        <v>2.1584800000000008</v>
      </c>
      <c r="J428" s="3">
        <v>3.4166699999999999</v>
      </c>
      <c r="K428" s="3">
        <v>3.8370700000000006</v>
      </c>
      <c r="L428" s="3">
        <v>1.258189999999999</v>
      </c>
      <c r="M428" s="3">
        <v>1.6785899999999998</v>
      </c>
      <c r="N428" s="3">
        <v>0.42040000000000077</v>
      </c>
      <c r="O428" s="13">
        <v>-4.6957465356627681</v>
      </c>
      <c r="P428" s="13">
        <v>-2.3011480615604931</v>
      </c>
      <c r="Q428" s="13">
        <v>-1.6195994153901021</v>
      </c>
    </row>
    <row r="429" spans="1:17" x14ac:dyDescent="0.25">
      <c r="A429" s="3">
        <v>1.2376614659863301E+18</v>
      </c>
      <c r="B429" s="3">
        <v>236.41499999999999</v>
      </c>
      <c r="C429" s="3">
        <v>35.778846999999999</v>
      </c>
      <c r="D429" s="3">
        <v>0.65719640000000001</v>
      </c>
      <c r="E429" s="3">
        <v>1.2567500000000003</v>
      </c>
      <c r="F429" s="3">
        <v>3.7281399999999998</v>
      </c>
      <c r="G429" s="3">
        <v>4.8813999999999993</v>
      </c>
      <c r="H429" s="3">
        <v>5.4522000000000013</v>
      </c>
      <c r="I429" s="3">
        <v>2.4713899999999995</v>
      </c>
      <c r="J429" s="3">
        <v>3.624649999999999</v>
      </c>
      <c r="K429" s="3">
        <v>4.195450000000001</v>
      </c>
      <c r="L429" s="3">
        <v>1.1532599999999995</v>
      </c>
      <c r="M429" s="3">
        <v>1.7240600000000015</v>
      </c>
      <c r="N429" s="3">
        <v>0.57080000000000197</v>
      </c>
      <c r="O429" s="13">
        <v>-4.2346779989886389</v>
      </c>
      <c r="P429" s="13">
        <v>0.69325943034519155</v>
      </c>
      <c r="Q429" s="13">
        <v>-0.92110319213225944</v>
      </c>
    </row>
    <row r="430" spans="1:17" x14ac:dyDescent="0.25">
      <c r="A430" s="3">
        <v>1.2376624731539999E+18</v>
      </c>
      <c r="B430" s="3">
        <v>235.88373999999999</v>
      </c>
      <c r="C430" s="3">
        <v>36.154041999999997</v>
      </c>
      <c r="D430" s="3">
        <v>0.66040239999999995</v>
      </c>
      <c r="E430" s="3">
        <v>4.1206400000000016</v>
      </c>
      <c r="F430" s="3">
        <v>5.7731299999999983</v>
      </c>
      <c r="G430" s="3">
        <v>6.9352899999999984</v>
      </c>
      <c r="H430" s="3">
        <v>7.3555400000000013</v>
      </c>
      <c r="I430" s="3">
        <v>1.6524899999999967</v>
      </c>
      <c r="J430" s="3">
        <v>2.8146499999999968</v>
      </c>
      <c r="K430" s="3">
        <v>3.2348999999999997</v>
      </c>
      <c r="L430" s="3">
        <v>1.1621600000000001</v>
      </c>
      <c r="M430" s="3">
        <v>1.582410000000003</v>
      </c>
      <c r="N430" s="3">
        <v>0.4202500000000029</v>
      </c>
      <c r="O430" s="13">
        <v>-3.9669727736087821</v>
      </c>
      <c r="P430" s="13">
        <v>-3.2923188720372276</v>
      </c>
      <c r="Q430" s="13">
        <v>-0.66655264905082667</v>
      </c>
    </row>
    <row r="431" spans="1:17" x14ac:dyDescent="0.25">
      <c r="A431" s="3">
        <v>1.2376614654493299E+18</v>
      </c>
      <c r="B431" s="3">
        <v>235.80443</v>
      </c>
      <c r="C431" s="3">
        <v>35.610607999999999</v>
      </c>
      <c r="D431" s="3">
        <v>0.66201560000000004</v>
      </c>
      <c r="E431" s="3">
        <v>0.6565700000000021</v>
      </c>
      <c r="F431" s="3">
        <v>1.7843900000000019</v>
      </c>
      <c r="G431" s="3">
        <v>2.7487500000000011</v>
      </c>
      <c r="H431" s="3">
        <v>3.1132500000000007</v>
      </c>
      <c r="I431" s="3">
        <v>1.1278199999999998</v>
      </c>
      <c r="J431" s="3">
        <v>2.092179999999999</v>
      </c>
      <c r="K431" s="3">
        <v>2.4566799999999986</v>
      </c>
      <c r="L431" s="3">
        <v>0.96435999999999922</v>
      </c>
      <c r="M431" s="3">
        <v>1.3288599999999988</v>
      </c>
      <c r="N431" s="3">
        <v>0.3644999999999996</v>
      </c>
      <c r="O431" s="13">
        <v>0.3246536293080437</v>
      </c>
      <c r="P431" s="13">
        <v>2.1456762421301083</v>
      </c>
      <c r="Q431" s="13">
        <v>-2.2604578846306627</v>
      </c>
    </row>
    <row r="432" spans="1:17" x14ac:dyDescent="0.25">
      <c r="A432" s="3">
        <v>1.2376624731541299E+18</v>
      </c>
      <c r="B432" s="3">
        <v>236.28149999999999</v>
      </c>
      <c r="C432" s="3">
        <v>35.901161000000002</v>
      </c>
      <c r="D432" s="3">
        <v>0.66563930000000004</v>
      </c>
      <c r="E432" s="3">
        <v>0.84967999999999932</v>
      </c>
      <c r="F432" s="3">
        <v>2.0799900000000022</v>
      </c>
      <c r="G432" s="3">
        <v>3.1881599999999999</v>
      </c>
      <c r="H432" s="3">
        <v>3.5685000000000002</v>
      </c>
      <c r="I432" s="3">
        <v>1.2303100000000029</v>
      </c>
      <c r="J432" s="3">
        <v>2.3384800000000006</v>
      </c>
      <c r="K432" s="3">
        <v>2.7188200000000009</v>
      </c>
      <c r="L432" s="3">
        <v>1.1081699999999977</v>
      </c>
      <c r="M432" s="3">
        <v>1.488509999999998</v>
      </c>
      <c r="N432" s="3">
        <v>0.38034000000000034</v>
      </c>
      <c r="O432" s="13">
        <v>-0.6237131330227339</v>
      </c>
      <c r="P432" s="13">
        <v>1.9498189422920107</v>
      </c>
      <c r="Q432" s="13">
        <v>-0.55438214668409236</v>
      </c>
    </row>
    <row r="433" spans="1:17" x14ac:dyDescent="0.25">
      <c r="A433" s="3">
        <v>1.2376624736909399E+18</v>
      </c>
      <c r="B433" s="3">
        <v>236.27891</v>
      </c>
      <c r="C433" s="3">
        <v>36.204389999999997</v>
      </c>
      <c r="D433" s="3">
        <v>0.68821540000000003</v>
      </c>
      <c r="E433" s="3">
        <v>3.1287899999999986</v>
      </c>
      <c r="F433" s="3">
        <v>4.5872899999999994</v>
      </c>
      <c r="G433" s="3">
        <v>5.9400699999999986</v>
      </c>
      <c r="H433" s="3">
        <v>6.4416399999999996</v>
      </c>
      <c r="I433" s="3">
        <v>1.4585000000000008</v>
      </c>
      <c r="J433" s="3">
        <v>2.81128</v>
      </c>
      <c r="K433" s="3">
        <v>3.312850000000001</v>
      </c>
      <c r="L433" s="3">
        <v>1.3527799999999992</v>
      </c>
      <c r="M433" s="3">
        <v>1.8543500000000002</v>
      </c>
      <c r="N433" s="3">
        <v>0.50157000000000096</v>
      </c>
      <c r="O433" s="13">
        <v>-3.8093101352815317</v>
      </c>
      <c r="P433" s="13">
        <v>-1.3621895741617109</v>
      </c>
      <c r="Q433" s="13">
        <v>0.28514311855345159</v>
      </c>
    </row>
    <row r="434" spans="1:17" x14ac:dyDescent="0.25">
      <c r="A434" s="3">
        <v>1.2376614659863301E+18</v>
      </c>
      <c r="B434" s="3">
        <v>236.36395999999999</v>
      </c>
      <c r="C434" s="3">
        <v>35.632443000000002</v>
      </c>
      <c r="D434" s="3">
        <v>0.69101109999999999</v>
      </c>
      <c r="E434" s="3">
        <v>1.167469999999998</v>
      </c>
      <c r="F434" s="3">
        <v>2.4545299999999983</v>
      </c>
      <c r="G434" s="3">
        <v>3.4506699999999988</v>
      </c>
      <c r="H434" s="3">
        <v>3.6990899999999982</v>
      </c>
      <c r="I434" s="3">
        <v>1.2870600000000003</v>
      </c>
      <c r="J434" s="3">
        <v>2.2832000000000008</v>
      </c>
      <c r="K434" s="3">
        <v>2.5316200000000002</v>
      </c>
      <c r="L434" s="3">
        <v>0.99614000000000047</v>
      </c>
      <c r="M434" s="3">
        <v>1.2445599999999999</v>
      </c>
      <c r="N434" s="3">
        <v>0.24841999999999942</v>
      </c>
      <c r="O434" s="13">
        <v>-0.25816094546517704</v>
      </c>
      <c r="P434" s="13">
        <v>1.1033909272123534</v>
      </c>
      <c r="Q434" s="13">
        <v>-1.0697209581915987</v>
      </c>
    </row>
    <row r="435" spans="1:17" x14ac:dyDescent="0.25">
      <c r="A435" s="3">
        <v>1.2376623378636401E+18</v>
      </c>
      <c r="B435" s="3">
        <v>236.10209</v>
      </c>
      <c r="C435" s="3">
        <v>35.663753999999997</v>
      </c>
      <c r="D435" s="3">
        <v>0.69193020000000005</v>
      </c>
      <c r="E435" s="3">
        <v>0.51440999999999804</v>
      </c>
      <c r="F435" s="3">
        <v>2.8251399999999975</v>
      </c>
      <c r="G435" s="3">
        <v>4.1518899999999981</v>
      </c>
      <c r="H435" s="3">
        <v>4.9089099999999988</v>
      </c>
      <c r="I435" s="3">
        <v>2.3107299999999995</v>
      </c>
      <c r="J435" s="3">
        <v>3.63748</v>
      </c>
      <c r="K435" s="3">
        <v>4.3945000000000007</v>
      </c>
      <c r="L435" s="3">
        <v>1.3267500000000005</v>
      </c>
      <c r="M435" s="3">
        <v>2.0837700000000012</v>
      </c>
      <c r="N435" s="3">
        <v>0.75702000000000069</v>
      </c>
      <c r="O435" s="13">
        <v>-4.4367664219759781</v>
      </c>
      <c r="P435" s="13">
        <v>2.3256410404746424</v>
      </c>
      <c r="Q435" s="13">
        <v>-1.8526988238188551</v>
      </c>
    </row>
    <row r="436" spans="1:17" x14ac:dyDescent="0.25">
      <c r="A436" s="3">
        <v>1.23766146598627E+18</v>
      </c>
      <c r="B436" s="3">
        <v>236.38502</v>
      </c>
      <c r="C436" s="3">
        <v>35.790709999999997</v>
      </c>
      <c r="D436" s="3">
        <v>0.69201120000000005</v>
      </c>
      <c r="E436" s="3">
        <v>-0.34051999999999794</v>
      </c>
      <c r="F436" s="3">
        <v>0.81522000000000006</v>
      </c>
      <c r="G436" s="3">
        <v>1.7955500000000022</v>
      </c>
      <c r="H436" s="3">
        <v>2.261370000000003</v>
      </c>
      <c r="I436" s="3">
        <v>1.155739999999998</v>
      </c>
      <c r="J436" s="3">
        <v>2.1360700000000001</v>
      </c>
      <c r="K436" s="3">
        <v>2.6018900000000009</v>
      </c>
      <c r="L436" s="3">
        <v>0.98033000000000214</v>
      </c>
      <c r="M436" s="3">
        <v>1.4461500000000029</v>
      </c>
      <c r="N436" s="3">
        <v>0.46582000000000079</v>
      </c>
      <c r="O436" s="13">
        <v>0.43319560703896437</v>
      </c>
      <c r="P436" s="13">
        <v>3.8845468393427036</v>
      </c>
      <c r="Q436" s="13">
        <v>-0.637685742494565</v>
      </c>
    </row>
    <row r="437" spans="1:17" x14ac:dyDescent="0.25">
      <c r="A437" s="3">
        <v>1.23766146598627E+18</v>
      </c>
      <c r="B437" s="3">
        <v>236.24475000000001</v>
      </c>
      <c r="C437" s="3">
        <v>35.791820999999999</v>
      </c>
      <c r="D437" s="3">
        <v>0.69334110000000004</v>
      </c>
      <c r="E437" s="3">
        <v>-0.48896999999999835</v>
      </c>
      <c r="F437" s="3">
        <v>1.8544000000000018</v>
      </c>
      <c r="G437" s="3">
        <v>3.0452300000000001</v>
      </c>
      <c r="H437" s="3">
        <v>3.6361899999999991</v>
      </c>
      <c r="I437" s="3">
        <v>2.3433700000000002</v>
      </c>
      <c r="J437" s="3">
        <v>3.5341999999999985</v>
      </c>
      <c r="K437" s="3">
        <v>4.1251599999999975</v>
      </c>
      <c r="L437" s="3">
        <v>1.1908299999999983</v>
      </c>
      <c r="M437" s="3">
        <v>1.7817899999999973</v>
      </c>
      <c r="N437" s="3">
        <v>0.59095999999999904</v>
      </c>
      <c r="O437" s="13">
        <v>-2.9611062475906151</v>
      </c>
      <c r="P437" s="13">
        <v>3.6063940413378059</v>
      </c>
      <c r="Q437" s="13">
        <v>-1.3353302758222874</v>
      </c>
    </row>
    <row r="438" spans="1:17" x14ac:dyDescent="0.25">
      <c r="A438" s="3">
        <v>1.23766247369107E+18</v>
      </c>
      <c r="B438" s="3">
        <v>236.71039999999999</v>
      </c>
      <c r="C438" s="3">
        <v>36.127265999999999</v>
      </c>
      <c r="D438" s="3">
        <v>0.69431100000000001</v>
      </c>
      <c r="E438" s="3">
        <v>-0.28641000000000005</v>
      </c>
      <c r="F438" s="3">
        <v>1.42089</v>
      </c>
      <c r="G438" s="3">
        <v>2.7821999999999996</v>
      </c>
      <c r="H438" s="3">
        <v>3.5128399999999971</v>
      </c>
      <c r="I438" s="3">
        <v>1.7073</v>
      </c>
      <c r="J438" s="3">
        <v>3.0686099999999996</v>
      </c>
      <c r="K438" s="3">
        <v>3.7992499999999971</v>
      </c>
      <c r="L438" s="3">
        <v>1.3613099999999996</v>
      </c>
      <c r="M438" s="3">
        <v>2.0919499999999971</v>
      </c>
      <c r="N438" s="3">
        <v>0.73063999999999751</v>
      </c>
      <c r="O438" s="13">
        <v>-2.7961829005877084</v>
      </c>
      <c r="P438" s="13">
        <v>4.0941678548299372</v>
      </c>
      <c r="Q438" s="13">
        <v>0.73320382529632411</v>
      </c>
    </row>
    <row r="439" spans="1:17" x14ac:dyDescent="0.25">
      <c r="A439" s="3">
        <v>1.2376614659863301E+18</v>
      </c>
      <c r="B439" s="3">
        <v>236.44878</v>
      </c>
      <c r="C439" s="3">
        <v>35.648147999999999</v>
      </c>
      <c r="D439" s="3">
        <v>0.69724140000000001</v>
      </c>
      <c r="E439" s="3">
        <v>0.51691000000000287</v>
      </c>
      <c r="F439" s="3">
        <v>2.2605900000000005</v>
      </c>
      <c r="G439" s="3">
        <v>3.6416000000000004</v>
      </c>
      <c r="H439" s="3">
        <v>4.3151600000000023</v>
      </c>
      <c r="I439" s="3">
        <v>1.7436799999999977</v>
      </c>
      <c r="J439" s="3">
        <v>3.1246899999999975</v>
      </c>
      <c r="K439" s="3">
        <v>3.7982499999999995</v>
      </c>
      <c r="L439" s="3">
        <v>1.3810099999999998</v>
      </c>
      <c r="M439" s="3">
        <v>2.0545700000000018</v>
      </c>
      <c r="N439" s="3">
        <v>0.67356000000000193</v>
      </c>
      <c r="O439" s="13">
        <v>-3.2246911964585285</v>
      </c>
      <c r="P439" s="13">
        <v>2.615658439415582</v>
      </c>
      <c r="Q439" s="13">
        <v>-0.99458310408750039</v>
      </c>
    </row>
    <row r="440" spans="1:17" x14ac:dyDescent="0.25">
      <c r="A440" s="3">
        <v>1.2376624736910001E+18</v>
      </c>
      <c r="B440" s="3">
        <v>236.43575999999999</v>
      </c>
      <c r="C440" s="3">
        <v>36.223796999999998</v>
      </c>
      <c r="D440" s="3">
        <v>0.69747420000000004</v>
      </c>
      <c r="E440" s="3">
        <v>4.6349999999996783E-2</v>
      </c>
      <c r="F440" s="3">
        <v>1.6452599999999968</v>
      </c>
      <c r="G440" s="3">
        <v>2.7330199999999998</v>
      </c>
      <c r="H440" s="3">
        <v>3.4256699999999967</v>
      </c>
      <c r="I440" s="3">
        <v>1.5989100000000001</v>
      </c>
      <c r="J440" s="3">
        <v>2.686670000000003</v>
      </c>
      <c r="K440" s="3">
        <v>3.3793199999999999</v>
      </c>
      <c r="L440" s="3">
        <v>1.0877600000000029</v>
      </c>
      <c r="M440" s="3">
        <v>1.7804099999999998</v>
      </c>
      <c r="N440" s="3">
        <v>0.69264999999999688</v>
      </c>
      <c r="O440" s="13">
        <v>-1.8173380415072145</v>
      </c>
      <c r="P440" s="13">
        <v>3.473281840735519</v>
      </c>
      <c r="Q440" s="13">
        <v>0.47749710371340398</v>
      </c>
    </row>
    <row r="441" spans="1:17" x14ac:dyDescent="0.25">
      <c r="A441" s="3">
        <v>1.23766247369087E+18</v>
      </c>
      <c r="B441" s="3">
        <v>236.19971000000001</v>
      </c>
      <c r="C441" s="3">
        <v>36.282226999999999</v>
      </c>
      <c r="D441" s="3">
        <v>0.70578620000000003</v>
      </c>
      <c r="E441" s="3">
        <v>1.625980000000002</v>
      </c>
      <c r="F441" s="3">
        <v>2.8793100000000003</v>
      </c>
      <c r="G441" s="3">
        <v>3.7526800000000016</v>
      </c>
      <c r="H441" s="3">
        <v>4.0086500000000029</v>
      </c>
      <c r="I441" s="3">
        <v>1.2533299999999983</v>
      </c>
      <c r="J441" s="3">
        <v>2.1266999999999996</v>
      </c>
      <c r="K441" s="3">
        <v>2.382670000000001</v>
      </c>
      <c r="L441" s="3">
        <v>0.87337000000000131</v>
      </c>
      <c r="M441" s="3">
        <v>1.1293400000000027</v>
      </c>
      <c r="N441" s="3">
        <v>0.25597000000000136</v>
      </c>
      <c r="O441" s="13">
        <v>-0.19415737470590788</v>
      </c>
      <c r="P441" s="13">
        <v>0.5565338485040805</v>
      </c>
      <c r="Q441" s="13">
        <v>0.27165799596302415</v>
      </c>
    </row>
    <row r="442" spans="1:17" x14ac:dyDescent="0.25">
      <c r="A442" s="3">
        <v>1.23766247369087E+18</v>
      </c>
      <c r="B442" s="3">
        <v>236.22808000000001</v>
      </c>
      <c r="C442" s="3">
        <v>36.353242000000002</v>
      </c>
      <c r="D442" s="3">
        <v>0.70619920000000003</v>
      </c>
      <c r="E442" s="3">
        <v>2.1623300000000008</v>
      </c>
      <c r="F442" s="3">
        <v>4.7226500000000016</v>
      </c>
      <c r="G442" s="3">
        <v>5.8367200000000032</v>
      </c>
      <c r="H442" s="3">
        <v>6.5749700000000004</v>
      </c>
      <c r="I442" s="3">
        <v>2.5603200000000008</v>
      </c>
      <c r="J442" s="3">
        <v>3.6743900000000025</v>
      </c>
      <c r="K442" s="3">
        <v>4.4126399999999997</v>
      </c>
      <c r="L442" s="3">
        <v>1.1140700000000017</v>
      </c>
      <c r="M442" s="3">
        <v>1.8523199999999989</v>
      </c>
      <c r="N442" s="3">
        <v>0.73824999999999719</v>
      </c>
      <c r="O442" s="13">
        <v>-5.4930666485963844</v>
      </c>
      <c r="P442" s="13">
        <v>-0.37157967846775602</v>
      </c>
      <c r="Q442" s="13">
        <v>0.19991235732137433</v>
      </c>
    </row>
    <row r="443" spans="1:17" x14ac:dyDescent="0.25">
      <c r="A443" s="3">
        <v>1.2376624731539999E+18</v>
      </c>
      <c r="B443" s="3">
        <v>235.94709</v>
      </c>
      <c r="C443" s="3">
        <v>36.089579999999998</v>
      </c>
      <c r="D443" s="3">
        <v>0.70865409999999995</v>
      </c>
      <c r="E443" s="3">
        <v>-0.24632000000000076</v>
      </c>
      <c r="F443" s="3">
        <v>2.3516000000000012</v>
      </c>
      <c r="G443" s="3">
        <v>3.5901400000000017</v>
      </c>
      <c r="H443" s="3">
        <v>4.2366100000000024</v>
      </c>
      <c r="I443" s="3">
        <v>2.597920000000002</v>
      </c>
      <c r="J443" s="3">
        <v>3.8364600000000024</v>
      </c>
      <c r="K443" s="3">
        <v>4.4829300000000032</v>
      </c>
      <c r="L443" s="3">
        <v>1.2385400000000004</v>
      </c>
      <c r="M443" s="3">
        <v>1.8850100000000012</v>
      </c>
      <c r="N443" s="3">
        <v>0.64647000000000077</v>
      </c>
      <c r="O443" s="13">
        <v>-3.9615953494655622</v>
      </c>
      <c r="P443" s="13">
        <v>3.2687843375975811</v>
      </c>
      <c r="Q443" s="13">
        <v>-1.2813126926824068</v>
      </c>
    </row>
    <row r="444" spans="1:17" x14ac:dyDescent="0.25">
      <c r="A444" s="3">
        <v>1.2376624736909399E+18</v>
      </c>
      <c r="B444" s="3">
        <v>236.27802</v>
      </c>
      <c r="C444" s="3">
        <v>36.232756999999999</v>
      </c>
      <c r="D444" s="3">
        <v>0.70894389999999996</v>
      </c>
      <c r="E444" s="3">
        <v>3.1269999999999243E-2</v>
      </c>
      <c r="F444" s="3">
        <v>2.2250600000000027</v>
      </c>
      <c r="G444" s="3">
        <v>3.6248299999999993</v>
      </c>
      <c r="H444" s="3">
        <v>4.2868999999999993</v>
      </c>
      <c r="I444" s="3">
        <v>2.1937900000000035</v>
      </c>
      <c r="J444" s="3">
        <v>3.5935600000000001</v>
      </c>
      <c r="K444" s="3">
        <v>4.25563</v>
      </c>
      <c r="L444" s="3">
        <v>1.3997699999999966</v>
      </c>
      <c r="M444" s="3">
        <v>2.0618399999999966</v>
      </c>
      <c r="N444" s="3">
        <v>0.66206999999999994</v>
      </c>
      <c r="O444" s="13">
        <v>-3.9013871558791089</v>
      </c>
      <c r="P444" s="13">
        <v>3.2574027464504947</v>
      </c>
      <c r="Q444" s="13">
        <v>-8.1840948788677897E-2</v>
      </c>
    </row>
    <row r="445" spans="1:17" x14ac:dyDescent="0.25">
      <c r="A445" s="3">
        <v>1.2376624736909399E+18</v>
      </c>
      <c r="B445" s="3">
        <v>236.27802</v>
      </c>
      <c r="C445" s="3">
        <v>36.232756999999999</v>
      </c>
      <c r="D445" s="3">
        <v>0.70897779999999999</v>
      </c>
      <c r="E445" s="3">
        <v>3.1269999999999243E-2</v>
      </c>
      <c r="F445" s="3">
        <v>2.2250600000000027</v>
      </c>
      <c r="G445" s="3">
        <v>3.6248299999999993</v>
      </c>
      <c r="H445" s="3">
        <v>4.2868999999999993</v>
      </c>
      <c r="I445" s="3">
        <v>2.1937900000000035</v>
      </c>
      <c r="J445" s="3">
        <v>3.5935600000000001</v>
      </c>
      <c r="K445" s="3">
        <v>4.25563</v>
      </c>
      <c r="L445" s="3">
        <v>1.3997699999999966</v>
      </c>
      <c r="M445" s="3">
        <v>2.0618399999999966</v>
      </c>
      <c r="N445" s="3">
        <v>0.66206999999999994</v>
      </c>
      <c r="O445" s="13">
        <v>-3.9014302669845744</v>
      </c>
      <c r="P445" s="13">
        <v>3.2574278507171224</v>
      </c>
      <c r="Q445" s="13">
        <v>-8.1843812342599784E-2</v>
      </c>
    </row>
    <row r="446" spans="1:17" x14ac:dyDescent="0.25">
      <c r="A446" s="3">
        <v>1.23766247369087E+18</v>
      </c>
      <c r="B446" s="3">
        <v>236.1584</v>
      </c>
      <c r="C446" s="3">
        <v>36.329442</v>
      </c>
      <c r="D446" s="3">
        <v>0.71218060000000005</v>
      </c>
      <c r="E446" s="3">
        <v>1.7809600000000003</v>
      </c>
      <c r="F446" s="3">
        <v>4.0994299999999981</v>
      </c>
      <c r="G446" s="3">
        <v>5.3823599999999985</v>
      </c>
      <c r="H446" s="3">
        <v>5.9364399999999975</v>
      </c>
      <c r="I446" s="3">
        <v>2.3184699999999978</v>
      </c>
      <c r="J446" s="3">
        <v>3.6013999999999982</v>
      </c>
      <c r="K446" s="3">
        <v>4.1554799999999972</v>
      </c>
      <c r="L446" s="3">
        <v>1.2829300000000003</v>
      </c>
      <c r="M446" s="3">
        <v>1.8370099999999994</v>
      </c>
      <c r="N446" s="3">
        <v>0.55407999999999902</v>
      </c>
      <c r="O446" s="13">
        <v>-4.67609717600254</v>
      </c>
      <c r="P446" s="13">
        <v>0.25061381905994701</v>
      </c>
      <c r="Q446" s="13">
        <v>-2.0993755737523507E-2</v>
      </c>
    </row>
    <row r="447" spans="1:17" x14ac:dyDescent="0.25">
      <c r="A447" s="3">
        <v>1.23766233786371E+18</v>
      </c>
      <c r="B447" s="3">
        <v>236.16028</v>
      </c>
      <c r="C447" s="3">
        <v>35.609192</v>
      </c>
      <c r="D447" s="3">
        <v>0.71249799999999996</v>
      </c>
      <c r="E447" s="3">
        <v>-0.1311499999999981</v>
      </c>
      <c r="F447" s="3">
        <v>1.7674900000000022</v>
      </c>
      <c r="G447" s="3">
        <v>2.9219200000000001</v>
      </c>
      <c r="H447" s="3">
        <v>3.9656300000000009</v>
      </c>
      <c r="I447" s="3">
        <v>1.8986400000000003</v>
      </c>
      <c r="J447" s="3">
        <v>3.0530699999999982</v>
      </c>
      <c r="K447" s="3">
        <v>4.096779999999999</v>
      </c>
      <c r="L447" s="3">
        <v>1.1544299999999978</v>
      </c>
      <c r="M447" s="3">
        <v>2.1981399999999987</v>
      </c>
      <c r="N447" s="3">
        <v>1.0437100000000008</v>
      </c>
      <c r="O447" s="13">
        <v>-3.486384160098662</v>
      </c>
      <c r="P447" s="13">
        <v>3.8921753595976365</v>
      </c>
      <c r="Q447" s="13">
        <v>-1.6851508238355495</v>
      </c>
    </row>
    <row r="448" spans="1:17" x14ac:dyDescent="0.25">
      <c r="A448" s="3">
        <v>1.2376624731542001E+18</v>
      </c>
      <c r="B448" s="3">
        <v>236.32946999999999</v>
      </c>
      <c r="C448" s="3">
        <v>35.882252999999999</v>
      </c>
      <c r="D448" s="3">
        <v>0.71256540000000002</v>
      </c>
      <c r="E448" s="3">
        <v>0.19510000000000005</v>
      </c>
      <c r="F448" s="3">
        <v>2.0782999999999987</v>
      </c>
      <c r="G448" s="3">
        <v>3.3173700000000004</v>
      </c>
      <c r="H448" s="3">
        <v>4.1758500000000005</v>
      </c>
      <c r="I448" s="3">
        <v>1.8831999999999987</v>
      </c>
      <c r="J448" s="3">
        <v>3.1222700000000003</v>
      </c>
      <c r="K448" s="3">
        <v>3.9807500000000005</v>
      </c>
      <c r="L448" s="3">
        <v>1.2390700000000017</v>
      </c>
      <c r="M448" s="3">
        <v>2.0975500000000018</v>
      </c>
      <c r="N448" s="3">
        <v>0.85848000000000013</v>
      </c>
      <c r="O448" s="13">
        <v>-3.437663402924537</v>
      </c>
      <c r="P448" s="13">
        <v>3.2711393567213176</v>
      </c>
      <c r="Q448" s="13">
        <v>-0.66858559626517311</v>
      </c>
    </row>
    <row r="449" spans="1:17" x14ac:dyDescent="0.25">
      <c r="A449" s="3">
        <v>1.2376624742279401E+18</v>
      </c>
      <c r="B449" s="3">
        <v>236.82694000000001</v>
      </c>
      <c r="C449" s="3">
        <v>36.429726000000002</v>
      </c>
      <c r="D449" s="3">
        <v>0.71700540000000001</v>
      </c>
      <c r="E449" s="3">
        <v>2.0732600000000012</v>
      </c>
      <c r="F449" s="3">
        <v>3.9487799999999993</v>
      </c>
      <c r="G449" s="3">
        <v>5.0590699999999984</v>
      </c>
      <c r="H449" s="3">
        <v>5.7479900000000015</v>
      </c>
      <c r="I449" s="3">
        <v>1.8755199999999981</v>
      </c>
      <c r="J449" s="3">
        <v>2.9858099999999972</v>
      </c>
      <c r="K449" s="3">
        <v>3.6747300000000003</v>
      </c>
      <c r="L449" s="3">
        <v>1.1102899999999991</v>
      </c>
      <c r="M449" s="3">
        <v>1.7992100000000022</v>
      </c>
      <c r="N449" s="3">
        <v>0.68892000000000309</v>
      </c>
      <c r="O449" s="13">
        <v>-3.9581784742465564</v>
      </c>
      <c r="P449" s="13">
        <v>0.17299237306861631</v>
      </c>
      <c r="Q449" s="13">
        <v>1.8718683103662206</v>
      </c>
    </row>
    <row r="450" spans="1:17" x14ac:dyDescent="0.25">
      <c r="A450" s="3">
        <v>1.23766247369074E+18</v>
      </c>
      <c r="B450" s="3">
        <v>235.95350999999999</v>
      </c>
      <c r="C450" s="3">
        <v>36.585264000000002</v>
      </c>
      <c r="D450" s="3">
        <v>0.7351413</v>
      </c>
      <c r="E450" s="3">
        <v>2.1054899999999996</v>
      </c>
      <c r="F450" s="3">
        <v>3.6682799999999993</v>
      </c>
      <c r="G450" s="3">
        <v>5.0991099999999996</v>
      </c>
      <c r="H450" s="3">
        <v>5.7913899999999998</v>
      </c>
      <c r="I450" s="3">
        <v>1.5627899999999997</v>
      </c>
      <c r="J450" s="3">
        <v>2.9936199999999999</v>
      </c>
      <c r="K450" s="3">
        <v>3.6859000000000002</v>
      </c>
      <c r="L450" s="3">
        <v>1.4308300000000003</v>
      </c>
      <c r="M450" s="3">
        <v>2.1231100000000005</v>
      </c>
      <c r="N450" s="3">
        <v>0.69228000000000023</v>
      </c>
      <c r="O450" s="13">
        <v>-4.1621477991401106</v>
      </c>
      <c r="P450" s="13">
        <v>0.63596040548250365</v>
      </c>
      <c r="Q450" s="13">
        <v>0.47444183390366418</v>
      </c>
    </row>
    <row r="451" spans="1:17" x14ac:dyDescent="0.25">
      <c r="A451" s="3">
        <v>1.2376614659861299E+18</v>
      </c>
      <c r="B451" s="3">
        <v>235.90602000000001</v>
      </c>
      <c r="C451" s="3">
        <v>35.859972999999997</v>
      </c>
      <c r="D451" s="3">
        <v>0.73793439999999999</v>
      </c>
      <c r="E451" s="3">
        <v>-0.50198999999999927</v>
      </c>
      <c r="F451" s="3">
        <v>2.2094799999999992</v>
      </c>
      <c r="G451" s="3">
        <v>3.5075400000000023</v>
      </c>
      <c r="H451" s="3">
        <v>4.186869999999999</v>
      </c>
      <c r="I451" s="3">
        <v>2.7114699999999985</v>
      </c>
      <c r="J451" s="3">
        <v>4.0095300000000016</v>
      </c>
      <c r="K451" s="3">
        <v>4.6888599999999983</v>
      </c>
      <c r="L451" s="3">
        <v>1.2980600000000031</v>
      </c>
      <c r="M451" s="3">
        <v>1.9773899999999998</v>
      </c>
      <c r="N451" s="3">
        <v>0.67932999999999666</v>
      </c>
      <c r="O451" s="13">
        <v>-4.3144826411134858</v>
      </c>
      <c r="P451" s="13">
        <v>3.6263592589686895</v>
      </c>
      <c r="Q451" s="13">
        <v>-2.0024805092609084</v>
      </c>
    </row>
    <row r="452" spans="1:17" x14ac:dyDescent="0.25">
      <c r="A452" s="3">
        <v>1.2376625037555699E+18</v>
      </c>
      <c r="B452" s="3">
        <v>236.19469000000001</v>
      </c>
      <c r="C452" s="3">
        <v>36.616700000000002</v>
      </c>
      <c r="D452" s="3">
        <v>0.74068239999999996</v>
      </c>
      <c r="E452" s="3">
        <v>-1.0506899999999995</v>
      </c>
      <c r="F452" s="3">
        <v>2.2608899999999998</v>
      </c>
      <c r="G452" s="3">
        <v>3.6730300000000007</v>
      </c>
      <c r="H452" s="3">
        <v>4.257080000000002</v>
      </c>
      <c r="I452" s="3">
        <v>3.3115799999999993</v>
      </c>
      <c r="J452" s="3">
        <v>4.7237200000000001</v>
      </c>
      <c r="K452" s="3">
        <v>5.3077700000000014</v>
      </c>
      <c r="L452" s="3">
        <v>1.4121400000000008</v>
      </c>
      <c r="M452" s="3">
        <v>1.9961900000000021</v>
      </c>
      <c r="N452" s="3">
        <v>0.58405000000000129</v>
      </c>
      <c r="O452" s="13">
        <v>-5.3954135949457678</v>
      </c>
      <c r="P452" s="13">
        <v>4.2353875767137783</v>
      </c>
      <c r="Q452" s="13">
        <v>0.23048129767811257</v>
      </c>
    </row>
    <row r="453" spans="1:17" x14ac:dyDescent="0.25">
      <c r="A453" s="3">
        <v>1.2376625032187699E+18</v>
      </c>
      <c r="B453" s="3">
        <v>235.89998</v>
      </c>
      <c r="C453" s="3">
        <v>36.169797000000003</v>
      </c>
      <c r="D453" s="3">
        <v>0.74253760000000002</v>
      </c>
      <c r="E453" s="3">
        <v>4.4693900000000006</v>
      </c>
      <c r="F453" s="3">
        <v>5.395150000000001</v>
      </c>
      <c r="G453" s="3">
        <v>6.4446100000000008</v>
      </c>
      <c r="H453" s="3">
        <v>6.6273100000000014</v>
      </c>
      <c r="I453" s="3">
        <v>0.92576000000000036</v>
      </c>
      <c r="J453" s="3">
        <v>1.9752200000000002</v>
      </c>
      <c r="K453" s="3">
        <v>2.1579200000000007</v>
      </c>
      <c r="L453" s="3">
        <v>1.0494599999999998</v>
      </c>
      <c r="M453" s="3">
        <v>1.2321600000000004</v>
      </c>
      <c r="N453" s="3">
        <v>0.18270000000000053</v>
      </c>
      <c r="O453" s="13">
        <v>-1.7312639404023997</v>
      </c>
      <c r="P453" s="13">
        <v>-3.661075158482352</v>
      </c>
      <c r="Q453" s="13">
        <v>-0.37586273493241862</v>
      </c>
    </row>
    <row r="454" spans="1:17" x14ac:dyDescent="0.25">
      <c r="A454" s="3">
        <v>1.2376625037557701E+18</v>
      </c>
      <c r="B454" s="3">
        <v>236.70024000000001</v>
      </c>
      <c r="C454" s="3">
        <v>36.349096000000003</v>
      </c>
      <c r="D454" s="3">
        <v>0.74318479999999998</v>
      </c>
      <c r="E454" s="3">
        <v>2.0398700000000005</v>
      </c>
      <c r="F454" s="3">
        <v>4.1217100000000002</v>
      </c>
      <c r="G454" s="3">
        <v>5.307260000000003</v>
      </c>
      <c r="H454" s="3">
        <v>5.8729800000000019</v>
      </c>
      <c r="I454" s="3">
        <v>2.0818399999999997</v>
      </c>
      <c r="J454" s="3">
        <v>3.2673900000000025</v>
      </c>
      <c r="K454" s="3">
        <v>3.8331100000000013</v>
      </c>
      <c r="L454" s="3">
        <v>1.1855500000000028</v>
      </c>
      <c r="M454" s="3">
        <v>1.7512700000000017</v>
      </c>
      <c r="N454" s="3">
        <v>0.56571999999999889</v>
      </c>
      <c r="O454" s="13">
        <v>-4.2367637857668239</v>
      </c>
      <c r="P454" s="13">
        <v>-3.2866049495496007E-2</v>
      </c>
      <c r="Q454" s="13">
        <v>1.2878944780105677</v>
      </c>
    </row>
    <row r="455" spans="1:17" x14ac:dyDescent="0.25">
      <c r="A455" s="3">
        <v>1.23766247369107E+18</v>
      </c>
      <c r="B455" s="3">
        <v>236.62592000000001</v>
      </c>
      <c r="C455" s="3">
        <v>36.188048999999999</v>
      </c>
      <c r="D455" s="3">
        <v>0.74811269999999996</v>
      </c>
      <c r="E455" s="3">
        <v>0.59326000000000079</v>
      </c>
      <c r="F455" s="3">
        <v>2.6611900000000013</v>
      </c>
      <c r="G455" s="3">
        <v>3.8785600000000002</v>
      </c>
      <c r="H455" s="3">
        <v>4.7702400000000011</v>
      </c>
      <c r="I455" s="3">
        <v>2.0679300000000005</v>
      </c>
      <c r="J455" s="3">
        <v>3.2852999999999994</v>
      </c>
      <c r="K455" s="3">
        <v>4.1769800000000004</v>
      </c>
      <c r="L455" s="3">
        <v>1.217369999999999</v>
      </c>
      <c r="M455" s="3">
        <v>2.1090499999999999</v>
      </c>
      <c r="N455" s="3">
        <v>0.89168000000000092</v>
      </c>
      <c r="O455" s="13">
        <v>-4.2607428409805648</v>
      </c>
      <c r="P455" s="13">
        <v>2.6560895986711168</v>
      </c>
      <c r="Q455" s="13">
        <v>0.70213431249324976</v>
      </c>
    </row>
    <row r="456" spans="1:17" x14ac:dyDescent="0.25">
      <c r="A456" s="3">
        <v>1.23766250375584E+18</v>
      </c>
      <c r="B456" s="3">
        <v>236.67214999999999</v>
      </c>
      <c r="C456" s="3">
        <v>36.221825000000003</v>
      </c>
      <c r="D456" s="3">
        <v>0.74823879999999998</v>
      </c>
      <c r="E456" s="3">
        <v>2.79617</v>
      </c>
      <c r="F456" s="3">
        <v>4.3026400000000002</v>
      </c>
      <c r="G456" s="3">
        <v>6.1644600000000018</v>
      </c>
      <c r="H456" s="3">
        <v>6.99709</v>
      </c>
      <c r="I456" s="3">
        <v>1.5064700000000002</v>
      </c>
      <c r="J456" s="3">
        <v>3.3682900000000018</v>
      </c>
      <c r="K456" s="3">
        <v>4.20092</v>
      </c>
      <c r="L456" s="3">
        <v>1.8618200000000016</v>
      </c>
      <c r="M456" s="3">
        <v>2.6944499999999998</v>
      </c>
      <c r="N456" s="3">
        <v>0.8326299999999982</v>
      </c>
      <c r="O456" s="13">
        <v>-6.3491686376352758</v>
      </c>
      <c r="P456" s="13">
        <v>-9.1668106369693886E-2</v>
      </c>
      <c r="Q456" s="13">
        <v>1.1350324322504501</v>
      </c>
    </row>
    <row r="457" spans="1:17" x14ac:dyDescent="0.25">
      <c r="A457" s="3">
        <v>1.23766247369107E+18</v>
      </c>
      <c r="B457" s="3">
        <v>236.65719999999999</v>
      </c>
      <c r="C457" s="3">
        <v>36.208621999999998</v>
      </c>
      <c r="D457" s="3">
        <v>0.74897089999999999</v>
      </c>
      <c r="E457" s="3">
        <v>-0.68149999999999977</v>
      </c>
      <c r="F457" s="3">
        <v>1.2234300000000005</v>
      </c>
      <c r="G457" s="3">
        <v>2.7248599999999996</v>
      </c>
      <c r="H457" s="3">
        <v>3.4981500000000025</v>
      </c>
      <c r="I457" s="3">
        <v>1.9049300000000002</v>
      </c>
      <c r="J457" s="3">
        <v>3.4063599999999994</v>
      </c>
      <c r="K457" s="3">
        <v>4.1796500000000023</v>
      </c>
      <c r="L457" s="3">
        <v>1.5014299999999992</v>
      </c>
      <c r="M457" s="3">
        <v>2.2747200000000021</v>
      </c>
      <c r="N457" s="3">
        <v>0.77329000000000292</v>
      </c>
      <c r="O457" s="13">
        <v>-3.5598946380540215</v>
      </c>
      <c r="P457" s="13">
        <v>4.787764675020199</v>
      </c>
      <c r="Q457" s="13">
        <v>0.71825448461349872</v>
      </c>
    </row>
    <row r="458" spans="1:17" x14ac:dyDescent="0.25">
      <c r="A458" s="3">
        <v>1.23766247369107E+18</v>
      </c>
      <c r="B458" s="3">
        <v>236.65719999999999</v>
      </c>
      <c r="C458" s="3">
        <v>36.208615000000002</v>
      </c>
      <c r="D458" s="3">
        <v>0.74951780000000001</v>
      </c>
      <c r="E458" s="3">
        <v>-0.68149999999999977</v>
      </c>
      <c r="F458" s="3">
        <v>1.2234300000000005</v>
      </c>
      <c r="G458" s="3">
        <v>2.7248599999999996</v>
      </c>
      <c r="H458" s="3">
        <v>3.4981500000000025</v>
      </c>
      <c r="I458" s="3">
        <v>1.9049300000000002</v>
      </c>
      <c r="J458" s="3">
        <v>3.4063599999999994</v>
      </c>
      <c r="K458" s="3">
        <v>4.1796500000000023</v>
      </c>
      <c r="L458" s="3">
        <v>1.5014299999999992</v>
      </c>
      <c r="M458" s="3">
        <v>2.2747200000000021</v>
      </c>
      <c r="N458" s="3">
        <v>0.77329000000000292</v>
      </c>
      <c r="O458" s="13">
        <v>-3.5605895498894995</v>
      </c>
      <c r="P458" s="13">
        <v>4.7881675705433668</v>
      </c>
      <c r="Q458" s="13">
        <v>0.71819073159881497</v>
      </c>
    </row>
    <row r="459" spans="1:17" x14ac:dyDescent="0.25">
      <c r="A459" s="3">
        <v>1.23766250375584E+18</v>
      </c>
      <c r="B459" s="3">
        <v>236.68508</v>
      </c>
      <c r="C459" s="3">
        <v>36.214616999999997</v>
      </c>
      <c r="D459" s="3">
        <v>0.74957359999999995</v>
      </c>
      <c r="E459" s="3">
        <v>0.47405000000000186</v>
      </c>
      <c r="F459" s="3">
        <v>2.4221200000000032</v>
      </c>
      <c r="G459" s="3">
        <v>3.5723700000000029</v>
      </c>
      <c r="H459" s="3">
        <v>4.278570000000002</v>
      </c>
      <c r="I459" s="3">
        <v>1.9480700000000013</v>
      </c>
      <c r="J459" s="3">
        <v>3.0983200000000011</v>
      </c>
      <c r="K459" s="3">
        <v>3.8045200000000001</v>
      </c>
      <c r="L459" s="3">
        <v>1.1502499999999998</v>
      </c>
      <c r="M459" s="3">
        <v>1.8564499999999988</v>
      </c>
      <c r="N459" s="3">
        <v>0.70619999999999905</v>
      </c>
      <c r="O459" s="13">
        <v>-3.1897672604221592</v>
      </c>
      <c r="P459" s="13">
        <v>2.64417644040146</v>
      </c>
      <c r="Q459" s="13">
        <v>0.88876760922028908</v>
      </c>
    </row>
    <row r="460" spans="1:17" x14ac:dyDescent="0.25">
      <c r="A460" s="3">
        <v>1.23766250375584E+18</v>
      </c>
      <c r="B460" s="3">
        <v>236.77429000000001</v>
      </c>
      <c r="C460" s="3">
        <v>36.208153000000003</v>
      </c>
      <c r="D460" s="3">
        <v>0.75197320000000001</v>
      </c>
      <c r="E460" s="3">
        <v>0.12274000000000029</v>
      </c>
      <c r="F460" s="3">
        <v>2.6592599999999997</v>
      </c>
      <c r="G460" s="3">
        <v>3.9468600000000009</v>
      </c>
      <c r="H460" s="3">
        <v>4.7598699999999994</v>
      </c>
      <c r="I460" s="3">
        <v>2.5365199999999994</v>
      </c>
      <c r="J460" s="3">
        <v>3.8241200000000006</v>
      </c>
      <c r="K460" s="3">
        <v>4.6371299999999991</v>
      </c>
      <c r="L460" s="3">
        <v>1.2876000000000012</v>
      </c>
      <c r="M460" s="3">
        <v>2.1006099999999996</v>
      </c>
      <c r="N460" s="3">
        <v>0.81300999999999846</v>
      </c>
      <c r="O460" s="13">
        <v>-4.9462508352838741</v>
      </c>
      <c r="P460" s="13">
        <v>3.0135617110606763</v>
      </c>
      <c r="Q460" s="13">
        <v>0.84891946818501718</v>
      </c>
    </row>
    <row r="461" spans="1:17" x14ac:dyDescent="0.25">
      <c r="A461" s="3">
        <v>1.23766250321903E+18</v>
      </c>
      <c r="B461" s="3">
        <v>236.51545999999999</v>
      </c>
      <c r="C461" s="3">
        <v>35.822284000000003</v>
      </c>
      <c r="D461" s="3">
        <v>0.76778250000000003</v>
      </c>
      <c r="E461" s="3">
        <v>2.6534000000000013</v>
      </c>
      <c r="F461" s="3">
        <v>4.1446299999999994</v>
      </c>
      <c r="G461" s="3">
        <v>5.2240399999999987</v>
      </c>
      <c r="H461" s="3">
        <v>5.9090699999999998</v>
      </c>
      <c r="I461" s="3">
        <v>1.4912299999999981</v>
      </c>
      <c r="J461" s="3">
        <v>2.5706399999999974</v>
      </c>
      <c r="K461" s="3">
        <v>3.2556699999999985</v>
      </c>
      <c r="L461" s="3">
        <v>1.0794099999999993</v>
      </c>
      <c r="M461" s="3">
        <v>1.7644400000000005</v>
      </c>
      <c r="N461" s="3">
        <v>0.68503000000000114</v>
      </c>
      <c r="O461" s="13">
        <v>-3.3890666269372525</v>
      </c>
      <c r="P461" s="13">
        <v>-0.62860074987176673</v>
      </c>
      <c r="Q461" s="13">
        <v>-0.14397497639237267</v>
      </c>
    </row>
    <row r="462" spans="1:17" x14ac:dyDescent="0.25">
      <c r="A462" s="3">
        <v>1.23766146544926E+18</v>
      </c>
      <c r="B462" s="3">
        <v>235.65621999999999</v>
      </c>
      <c r="C462" s="3">
        <v>35.600143000000003</v>
      </c>
      <c r="D462" s="3">
        <v>0.77944259999999999</v>
      </c>
      <c r="E462" s="3">
        <v>1.6755199999999988</v>
      </c>
      <c r="F462" s="3">
        <v>2.9604199999999992</v>
      </c>
      <c r="G462" s="3">
        <v>4.0112200000000016</v>
      </c>
      <c r="H462" s="3">
        <v>4.73752</v>
      </c>
      <c r="I462" s="3">
        <v>1.2849000000000004</v>
      </c>
      <c r="J462" s="3">
        <v>2.3357000000000028</v>
      </c>
      <c r="K462" s="3">
        <v>3.0620000000000012</v>
      </c>
      <c r="L462" s="3">
        <v>1.0508000000000024</v>
      </c>
      <c r="M462" s="3">
        <v>1.7771000000000008</v>
      </c>
      <c r="N462" s="3">
        <v>0.72629999999999839</v>
      </c>
      <c r="O462" s="13">
        <v>-2.1541003356721862</v>
      </c>
      <c r="P462" s="13">
        <v>1.0641573044587498</v>
      </c>
      <c r="Q462" s="13">
        <v>-2.512889050645176</v>
      </c>
    </row>
    <row r="463" spans="1:17" x14ac:dyDescent="0.25">
      <c r="A463" s="3">
        <v>1.2376625032187699E+18</v>
      </c>
      <c r="B463" s="3">
        <v>236.08042</v>
      </c>
      <c r="C463" s="3">
        <v>36.165427999999999</v>
      </c>
      <c r="D463" s="3">
        <v>0.8278295</v>
      </c>
      <c r="E463" s="3">
        <v>1.2142999999999979</v>
      </c>
      <c r="F463" s="3">
        <v>2.9793500000000002</v>
      </c>
      <c r="G463" s="3">
        <v>4.2147699999999979</v>
      </c>
      <c r="H463" s="3">
        <v>5.100839999999998</v>
      </c>
      <c r="I463" s="3">
        <v>1.7650500000000022</v>
      </c>
      <c r="J463" s="3">
        <v>3.00047</v>
      </c>
      <c r="K463" s="3">
        <v>3.8865400000000001</v>
      </c>
      <c r="L463" s="3">
        <v>1.2354199999999977</v>
      </c>
      <c r="M463" s="3">
        <v>2.1214899999999979</v>
      </c>
      <c r="N463" s="3">
        <v>0.88607000000000014</v>
      </c>
      <c r="O463" s="13">
        <v>-4.0756039086057543</v>
      </c>
      <c r="P463" s="13">
        <v>1.9700376637258408</v>
      </c>
      <c r="Q463" s="13">
        <v>-0.37672122352559018</v>
      </c>
    </row>
    <row r="464" spans="1:17" x14ac:dyDescent="0.25">
      <c r="A464" s="3">
        <v>1.2376625037556401E+18</v>
      </c>
      <c r="B464" s="3">
        <v>236.26182</v>
      </c>
      <c r="C464" s="3">
        <v>36.526017000000003</v>
      </c>
      <c r="D464" s="3">
        <v>0.83264159999999998</v>
      </c>
      <c r="E464" s="3">
        <v>0.82445999999999842</v>
      </c>
      <c r="F464" s="3">
        <v>3.6282599999999974</v>
      </c>
      <c r="G464" s="3">
        <v>5.0477799999999995</v>
      </c>
      <c r="H464" s="3">
        <v>5.9694699999999976</v>
      </c>
      <c r="I464" s="3">
        <v>2.803799999999999</v>
      </c>
      <c r="J464" s="3">
        <v>4.2233200000000011</v>
      </c>
      <c r="K464" s="3">
        <v>5.1450099999999992</v>
      </c>
      <c r="L464" s="3">
        <v>1.4195200000000021</v>
      </c>
      <c r="M464" s="3">
        <v>2.3412100000000002</v>
      </c>
      <c r="N464" s="3">
        <v>0.92168999999999812</v>
      </c>
      <c r="O464" s="13">
        <v>-6.7413578934729657</v>
      </c>
      <c r="P464" s="13">
        <v>2.1334606675194894</v>
      </c>
      <c r="Q464" s="13">
        <v>0.52319584047539769</v>
      </c>
    </row>
    <row r="465" spans="1:17" x14ac:dyDescent="0.25">
      <c r="A465" s="3">
        <v>1.2376625032186399E+18</v>
      </c>
      <c r="B465" s="3">
        <v>235.76282</v>
      </c>
      <c r="C465" s="3">
        <v>36.297714999999997</v>
      </c>
      <c r="D465" s="3">
        <v>0.86897500000000005</v>
      </c>
      <c r="E465" s="3">
        <v>-0.59499999999999886</v>
      </c>
      <c r="F465" s="3">
        <v>1.8399300000000025</v>
      </c>
      <c r="G465" s="3">
        <v>2.8889100000000028</v>
      </c>
      <c r="H465" s="3">
        <v>3.8317600000000027</v>
      </c>
      <c r="I465" s="3">
        <v>2.4349300000000014</v>
      </c>
      <c r="J465" s="3">
        <v>3.4839100000000016</v>
      </c>
      <c r="K465" s="3">
        <v>4.4267600000000016</v>
      </c>
      <c r="L465" s="3">
        <v>1.0489800000000002</v>
      </c>
      <c r="M465" s="3">
        <v>1.9918300000000002</v>
      </c>
      <c r="N465" s="3">
        <v>0.94284999999999997</v>
      </c>
      <c r="O465" s="13">
        <v>-3.8717848104501922</v>
      </c>
      <c r="P465" s="13">
        <v>4.3950802182328337</v>
      </c>
      <c r="Q465" s="13">
        <v>-1.0383794058301272</v>
      </c>
    </row>
    <row r="466" spans="1:17" x14ac:dyDescent="0.25">
      <c r="A466" s="3">
        <v>1.2376625032189E+18</v>
      </c>
      <c r="B466" s="3">
        <v>236.41856000000001</v>
      </c>
      <c r="C466" s="3">
        <v>36.050172000000003</v>
      </c>
      <c r="D466" s="3">
        <v>0.87962530000000005</v>
      </c>
      <c r="E466" s="3">
        <v>1.5856999999999992</v>
      </c>
      <c r="F466" s="3">
        <v>2.9578699999999998</v>
      </c>
      <c r="G466" s="3">
        <v>4.3867499999999993</v>
      </c>
      <c r="H466" s="3">
        <v>5.3507299999999987</v>
      </c>
      <c r="I466" s="3">
        <v>1.3721700000000006</v>
      </c>
      <c r="J466" s="3">
        <v>2.80105</v>
      </c>
      <c r="K466" s="3">
        <v>3.7650299999999994</v>
      </c>
      <c r="L466" s="3">
        <v>1.4288799999999995</v>
      </c>
      <c r="M466" s="3">
        <v>2.3928599999999989</v>
      </c>
      <c r="N466" s="3">
        <v>0.96397999999999939</v>
      </c>
      <c r="O466" s="13">
        <v>-4.4297838345116807</v>
      </c>
      <c r="P466" s="13">
        <v>1.8663587541923612</v>
      </c>
      <c r="Q466" s="13">
        <v>0.19968126736077382</v>
      </c>
    </row>
    <row r="467" spans="1:17" x14ac:dyDescent="0.25">
      <c r="A467" s="3">
        <v>1.2376624736910001E+18</v>
      </c>
      <c r="B467" s="3">
        <v>236.47665000000001</v>
      </c>
      <c r="C467" s="3">
        <v>36.259357999999999</v>
      </c>
      <c r="D467" s="3">
        <v>0.88017769999999995</v>
      </c>
      <c r="E467" s="3">
        <v>2.8729799999999983</v>
      </c>
      <c r="F467" s="3">
        <v>4.2487199999999987</v>
      </c>
      <c r="G467" s="3">
        <v>5.7993899999999989</v>
      </c>
      <c r="H467" s="3">
        <v>6.9105299999999978</v>
      </c>
      <c r="I467" s="3">
        <v>1.3757400000000004</v>
      </c>
      <c r="J467" s="3">
        <v>2.9264100000000006</v>
      </c>
      <c r="K467" s="3">
        <v>4.0375499999999995</v>
      </c>
      <c r="L467" s="3">
        <v>1.5506700000000002</v>
      </c>
      <c r="M467" s="3">
        <v>2.6618099999999991</v>
      </c>
      <c r="N467" s="3">
        <v>1.1111399999999989</v>
      </c>
      <c r="O467" s="13">
        <v>-6.1462346420473555</v>
      </c>
      <c r="P467" s="13">
        <v>0.17571719525044313</v>
      </c>
      <c r="Q467" s="13">
        <v>0.95938800529538715</v>
      </c>
    </row>
    <row r="468" spans="1:17" x14ac:dyDescent="0.25">
      <c r="A468" s="3">
        <v>1.23766247422781E+18</v>
      </c>
      <c r="B468" s="3">
        <v>236.71458999999999</v>
      </c>
      <c r="C468" s="3">
        <v>36.599280999999998</v>
      </c>
      <c r="D468" s="3">
        <v>0.88405560000000005</v>
      </c>
      <c r="E468" s="3">
        <v>2.2877499999999991</v>
      </c>
      <c r="F468" s="3">
        <v>2.7427799999999998</v>
      </c>
      <c r="G468" s="3">
        <v>4.2633799999999979</v>
      </c>
      <c r="H468" s="3">
        <v>5.2258800000000001</v>
      </c>
      <c r="I468" s="3">
        <v>0.45503000000000071</v>
      </c>
      <c r="J468" s="3">
        <v>1.9756299999999989</v>
      </c>
      <c r="K468" s="3">
        <v>2.938130000000001</v>
      </c>
      <c r="L468" s="3">
        <v>1.5205999999999982</v>
      </c>
      <c r="M468" s="3">
        <v>2.4831000000000003</v>
      </c>
      <c r="N468" s="3">
        <v>0.96250000000000213</v>
      </c>
      <c r="O468" s="13">
        <v>-3.344862496290653</v>
      </c>
      <c r="P468" s="13">
        <v>1.602291031846889</v>
      </c>
      <c r="Q468" s="13">
        <v>2.5490007770409422</v>
      </c>
    </row>
    <row r="469" spans="1:17" x14ac:dyDescent="0.25">
      <c r="A469" s="3">
        <v>1.2376625037557701E+18</v>
      </c>
      <c r="B469" s="3">
        <v>236.72444999999999</v>
      </c>
      <c r="C469" s="3">
        <v>36.354111000000003</v>
      </c>
      <c r="D469" s="3">
        <v>0.92930959999999996</v>
      </c>
      <c r="E469" s="3">
        <v>2.1056300000000014</v>
      </c>
      <c r="F469" s="3">
        <v>2.7569200000000009</v>
      </c>
      <c r="G469" s="3">
        <v>3.937540000000002</v>
      </c>
      <c r="H469" s="3">
        <v>4.8224800000000023</v>
      </c>
      <c r="I469" s="3">
        <v>0.65128999999999948</v>
      </c>
      <c r="J469" s="3">
        <v>1.8319100000000006</v>
      </c>
      <c r="K469" s="3">
        <v>2.7168500000000009</v>
      </c>
      <c r="L469" s="3">
        <v>1.1806200000000011</v>
      </c>
      <c r="M469" s="3">
        <v>2.0655600000000014</v>
      </c>
      <c r="N469" s="3">
        <v>0.88494000000000028</v>
      </c>
      <c r="O469" s="13">
        <v>-2.4224706798198654</v>
      </c>
      <c r="P469" s="13">
        <v>1.4027273461290464</v>
      </c>
      <c r="Q469" s="13">
        <v>1.8964714566314116</v>
      </c>
    </row>
    <row r="470" spans="1:17" x14ac:dyDescent="0.25">
      <c r="A470" s="3">
        <v>1.23766250375584E+18</v>
      </c>
      <c r="B470" s="3">
        <v>236.75128000000001</v>
      </c>
      <c r="C470" s="3">
        <v>36.269359000000001</v>
      </c>
      <c r="D470" s="3">
        <v>0.92970600000000003</v>
      </c>
      <c r="E470" s="3">
        <v>0.53013999999999939</v>
      </c>
      <c r="F470" s="3">
        <v>1.5400999999999989</v>
      </c>
      <c r="G470" s="3">
        <v>2.93337</v>
      </c>
      <c r="H470" s="3">
        <v>3.7856799999999993</v>
      </c>
      <c r="I470" s="3">
        <v>1.0099599999999995</v>
      </c>
      <c r="J470" s="3">
        <v>2.4032300000000006</v>
      </c>
      <c r="K470" s="3">
        <v>3.2555399999999999</v>
      </c>
      <c r="L470" s="3">
        <v>1.3932700000000011</v>
      </c>
      <c r="M470" s="3">
        <v>2.2455800000000004</v>
      </c>
      <c r="N470" s="3">
        <v>0.85230999999999923</v>
      </c>
      <c r="O470" s="13">
        <v>-2.6506378858908919</v>
      </c>
      <c r="P470" s="13">
        <v>3.6874595631371339</v>
      </c>
      <c r="Q470" s="13">
        <v>1.4733287439523988</v>
      </c>
    </row>
    <row r="471" spans="1:17" x14ac:dyDescent="0.25">
      <c r="A471" s="3">
        <v>1.2376625032190999E+18</v>
      </c>
      <c r="B471" s="3">
        <v>236.77887000000001</v>
      </c>
      <c r="C471" s="3">
        <v>35.666027999999997</v>
      </c>
      <c r="D471" s="3">
        <v>0.94808369999999997</v>
      </c>
      <c r="E471" s="3">
        <v>-0.17475999999999914</v>
      </c>
      <c r="F471" s="3">
        <v>0.7547200000000025</v>
      </c>
      <c r="G471" s="3">
        <v>2.2613900000000022</v>
      </c>
      <c r="H471" s="3">
        <v>3.186200000000003</v>
      </c>
      <c r="I471" s="3">
        <v>0.92948000000000164</v>
      </c>
      <c r="J471" s="3">
        <v>2.4361500000000014</v>
      </c>
      <c r="K471" s="3">
        <v>3.3609600000000022</v>
      </c>
      <c r="L471" s="3">
        <v>1.5066699999999997</v>
      </c>
      <c r="M471" s="3">
        <v>2.4314800000000005</v>
      </c>
      <c r="N471" s="3">
        <v>0.9248100000000008</v>
      </c>
      <c r="O471" s="13">
        <v>-2.5335678409618567</v>
      </c>
      <c r="P471" s="13">
        <v>4.8442137758217347</v>
      </c>
      <c r="Q471" s="13">
        <v>-3.1962923877900985E-3</v>
      </c>
    </row>
    <row r="472" spans="1:17" x14ac:dyDescent="0.25">
      <c r="A472" s="3">
        <v>1.2376625032186399E+18</v>
      </c>
      <c r="B472" s="3">
        <v>235.65326999999999</v>
      </c>
      <c r="C472" s="3">
        <v>36.393329000000001</v>
      </c>
      <c r="D472" s="3">
        <v>0.95164079999999995</v>
      </c>
      <c r="E472" s="3">
        <v>-1.0953599999999994</v>
      </c>
      <c r="F472" s="3">
        <v>0.23267000000000237</v>
      </c>
      <c r="G472" s="3">
        <v>1.2879400000000025</v>
      </c>
      <c r="H472" s="3">
        <v>1.9461800000000018</v>
      </c>
      <c r="I472" s="3">
        <v>1.3280300000000018</v>
      </c>
      <c r="J472" s="3">
        <v>2.383300000000002</v>
      </c>
      <c r="K472" s="3">
        <v>3.0415400000000012</v>
      </c>
      <c r="L472" s="3">
        <v>1.0552700000000002</v>
      </c>
      <c r="M472" s="3">
        <v>1.7135099999999994</v>
      </c>
      <c r="N472" s="3">
        <v>0.65823999999999927</v>
      </c>
      <c r="O472" s="13">
        <v>-0.45416819679863113</v>
      </c>
      <c r="P472" s="13">
        <v>5.6581306847032433</v>
      </c>
      <c r="Q472" s="13">
        <v>-0.77495513730421506</v>
      </c>
    </row>
    <row r="473" spans="1:17" x14ac:dyDescent="0.25">
      <c r="A473" s="3">
        <v>1.2376625037557701E+18</v>
      </c>
      <c r="B473" s="3">
        <v>236.63907</v>
      </c>
      <c r="C473" s="3">
        <v>36.403058999999999</v>
      </c>
      <c r="D473" s="3">
        <v>0.97035740000000004</v>
      </c>
      <c r="E473" s="3">
        <v>0.3970400000000005</v>
      </c>
      <c r="F473" s="3">
        <v>1.4859599999999986</v>
      </c>
      <c r="G473" s="3">
        <v>2.617560000000001</v>
      </c>
      <c r="H473" s="3">
        <v>3.4264599999999987</v>
      </c>
      <c r="I473" s="3">
        <v>1.0889199999999981</v>
      </c>
      <c r="J473" s="3">
        <v>2.2205200000000005</v>
      </c>
      <c r="K473" s="3">
        <v>3.0294199999999982</v>
      </c>
      <c r="L473" s="3">
        <v>1.1316000000000024</v>
      </c>
      <c r="M473" s="3">
        <v>1.9405000000000001</v>
      </c>
      <c r="N473" s="3">
        <v>0.80889999999999773</v>
      </c>
      <c r="O473" s="13">
        <v>-1.8526896522881817</v>
      </c>
      <c r="P473" s="13">
        <v>3.7004530074151383</v>
      </c>
      <c r="Q473" s="13">
        <v>1.5535362921070053</v>
      </c>
    </row>
    <row r="474" spans="1:17" x14ac:dyDescent="0.25">
      <c r="A474" s="3">
        <v>1.23766247369087E+18</v>
      </c>
      <c r="B474" s="3">
        <v>236.15221</v>
      </c>
      <c r="C474" s="3">
        <v>36.441415999999997</v>
      </c>
      <c r="D474" s="3">
        <v>1.039819</v>
      </c>
      <c r="E474" s="3">
        <v>-1.1648399999999981</v>
      </c>
      <c r="F474" s="3">
        <v>0.95841000000000065</v>
      </c>
      <c r="G474" s="3">
        <v>2.3990000000000009</v>
      </c>
      <c r="H474" s="3">
        <v>3.1779500000000027</v>
      </c>
      <c r="I474" s="3">
        <v>2.1232499999999987</v>
      </c>
      <c r="J474" s="3">
        <v>3.563839999999999</v>
      </c>
      <c r="K474" s="3">
        <v>4.3427900000000008</v>
      </c>
      <c r="L474" s="3">
        <v>1.4405900000000003</v>
      </c>
      <c r="M474" s="3">
        <v>2.2195400000000021</v>
      </c>
      <c r="N474" s="3">
        <v>0.77895000000000181</v>
      </c>
      <c r="O474" s="13">
        <v>-3.8200135548588841</v>
      </c>
      <c r="P474" s="13">
        <v>5.6749203486920585</v>
      </c>
      <c r="Q474" s="13">
        <v>0.10759312651479672</v>
      </c>
    </row>
    <row r="475" spans="1:17" x14ac:dyDescent="0.25">
      <c r="A475" s="3">
        <v>1.2376624736908001E+18</v>
      </c>
      <c r="B475" s="3">
        <v>235.98913999999999</v>
      </c>
      <c r="C475" s="3">
        <v>36.504567000000002</v>
      </c>
      <c r="D475" s="3">
        <v>1.530724</v>
      </c>
      <c r="E475" s="3">
        <v>1.5214199999999991</v>
      </c>
      <c r="F475" s="3">
        <v>2.8154800000000009</v>
      </c>
      <c r="G475" s="3">
        <v>3.8268699999999995</v>
      </c>
      <c r="H475" s="3">
        <v>4.6574799999999996</v>
      </c>
      <c r="I475" s="3">
        <v>1.2940600000000018</v>
      </c>
      <c r="J475" s="3">
        <v>2.3054500000000004</v>
      </c>
      <c r="K475" s="3">
        <v>3.1360600000000005</v>
      </c>
      <c r="L475" s="3">
        <v>1.0113899999999987</v>
      </c>
      <c r="M475" s="3">
        <v>1.8419999999999987</v>
      </c>
      <c r="N475" s="3">
        <v>0.83061000000000007</v>
      </c>
      <c r="O475" s="13">
        <v>-3.3535067490254029</v>
      </c>
      <c r="P475" s="13">
        <v>2.2273967283573626</v>
      </c>
      <c r="Q475" s="13">
        <v>0.41457564943378067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003E-0BAB-4C7A-86EC-5AB6214B77A4}">
  <dimension ref="A1:AF103"/>
  <sheetViews>
    <sheetView zoomScale="70" zoomScaleNormal="70" workbookViewId="0">
      <selection activeCell="S1" sqref="S1:S1048576"/>
    </sheetView>
  </sheetViews>
  <sheetFormatPr defaultRowHeight="15" x14ac:dyDescent="0.25"/>
  <cols>
    <col min="5" max="14" width="9.140625" style="3"/>
  </cols>
  <sheetData>
    <row r="1" spans="1:32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7" t="s">
        <v>22</v>
      </c>
      <c r="P1" s="7" t="s">
        <v>23</v>
      </c>
      <c r="Q1" s="7" t="s">
        <v>24</v>
      </c>
      <c r="R1" t="s">
        <v>65</v>
      </c>
      <c r="S1" t="s">
        <v>66</v>
      </c>
      <c r="AD1" s="11"/>
      <c r="AE1" s="7"/>
      <c r="AF1" s="7"/>
    </row>
    <row r="2" spans="1:32" x14ac:dyDescent="0.25">
      <c r="A2" s="3">
        <v>1.2376614659863301E+18</v>
      </c>
      <c r="B2" s="3">
        <v>236.43879999999999</v>
      </c>
      <c r="C2" s="3">
        <v>35.659931</v>
      </c>
      <c r="D2" s="3">
        <v>5.5187600000000003E-2</v>
      </c>
      <c r="E2" s="3">
        <v>1.9930699999999977</v>
      </c>
      <c r="F2" s="3">
        <v>2.9022799999999993</v>
      </c>
      <c r="G2" s="3">
        <v>3.3467399999999987</v>
      </c>
      <c r="H2" s="3">
        <v>3.686119999999999</v>
      </c>
      <c r="I2" s="3">
        <v>0.90921000000000163</v>
      </c>
      <c r="J2" s="3">
        <v>1.353670000000001</v>
      </c>
      <c r="K2" s="3">
        <v>1.6930500000000013</v>
      </c>
      <c r="L2" s="3">
        <v>0.44445999999999941</v>
      </c>
      <c r="M2" s="3">
        <v>0.78383999999999965</v>
      </c>
      <c r="N2" s="3">
        <v>0.33938000000000024</v>
      </c>
      <c r="O2" s="13">
        <v>2.1630147961697572</v>
      </c>
      <c r="P2" s="13">
        <v>-0.61369314275426368</v>
      </c>
      <c r="Q2" s="13">
        <v>-0.51144384627413519</v>
      </c>
      <c r="R2">
        <v>2.5682362377956762</v>
      </c>
      <c r="S2">
        <v>16556.280000000002</v>
      </c>
      <c r="AD2" s="12"/>
      <c r="AE2" s="19"/>
      <c r="AF2" s="13"/>
    </row>
    <row r="3" spans="1:32" x14ac:dyDescent="0.25">
      <c r="A3" s="3">
        <v>1.2376614659863301E+18</v>
      </c>
      <c r="B3" s="3">
        <v>236.43879999999999</v>
      </c>
      <c r="C3" s="3">
        <v>35.659931</v>
      </c>
      <c r="D3" s="3">
        <v>5.5239209999999997E-2</v>
      </c>
      <c r="E3" s="3">
        <v>1.9930699999999977</v>
      </c>
      <c r="F3" s="3">
        <v>2.9022799999999993</v>
      </c>
      <c r="G3" s="3">
        <v>3.3467399999999987</v>
      </c>
      <c r="H3" s="3">
        <v>3.686119999999999</v>
      </c>
      <c r="I3" s="3">
        <v>0.90921000000000163</v>
      </c>
      <c r="J3" s="3">
        <v>1.353670000000001</v>
      </c>
      <c r="K3" s="3">
        <v>1.6930500000000013</v>
      </c>
      <c r="L3" s="3">
        <v>0.44445999999999941</v>
      </c>
      <c r="M3" s="3">
        <v>0.78383999999999965</v>
      </c>
      <c r="N3" s="3">
        <v>0.33938000000000024</v>
      </c>
      <c r="O3" s="13">
        <v>2.1629491630088982</v>
      </c>
      <c r="P3" s="13">
        <v>-0.61365492354480822</v>
      </c>
      <c r="Q3" s="13">
        <v>-0.51144820580268757</v>
      </c>
      <c r="R3">
        <v>2.5682362377956762</v>
      </c>
      <c r="S3">
        <v>16571.762999999999</v>
      </c>
      <c r="AD3" s="12"/>
      <c r="AE3" s="13"/>
      <c r="AF3" s="19"/>
    </row>
    <row r="4" spans="1:32" x14ac:dyDescent="0.25">
      <c r="A4" s="3">
        <v>1.2376625032188301E+18</v>
      </c>
      <c r="B4" s="3">
        <v>236.24143000000001</v>
      </c>
      <c r="C4" s="3">
        <v>36.068829999999998</v>
      </c>
      <c r="D4" s="3">
        <v>5.9998900000000001E-2</v>
      </c>
      <c r="E4" s="3">
        <v>1.8834099999999978</v>
      </c>
      <c r="F4" s="3">
        <v>2.7687799999999996</v>
      </c>
      <c r="G4" s="3">
        <v>3.1812699999999978</v>
      </c>
      <c r="H4" s="3">
        <v>3.5261399999999981</v>
      </c>
      <c r="I4" s="3">
        <v>0.88537000000000177</v>
      </c>
      <c r="J4" s="3">
        <v>1.29786</v>
      </c>
      <c r="K4" s="3">
        <v>1.6427300000000002</v>
      </c>
      <c r="L4" s="3">
        <v>0.41248999999999825</v>
      </c>
      <c r="M4" s="3">
        <v>0.75735999999999848</v>
      </c>
      <c r="N4" s="3">
        <v>0.34487000000000023</v>
      </c>
      <c r="O4" s="13">
        <v>2.3653091879236467</v>
      </c>
      <c r="P4" s="13">
        <v>-0.30213224392654842</v>
      </c>
      <c r="Q4" s="13">
        <v>0.10034400172362466</v>
      </c>
      <c r="R4">
        <v>0.22015404537345615</v>
      </c>
      <c r="S4">
        <v>17999.670000000002</v>
      </c>
      <c r="AD4" s="12"/>
      <c r="AE4" s="19"/>
      <c r="AF4" s="13"/>
    </row>
    <row r="5" spans="1:32" x14ac:dyDescent="0.25">
      <c r="A5" s="3">
        <v>1.2376625032188301E+18</v>
      </c>
      <c r="B5" s="3">
        <v>236.261</v>
      </c>
      <c r="C5" s="3">
        <v>36.156339000000003</v>
      </c>
      <c r="D5" s="3">
        <v>6.0399269999999998E-2</v>
      </c>
      <c r="E5" s="3">
        <v>1.9595899999999986</v>
      </c>
      <c r="F5" s="3">
        <v>2.8495200000000001</v>
      </c>
      <c r="G5" s="3">
        <v>3.2759700000000009</v>
      </c>
      <c r="H5" s="3">
        <v>3.6084999999999994</v>
      </c>
      <c r="I5" s="3">
        <v>0.88993000000000144</v>
      </c>
      <c r="J5" s="3">
        <v>1.3163800000000023</v>
      </c>
      <c r="K5" s="3">
        <v>1.6489100000000008</v>
      </c>
      <c r="L5" s="3">
        <v>0.42645000000000088</v>
      </c>
      <c r="M5" s="3">
        <v>0.75897999999999932</v>
      </c>
      <c r="N5" s="3">
        <v>0.33252999999999844</v>
      </c>
      <c r="O5" s="13">
        <v>2.2866507345160723</v>
      </c>
      <c r="P5" s="13">
        <v>-0.40687430484357295</v>
      </c>
      <c r="Q5" s="13">
        <v>0.36049119495245641</v>
      </c>
      <c r="R5">
        <v>0.26131339745760657</v>
      </c>
      <c r="S5">
        <v>18119.780999999999</v>
      </c>
      <c r="AD5" s="12"/>
      <c r="AE5" s="20"/>
      <c r="AF5" s="19"/>
    </row>
    <row r="6" spans="1:32" x14ac:dyDescent="0.25">
      <c r="A6" s="3">
        <v>1.2376625032188301E+18</v>
      </c>
      <c r="B6" s="3">
        <v>236.22997000000001</v>
      </c>
      <c r="C6" s="3">
        <v>36.067765000000001</v>
      </c>
      <c r="D6" s="3">
        <v>6.1005700000000003E-2</v>
      </c>
      <c r="E6" s="3">
        <v>1.8941200000000009</v>
      </c>
      <c r="F6" s="3">
        <v>2.8054799999999993</v>
      </c>
      <c r="G6" s="3">
        <v>3.2270699999999994</v>
      </c>
      <c r="H6" s="3">
        <v>3.5662599999999998</v>
      </c>
      <c r="I6" s="3">
        <v>0.91135999999999839</v>
      </c>
      <c r="J6" s="3">
        <v>1.3329499999999985</v>
      </c>
      <c r="K6" s="3">
        <v>1.6721399999999988</v>
      </c>
      <c r="L6" s="3">
        <v>0.42159000000000013</v>
      </c>
      <c r="M6" s="3">
        <v>0.76078000000000046</v>
      </c>
      <c r="N6" s="3">
        <v>0.33919000000000032</v>
      </c>
      <c r="O6" s="13">
        <v>2.2933588079738962</v>
      </c>
      <c r="P6" s="13">
        <v>-0.33777946619139448</v>
      </c>
      <c r="Q6" s="13">
        <v>6.2844914931847878E-2</v>
      </c>
      <c r="R6">
        <v>0.23558856001464887</v>
      </c>
      <c r="S6">
        <v>18301.71</v>
      </c>
      <c r="AD6" s="12"/>
      <c r="AE6" s="13"/>
      <c r="AF6" s="19"/>
    </row>
    <row r="7" spans="1:32" x14ac:dyDescent="0.25">
      <c r="A7" s="3">
        <v>1.2376625032188301E+18</v>
      </c>
      <c r="B7" s="3">
        <v>236.22997000000001</v>
      </c>
      <c r="C7" s="3">
        <v>36.067765000000001</v>
      </c>
      <c r="D7" s="3">
        <v>6.1044439999999998E-2</v>
      </c>
      <c r="E7" s="3">
        <v>1.8941200000000009</v>
      </c>
      <c r="F7" s="3">
        <v>2.8054799999999993</v>
      </c>
      <c r="G7" s="3">
        <v>3.2270699999999994</v>
      </c>
      <c r="H7" s="3">
        <v>3.5662599999999998</v>
      </c>
      <c r="I7" s="3">
        <v>0.91135999999999839</v>
      </c>
      <c r="J7" s="3">
        <v>1.3329499999999985</v>
      </c>
      <c r="K7" s="3">
        <v>1.6721399999999988</v>
      </c>
      <c r="L7" s="3">
        <v>0.42159000000000013</v>
      </c>
      <c r="M7" s="3">
        <v>0.76078000000000046</v>
      </c>
      <c r="N7" s="3">
        <v>0.33919000000000032</v>
      </c>
      <c r="O7" s="13">
        <v>2.2933095417725475</v>
      </c>
      <c r="P7" s="13">
        <v>-0.3377507777167903</v>
      </c>
      <c r="Q7" s="13">
        <v>6.284164254013902E-2</v>
      </c>
      <c r="R7">
        <v>0.23558856001464887</v>
      </c>
      <c r="S7">
        <v>18313.331999999999</v>
      </c>
      <c r="AD7" s="12"/>
      <c r="AE7" s="13"/>
      <c r="AF7" s="19"/>
    </row>
    <row r="8" spans="1:32" x14ac:dyDescent="0.25">
      <c r="A8" s="3">
        <v>1.2376624736909299E+18</v>
      </c>
      <c r="B8" s="3">
        <v>236.38212999999999</v>
      </c>
      <c r="C8" s="3">
        <v>36.217623000000003</v>
      </c>
      <c r="D8" s="3">
        <v>6.1346039999999998E-2</v>
      </c>
      <c r="E8" s="3">
        <v>1.8663600000000002</v>
      </c>
      <c r="F8" s="3">
        <v>2.7294100000000014</v>
      </c>
      <c r="G8" s="3">
        <v>3.1420200000000005</v>
      </c>
      <c r="H8" s="3">
        <v>3.4600000000000009</v>
      </c>
      <c r="I8" s="3">
        <v>0.86305000000000121</v>
      </c>
      <c r="J8" s="3">
        <v>1.2756600000000002</v>
      </c>
      <c r="K8" s="3">
        <v>1.5936400000000006</v>
      </c>
      <c r="L8" s="3">
        <v>0.41260999999999903</v>
      </c>
      <c r="M8" s="3">
        <v>0.73058999999999941</v>
      </c>
      <c r="N8" s="3">
        <v>0.31798000000000037</v>
      </c>
      <c r="O8" s="13">
        <v>2.4624571100378403</v>
      </c>
      <c r="P8" s="13">
        <v>-0.25638525942696572</v>
      </c>
      <c r="Q8" s="13">
        <v>0.7715709924458598</v>
      </c>
      <c r="R8">
        <v>0.83220075131863647</v>
      </c>
      <c r="S8">
        <v>18403.811999999998</v>
      </c>
      <c r="AD8" s="12"/>
      <c r="AE8" s="13"/>
      <c r="AF8" s="19"/>
    </row>
    <row r="9" spans="1:32" x14ac:dyDescent="0.25">
      <c r="A9" s="3">
        <v>1.2376625032188301E+18</v>
      </c>
      <c r="B9" s="3">
        <v>236.16559000000001</v>
      </c>
      <c r="C9" s="3">
        <v>36.137926</v>
      </c>
      <c r="D9" s="3">
        <v>6.1555510000000001E-2</v>
      </c>
      <c r="E9" s="3">
        <v>1.8344699999999996</v>
      </c>
      <c r="F9" s="3">
        <v>2.6386600000000016</v>
      </c>
      <c r="G9" s="3">
        <v>2.9953800000000008</v>
      </c>
      <c r="H9" s="3">
        <v>3.2629599999999996</v>
      </c>
      <c r="I9" s="3">
        <v>0.80419000000000196</v>
      </c>
      <c r="J9" s="3">
        <v>1.1609100000000012</v>
      </c>
      <c r="K9" s="3">
        <v>1.42849</v>
      </c>
      <c r="L9" s="3">
        <v>0.35671999999999926</v>
      </c>
      <c r="M9" s="3">
        <v>0.62429999999999808</v>
      </c>
      <c r="N9" s="3">
        <v>0.26757999999999882</v>
      </c>
      <c r="O9" s="13">
        <v>2.9739891488282901</v>
      </c>
      <c r="P9" s="13">
        <v>-0.28110182461999361</v>
      </c>
      <c r="Q9" s="13">
        <v>0.12431253778019076</v>
      </c>
      <c r="R9">
        <v>0.38260971162358987</v>
      </c>
      <c r="S9">
        <v>18466.652999999998</v>
      </c>
      <c r="AD9" s="12"/>
      <c r="AE9" s="19"/>
      <c r="AF9" s="13"/>
    </row>
    <row r="10" spans="1:32" x14ac:dyDescent="0.25">
      <c r="A10" s="3">
        <v>1.2376625032188301E+18</v>
      </c>
      <c r="B10" s="3">
        <v>236.19077999999999</v>
      </c>
      <c r="C10" s="3">
        <v>36.079214999999998</v>
      </c>
      <c r="D10" s="3">
        <v>6.2184040000000003E-2</v>
      </c>
      <c r="E10" s="3">
        <v>1.78613</v>
      </c>
      <c r="F10" s="3">
        <v>2.6250800000000005</v>
      </c>
      <c r="G10" s="3">
        <v>3.0429499999999976</v>
      </c>
      <c r="H10" s="3">
        <v>3.3318899999999978</v>
      </c>
      <c r="I10" s="3">
        <v>0.83895000000000053</v>
      </c>
      <c r="J10" s="3">
        <v>1.2568199999999976</v>
      </c>
      <c r="K10" s="3">
        <v>1.5457599999999978</v>
      </c>
      <c r="L10" s="3">
        <v>0.41786999999999708</v>
      </c>
      <c r="M10" s="3">
        <v>0.70680999999999727</v>
      </c>
      <c r="N10" s="3">
        <v>0.2889400000000002</v>
      </c>
      <c r="O10" s="13">
        <v>2.6853354667699305</v>
      </c>
      <c r="P10" s="13">
        <v>-0.18180458448725464</v>
      </c>
      <c r="Q10" s="13">
        <v>1.2917645964464897E-2</v>
      </c>
      <c r="R10">
        <v>0.2908235029830723</v>
      </c>
      <c r="S10">
        <v>18655.212</v>
      </c>
      <c r="AD10" s="12"/>
      <c r="AE10" s="19"/>
      <c r="AF10" s="13"/>
    </row>
    <row r="11" spans="1:32" x14ac:dyDescent="0.25">
      <c r="A11" s="3">
        <v>1.2376625032188301E+18</v>
      </c>
      <c r="B11" s="3">
        <v>236.18645000000001</v>
      </c>
      <c r="C11" s="3">
        <v>36.129855999999997</v>
      </c>
      <c r="D11" s="3">
        <v>6.2794680000000005E-2</v>
      </c>
      <c r="E11" s="3">
        <v>1.97194</v>
      </c>
      <c r="F11" s="3">
        <v>2.8778699999999997</v>
      </c>
      <c r="G11" s="3">
        <v>3.305769999999999</v>
      </c>
      <c r="H11" s="3">
        <v>3.6497499999999992</v>
      </c>
      <c r="I11" s="3">
        <v>0.90592999999999968</v>
      </c>
      <c r="J11" s="3">
        <v>1.333829999999999</v>
      </c>
      <c r="K11" s="3">
        <v>1.6778099999999991</v>
      </c>
      <c r="L11" s="3">
        <v>0.42789999999999928</v>
      </c>
      <c r="M11" s="3">
        <v>0.77187999999999946</v>
      </c>
      <c r="N11" s="3">
        <v>0.34398000000000017</v>
      </c>
      <c r="O11" s="13">
        <v>2.2194442398780012</v>
      </c>
      <c r="P11" s="13">
        <v>-0.42391793151961432</v>
      </c>
      <c r="Q11" s="13">
        <v>0.13385867423925782</v>
      </c>
      <c r="R11">
        <v>0.28187978597371338</v>
      </c>
      <c r="S11">
        <v>18838.404000000002</v>
      </c>
      <c r="AD11" s="12"/>
      <c r="AE11" s="19"/>
      <c r="AF11" s="13"/>
    </row>
    <row r="12" spans="1:32" x14ac:dyDescent="0.25">
      <c r="A12" s="3">
        <v>1.2376625032188301E+18</v>
      </c>
      <c r="B12" s="3">
        <v>236.09998999999999</v>
      </c>
      <c r="C12" s="3">
        <v>36.135241000000001</v>
      </c>
      <c r="D12" s="3">
        <v>6.2827939999999999E-2</v>
      </c>
      <c r="E12" s="3">
        <v>1.7394600000000011</v>
      </c>
      <c r="F12" s="3">
        <v>2.538920000000001</v>
      </c>
      <c r="G12" s="3">
        <v>2.9246900000000018</v>
      </c>
      <c r="H12" s="3">
        <v>3.1541500000000013</v>
      </c>
      <c r="I12" s="3">
        <v>0.79945999999999984</v>
      </c>
      <c r="J12" s="3">
        <v>1.1852300000000007</v>
      </c>
      <c r="K12" s="3">
        <v>1.4146900000000002</v>
      </c>
      <c r="L12" s="3">
        <v>0.38577000000000083</v>
      </c>
      <c r="M12" s="3">
        <v>0.61523000000000039</v>
      </c>
      <c r="N12" s="3">
        <v>0.22945999999999955</v>
      </c>
      <c r="O12" s="13">
        <v>3.0852717508477112</v>
      </c>
      <c r="P12" s="13">
        <v>-0.15872726911608998</v>
      </c>
      <c r="Q12" s="13">
        <v>-3.9907715342833543E-2</v>
      </c>
      <c r="R12">
        <v>0.65140788870012079</v>
      </c>
      <c r="S12">
        <v>18848.382000000001</v>
      </c>
      <c r="AD12" s="12"/>
      <c r="AE12" s="19"/>
      <c r="AF12" s="13"/>
    </row>
    <row r="13" spans="1:32" x14ac:dyDescent="0.25">
      <c r="A13" s="3">
        <v>1.2376625032188301E+18</v>
      </c>
      <c r="B13" s="3">
        <v>236.25030000000001</v>
      </c>
      <c r="C13" s="3">
        <v>36.110351000000001</v>
      </c>
      <c r="D13" s="3">
        <v>6.2856140000000005E-2</v>
      </c>
      <c r="E13" s="3">
        <v>1.8698399999999999</v>
      </c>
      <c r="F13" s="3">
        <v>2.7921600000000026</v>
      </c>
      <c r="G13" s="3">
        <v>3.2268800000000013</v>
      </c>
      <c r="H13" s="3">
        <v>3.6159000000000017</v>
      </c>
      <c r="I13" s="3">
        <v>0.92232000000000269</v>
      </c>
      <c r="J13" s="3">
        <v>1.3570400000000014</v>
      </c>
      <c r="K13" s="3">
        <v>1.7460600000000017</v>
      </c>
      <c r="L13" s="3">
        <v>0.43471999999999866</v>
      </c>
      <c r="M13" s="3">
        <v>0.82373999999999903</v>
      </c>
      <c r="N13" s="3">
        <v>0.38902000000000037</v>
      </c>
      <c r="O13" s="13">
        <v>2.089841090413485</v>
      </c>
      <c r="P13" s="13">
        <v>-0.21975287587036685</v>
      </c>
      <c r="Q13" s="13">
        <v>0.21773418732043009</v>
      </c>
      <c r="R13">
        <v>1.9438117359621504E-2</v>
      </c>
      <c r="S13">
        <v>18856.842000000001</v>
      </c>
      <c r="AD13" s="12"/>
      <c r="AE13" s="19"/>
      <c r="AF13" s="13"/>
    </row>
    <row r="14" spans="1:32" x14ac:dyDescent="0.25">
      <c r="A14" s="3">
        <v>1.2376624731541299E+18</v>
      </c>
      <c r="B14" s="3">
        <v>236.19515000000001</v>
      </c>
      <c r="C14" s="3">
        <v>35.950268000000001</v>
      </c>
      <c r="D14" s="3">
        <v>6.2868919999999995E-2</v>
      </c>
      <c r="E14" s="3">
        <v>2.010110000000001</v>
      </c>
      <c r="F14" s="3">
        <v>2.8955500000000018</v>
      </c>
      <c r="G14" s="3">
        <v>3.3125600000000013</v>
      </c>
      <c r="H14" s="3">
        <v>3.6143100000000015</v>
      </c>
      <c r="I14" s="3">
        <v>0.88544000000000089</v>
      </c>
      <c r="J14" s="3">
        <v>1.3024500000000003</v>
      </c>
      <c r="K14" s="3">
        <v>1.6042000000000005</v>
      </c>
      <c r="L14" s="3">
        <v>0.41700999999999944</v>
      </c>
      <c r="M14" s="3">
        <v>0.71875999999999962</v>
      </c>
      <c r="N14" s="3">
        <v>0.30175000000000018</v>
      </c>
      <c r="O14" s="13">
        <v>2.40799142607933</v>
      </c>
      <c r="P14" s="13">
        <v>-0.58682915403248903</v>
      </c>
      <c r="Q14" s="13">
        <v>-0.2974534768634175</v>
      </c>
      <c r="R14">
        <v>0.88725364995904443</v>
      </c>
      <c r="S14">
        <v>18860.675999999999</v>
      </c>
      <c r="AD14" s="12"/>
      <c r="AE14" s="19"/>
      <c r="AF14" s="13"/>
    </row>
    <row r="15" spans="1:32" x14ac:dyDescent="0.25">
      <c r="A15" s="3">
        <v>1.2376625032188301E+18</v>
      </c>
      <c r="B15" s="3">
        <v>236.24133</v>
      </c>
      <c r="C15" s="3">
        <v>36.188203000000001</v>
      </c>
      <c r="D15" s="3">
        <v>6.3321730000000007E-2</v>
      </c>
      <c r="E15" s="3">
        <v>1.8223300000000009</v>
      </c>
      <c r="F15" s="3">
        <v>2.6678800000000003</v>
      </c>
      <c r="G15" s="3">
        <v>3.0645300000000013</v>
      </c>
      <c r="H15" s="3">
        <v>3.3540000000000028</v>
      </c>
      <c r="I15" s="3">
        <v>0.84554999999999936</v>
      </c>
      <c r="J15" s="3">
        <v>1.2422000000000004</v>
      </c>
      <c r="K15" s="3">
        <v>1.5316700000000019</v>
      </c>
      <c r="L15" s="3">
        <v>0.39665000000000106</v>
      </c>
      <c r="M15" s="3">
        <v>0.68612000000000251</v>
      </c>
      <c r="N15" s="3">
        <v>0.28947000000000145</v>
      </c>
      <c r="O15" s="13">
        <v>2.6887481626382481</v>
      </c>
      <c r="P15" s="13">
        <v>-0.22397559012051199</v>
      </c>
      <c r="Q15" s="13">
        <v>0.3966100173059306</v>
      </c>
      <c r="R15">
        <v>0.42541627063118193</v>
      </c>
      <c r="S15">
        <v>18996.519</v>
      </c>
    </row>
    <row r="16" spans="1:32" x14ac:dyDescent="0.25">
      <c r="A16" s="3">
        <v>1.2376625032188301E+18</v>
      </c>
      <c r="B16" s="3">
        <v>236.23274000000001</v>
      </c>
      <c r="C16" s="3">
        <v>36.138508000000002</v>
      </c>
      <c r="D16" s="3">
        <v>6.3713649999999997E-2</v>
      </c>
      <c r="E16" s="3">
        <v>1.9234699999999982</v>
      </c>
      <c r="F16" s="3">
        <v>2.7790199999999992</v>
      </c>
      <c r="G16" s="3">
        <v>3.1644199999999998</v>
      </c>
      <c r="H16" s="3">
        <v>3.4677199999999981</v>
      </c>
      <c r="I16" s="3">
        <v>0.85555000000000092</v>
      </c>
      <c r="J16" s="3">
        <v>1.2409500000000016</v>
      </c>
      <c r="K16" s="3">
        <v>1.5442499999999999</v>
      </c>
      <c r="L16" s="3">
        <v>0.38540000000000063</v>
      </c>
      <c r="M16" s="3">
        <v>0.68869999999999898</v>
      </c>
      <c r="N16" s="3">
        <v>0.30329999999999835</v>
      </c>
      <c r="O16" s="13">
        <v>2.5968655320135676</v>
      </c>
      <c r="P16" s="13">
        <v>-0.39216378504994837</v>
      </c>
      <c r="Q16" s="13">
        <v>0.26243286415012418</v>
      </c>
      <c r="R16">
        <v>0.16704270716479927</v>
      </c>
      <c r="S16">
        <v>19114.094999999998</v>
      </c>
    </row>
    <row r="17" spans="1:19" x14ac:dyDescent="0.25">
      <c r="A17" s="3">
        <v>1.2376625032188301E+18</v>
      </c>
      <c r="B17" s="3">
        <v>236.09188</v>
      </c>
      <c r="C17" s="3">
        <v>36.105321000000004</v>
      </c>
      <c r="D17" s="3">
        <v>6.3836710000000005E-2</v>
      </c>
      <c r="E17" s="3">
        <v>1.899280000000001</v>
      </c>
      <c r="F17" s="3">
        <v>2.81325</v>
      </c>
      <c r="G17" s="3">
        <v>3.2392199999999995</v>
      </c>
      <c r="H17" s="3">
        <v>3.5721399999999992</v>
      </c>
      <c r="I17" s="3">
        <v>0.91396999999999906</v>
      </c>
      <c r="J17" s="3">
        <v>1.3399399999999986</v>
      </c>
      <c r="K17" s="3">
        <v>1.6728599999999982</v>
      </c>
      <c r="L17" s="3">
        <v>0.42596999999999952</v>
      </c>
      <c r="M17" s="3">
        <v>0.75888999999999918</v>
      </c>
      <c r="N17" s="3">
        <v>0.33291999999999966</v>
      </c>
      <c r="O17" s="13">
        <v>2.3092204891801731</v>
      </c>
      <c r="P17" s="13">
        <v>-0.33368336180664088</v>
      </c>
      <c r="Q17" s="13">
        <v>-0.13876749722496107</v>
      </c>
      <c r="R17">
        <v>0.67222844758922207</v>
      </c>
      <c r="S17">
        <v>19151.013000000003</v>
      </c>
    </row>
    <row r="18" spans="1:19" x14ac:dyDescent="0.25">
      <c r="A18" s="3">
        <v>1.2376625032189701E+18</v>
      </c>
      <c r="B18" s="3">
        <v>236.44991999999999</v>
      </c>
      <c r="C18" s="3">
        <v>35.928752000000003</v>
      </c>
      <c r="D18" s="3">
        <v>6.3864340000000006E-2</v>
      </c>
      <c r="E18" s="3">
        <v>1.6039500000000011</v>
      </c>
      <c r="F18" s="3">
        <v>2.4474100000000014</v>
      </c>
      <c r="G18" s="3">
        <v>2.8331000000000017</v>
      </c>
      <c r="H18" s="3">
        <v>3.1372299999999989</v>
      </c>
      <c r="I18" s="3">
        <v>0.84346000000000032</v>
      </c>
      <c r="J18" s="3">
        <v>1.2291500000000006</v>
      </c>
      <c r="K18" s="3">
        <v>1.5332799999999978</v>
      </c>
      <c r="L18" s="3">
        <v>0.38569000000000031</v>
      </c>
      <c r="M18" s="3">
        <v>0.68981999999999744</v>
      </c>
      <c r="N18" s="3">
        <v>0.30412999999999712</v>
      </c>
      <c r="O18" s="13">
        <v>2.8130105847932017</v>
      </c>
      <c r="P18" s="13">
        <v>4.5637759746505004E-2</v>
      </c>
      <c r="Q18" s="13">
        <v>0.17838771807504009</v>
      </c>
      <c r="R18">
        <v>1.3203669375508782</v>
      </c>
      <c r="S18">
        <v>19159.302000000003</v>
      </c>
    </row>
    <row r="19" spans="1:19" x14ac:dyDescent="0.25">
      <c r="A19" s="3">
        <v>1.2376625032187E+18</v>
      </c>
      <c r="B19" s="3">
        <v>235.8664</v>
      </c>
      <c r="C19" s="3">
        <v>36.370778000000001</v>
      </c>
      <c r="D19" s="3">
        <v>6.389388E-2</v>
      </c>
      <c r="E19" s="3">
        <v>2.009529999999998</v>
      </c>
      <c r="F19" s="3">
        <v>2.9230899999999984</v>
      </c>
      <c r="G19" s="3">
        <v>3.3683299999999985</v>
      </c>
      <c r="H19" s="3">
        <v>3.6771299999999982</v>
      </c>
      <c r="I19" s="3">
        <v>0.91356000000000037</v>
      </c>
      <c r="J19" s="3">
        <v>1.3588000000000005</v>
      </c>
      <c r="K19" s="3">
        <v>1.6676000000000002</v>
      </c>
      <c r="L19" s="3">
        <v>0.44524000000000008</v>
      </c>
      <c r="M19" s="3">
        <v>0.75403999999999982</v>
      </c>
      <c r="N19" s="3">
        <v>0.30879999999999974</v>
      </c>
      <c r="O19" s="13">
        <v>2.2688883672056397</v>
      </c>
      <c r="P19" s="13">
        <v>-0.43651925308435013</v>
      </c>
      <c r="Q19" s="13">
        <v>4.8347120218756548E-2</v>
      </c>
      <c r="R19">
        <v>2.1721595906559967</v>
      </c>
      <c r="S19">
        <v>19168.164000000001</v>
      </c>
    </row>
    <row r="20" spans="1:19" x14ac:dyDescent="0.25">
      <c r="A20" s="3">
        <v>1.2376625032188301E+18</v>
      </c>
      <c r="B20" s="3">
        <v>236.17264</v>
      </c>
      <c r="C20" s="3">
        <v>36.065449999999998</v>
      </c>
      <c r="D20" s="3">
        <v>6.3996040000000004E-2</v>
      </c>
      <c r="E20" s="3">
        <v>1.8203600000000009</v>
      </c>
      <c r="F20" s="3">
        <v>2.7034600000000015</v>
      </c>
      <c r="G20" s="3">
        <v>3.1217800000000011</v>
      </c>
      <c r="H20" s="3">
        <v>3.4220600000000001</v>
      </c>
      <c r="I20" s="3">
        <v>0.88310000000000066</v>
      </c>
      <c r="J20" s="3">
        <v>1.3014200000000002</v>
      </c>
      <c r="K20" s="3">
        <v>1.6016999999999992</v>
      </c>
      <c r="L20" s="3">
        <v>0.41831999999999958</v>
      </c>
      <c r="M20" s="3">
        <v>0.71859999999999857</v>
      </c>
      <c r="N20" s="3">
        <v>0.30027999999999899</v>
      </c>
      <c r="O20" s="13">
        <v>2.5358431041956262</v>
      </c>
      <c r="P20" s="13">
        <v>-0.25234372180782344</v>
      </c>
      <c r="Q20" s="13">
        <v>-6.9802960343348042E-2</v>
      </c>
      <c r="R20">
        <v>0.39837088446574259</v>
      </c>
      <c r="S20">
        <v>19198.812000000002</v>
      </c>
    </row>
    <row r="21" spans="1:19" x14ac:dyDescent="0.25">
      <c r="A21" s="3">
        <v>1.2376625032189E+18</v>
      </c>
      <c r="B21" s="3">
        <v>236.24023</v>
      </c>
      <c r="C21" s="3">
        <v>36.020007999999997</v>
      </c>
      <c r="D21" s="3">
        <v>6.4113870000000003E-2</v>
      </c>
      <c r="E21" s="3">
        <v>1.8020999999999994</v>
      </c>
      <c r="F21" s="3">
        <v>2.6651299999999978</v>
      </c>
      <c r="G21" s="3">
        <v>3.0672399999999982</v>
      </c>
      <c r="H21" s="3">
        <v>3.3648299999999978</v>
      </c>
      <c r="I21" s="3">
        <v>0.86302999999999841</v>
      </c>
      <c r="J21" s="3">
        <v>1.2651399999999988</v>
      </c>
      <c r="K21" s="3">
        <v>1.5627299999999984</v>
      </c>
      <c r="L21" s="3">
        <v>0.40211000000000041</v>
      </c>
      <c r="M21" s="3">
        <v>0.69969999999999999</v>
      </c>
      <c r="N21" s="3">
        <v>0.29758999999999958</v>
      </c>
      <c r="O21" s="13">
        <v>2.638369917179304</v>
      </c>
      <c r="P21" s="13">
        <v>-0.24005298365591637</v>
      </c>
      <c r="Q21" s="13">
        <v>-3.36133349157429E-2</v>
      </c>
      <c r="R21">
        <v>0.48337544186050574</v>
      </c>
      <c r="S21">
        <v>19234.161</v>
      </c>
    </row>
    <row r="22" spans="1:19" x14ac:dyDescent="0.25">
      <c r="A22" s="3">
        <v>1.2376614659862001E+18</v>
      </c>
      <c r="B22" s="3">
        <v>236.06752</v>
      </c>
      <c r="C22" s="3">
        <v>35.897171999999998</v>
      </c>
      <c r="D22" s="3">
        <v>6.4131209999999994E-2</v>
      </c>
      <c r="E22" s="3">
        <v>1.8261099999999999</v>
      </c>
      <c r="F22" s="3">
        <v>2.673099999999998</v>
      </c>
      <c r="G22" s="3">
        <v>3.0893699999999988</v>
      </c>
      <c r="H22" s="3">
        <v>3.3738299999999981</v>
      </c>
      <c r="I22" s="3">
        <v>0.84698999999999813</v>
      </c>
      <c r="J22" s="3">
        <v>1.2632599999999989</v>
      </c>
      <c r="K22" s="3">
        <v>1.5477199999999982</v>
      </c>
      <c r="L22" s="3">
        <v>0.41627000000000081</v>
      </c>
      <c r="M22" s="3">
        <v>0.70073000000000008</v>
      </c>
      <c r="N22" s="3">
        <v>0.28445999999999927</v>
      </c>
      <c r="O22" s="13">
        <v>2.6954267011666158</v>
      </c>
      <c r="P22" s="13">
        <v>-0.30465829181768767</v>
      </c>
      <c r="Q22" s="13">
        <v>-0.70603278846878992</v>
      </c>
      <c r="R22">
        <v>1.3854294406421264</v>
      </c>
      <c r="S22">
        <v>19239.362999999998</v>
      </c>
    </row>
    <row r="23" spans="1:19" x14ac:dyDescent="0.25">
      <c r="A23" s="3">
        <v>1.23766250321903E+18</v>
      </c>
      <c r="B23" s="3">
        <v>236.62189000000001</v>
      </c>
      <c r="C23" s="3">
        <v>35.936266000000003</v>
      </c>
      <c r="D23" s="3">
        <v>6.4283400000000004E-2</v>
      </c>
      <c r="E23" s="3">
        <v>1.97654</v>
      </c>
      <c r="F23" s="3">
        <v>2.9062100000000015</v>
      </c>
      <c r="G23" s="3">
        <v>3.3224100000000014</v>
      </c>
      <c r="H23" s="3">
        <v>3.6519399999999997</v>
      </c>
      <c r="I23" s="3">
        <v>0.92967000000000155</v>
      </c>
      <c r="J23" s="3">
        <v>1.3458700000000015</v>
      </c>
      <c r="K23" s="3">
        <v>1.6753999999999998</v>
      </c>
      <c r="L23" s="3">
        <v>0.4161999999999999</v>
      </c>
      <c r="M23" s="3">
        <v>0.74572999999999823</v>
      </c>
      <c r="N23" s="3">
        <v>0.32952999999999832</v>
      </c>
      <c r="O23" s="13">
        <v>2.1754942940344182</v>
      </c>
      <c r="P23" s="13">
        <v>-0.55051894305358373</v>
      </c>
      <c r="Q23" s="13">
        <v>0.56243444423812083</v>
      </c>
      <c r="R23">
        <v>1.8882414371741467</v>
      </c>
      <c r="S23">
        <v>19285.02</v>
      </c>
    </row>
    <row r="24" spans="1:19" x14ac:dyDescent="0.25">
      <c r="A24" s="3">
        <v>1.2376625032188301E+18</v>
      </c>
      <c r="B24" s="3">
        <v>236.10839000000001</v>
      </c>
      <c r="C24" s="3">
        <v>36.062103999999998</v>
      </c>
      <c r="D24" s="3">
        <v>6.4395629999999995E-2</v>
      </c>
      <c r="E24" s="3">
        <v>1.93309</v>
      </c>
      <c r="F24" s="3">
        <v>2.812660000000001</v>
      </c>
      <c r="G24" s="3">
        <v>3.2054500000000026</v>
      </c>
      <c r="H24" s="3">
        <v>3.503580000000003</v>
      </c>
      <c r="I24" s="3">
        <v>0.87957000000000107</v>
      </c>
      <c r="J24" s="3">
        <v>1.2723600000000026</v>
      </c>
      <c r="K24" s="3">
        <v>1.5704900000000031</v>
      </c>
      <c r="L24" s="3">
        <v>0.39279000000000153</v>
      </c>
      <c r="M24" s="3">
        <v>0.69092000000000198</v>
      </c>
      <c r="N24" s="3">
        <v>0.29813000000000045</v>
      </c>
      <c r="O24" s="13">
        <v>2.5617072571391519</v>
      </c>
      <c r="P24" s="13">
        <v>-0.44290918264571782</v>
      </c>
      <c r="Q24" s="13">
        <v>-0.20258886025326014</v>
      </c>
      <c r="R24">
        <v>0.65219400759343349</v>
      </c>
      <c r="S24">
        <v>19318.688999999998</v>
      </c>
    </row>
    <row r="25" spans="1:19" x14ac:dyDescent="0.25">
      <c r="A25" s="3">
        <v>1.2376625037556401E+18</v>
      </c>
      <c r="B25" s="3">
        <v>236.36396999999999</v>
      </c>
      <c r="C25" s="3">
        <v>36.529536</v>
      </c>
      <c r="D25" s="3">
        <v>6.4439060000000006E-2</v>
      </c>
      <c r="E25" s="3">
        <v>1.8131799999999991</v>
      </c>
      <c r="F25" s="3">
        <v>2.7027499999999982</v>
      </c>
      <c r="G25" s="3">
        <v>3.161699999999998</v>
      </c>
      <c r="H25" s="3">
        <v>3.5358699999999992</v>
      </c>
      <c r="I25" s="3">
        <v>0.88956999999999908</v>
      </c>
      <c r="J25" s="3">
        <v>1.3485199999999988</v>
      </c>
      <c r="K25" s="3">
        <v>1.7226900000000001</v>
      </c>
      <c r="L25" s="3">
        <v>0.45894999999999975</v>
      </c>
      <c r="M25" s="3">
        <v>0.83312000000000097</v>
      </c>
      <c r="N25" s="3">
        <v>0.37417000000000122</v>
      </c>
      <c r="O25" s="13">
        <v>2.1099812080079761</v>
      </c>
      <c r="P25" s="13">
        <v>8.6418246119975388E-3</v>
      </c>
      <c r="Q25" s="13">
        <v>1.5102774332238764</v>
      </c>
      <c r="R25">
        <v>2.3242920291904388</v>
      </c>
      <c r="S25">
        <v>19331.718000000001</v>
      </c>
    </row>
    <row r="26" spans="1:19" x14ac:dyDescent="0.25">
      <c r="A26" s="3">
        <v>1.23766247369087E+18</v>
      </c>
      <c r="B26" s="3">
        <v>236.31164999999999</v>
      </c>
      <c r="C26" s="3">
        <v>36.406641999999998</v>
      </c>
      <c r="D26" s="3">
        <v>6.4482990000000004E-2</v>
      </c>
      <c r="E26" s="3">
        <v>1.9159700000000015</v>
      </c>
      <c r="F26" s="3">
        <v>2.7629999999999981</v>
      </c>
      <c r="G26" s="3">
        <v>3.1620799999999996</v>
      </c>
      <c r="H26" s="3">
        <v>3.4850600000000007</v>
      </c>
      <c r="I26" s="3">
        <v>0.84702999999999662</v>
      </c>
      <c r="J26" s="3">
        <v>1.2461099999999981</v>
      </c>
      <c r="K26" s="3">
        <v>1.5690899999999992</v>
      </c>
      <c r="L26" s="3">
        <v>0.39908000000000143</v>
      </c>
      <c r="M26" s="3">
        <v>0.72206000000000259</v>
      </c>
      <c r="N26" s="3">
        <v>0.32298000000000116</v>
      </c>
      <c r="O26" s="13">
        <v>2.4820467980571381</v>
      </c>
      <c r="P26" s="13">
        <v>-0.26245326487571663</v>
      </c>
      <c r="Q26" s="13">
        <v>1.1076564197100827</v>
      </c>
      <c r="R26">
        <v>1.6290051933057981</v>
      </c>
      <c r="S26">
        <v>19344.897000000001</v>
      </c>
    </row>
    <row r="27" spans="1:19" x14ac:dyDescent="0.25">
      <c r="A27" s="3">
        <v>1.2376625032186399E+18</v>
      </c>
      <c r="B27" s="3">
        <v>235.71006</v>
      </c>
      <c r="C27" s="3">
        <v>36.316696</v>
      </c>
      <c r="D27" s="3">
        <v>6.4746970000000001E-2</v>
      </c>
      <c r="E27" s="3">
        <v>1.8437400000000004</v>
      </c>
      <c r="F27" s="3">
        <v>2.6752799999999972</v>
      </c>
      <c r="G27" s="3">
        <v>3.0411199999999994</v>
      </c>
      <c r="H27" s="3">
        <v>3.2991499999999991</v>
      </c>
      <c r="I27" s="3">
        <v>0.83153999999999684</v>
      </c>
      <c r="J27" s="3">
        <v>1.197379999999999</v>
      </c>
      <c r="K27" s="3">
        <v>1.4554099999999988</v>
      </c>
      <c r="L27" s="3">
        <v>0.36584000000000216</v>
      </c>
      <c r="M27" s="3">
        <v>0.62387000000000192</v>
      </c>
      <c r="N27" s="3">
        <v>0.25802999999999976</v>
      </c>
      <c r="O27" s="13">
        <v>2.9781725065790101</v>
      </c>
      <c r="P27" s="13">
        <v>-0.24476600230614015</v>
      </c>
      <c r="Q27" s="13">
        <v>-0.40602639841758253</v>
      </c>
      <c r="R27">
        <v>2.5876049829123318</v>
      </c>
      <c r="S27">
        <v>19424.091</v>
      </c>
    </row>
    <row r="28" spans="1:19" x14ac:dyDescent="0.25">
      <c r="A28" s="3">
        <v>1.2376624731541299E+18</v>
      </c>
      <c r="B28" s="3">
        <v>236.24706</v>
      </c>
      <c r="C28" s="3">
        <v>35.929934000000003</v>
      </c>
      <c r="D28" s="3">
        <v>6.4855990000000002E-2</v>
      </c>
      <c r="E28" s="3">
        <v>2.0538799999999995</v>
      </c>
      <c r="F28" s="3">
        <v>2.9844399999999993</v>
      </c>
      <c r="G28" s="3">
        <v>3.3550599999999982</v>
      </c>
      <c r="H28" s="3">
        <v>3.6664299999999983</v>
      </c>
      <c r="I28" s="3">
        <v>0.93055999999999983</v>
      </c>
      <c r="J28" s="3">
        <v>1.3011799999999987</v>
      </c>
      <c r="K28" s="3">
        <v>1.6125499999999988</v>
      </c>
      <c r="L28" s="3">
        <v>0.37061999999999884</v>
      </c>
      <c r="M28" s="3">
        <v>0.68198999999999899</v>
      </c>
      <c r="N28" s="3">
        <v>0.31137000000000015</v>
      </c>
      <c r="O28" s="13">
        <v>2.3830127288995797</v>
      </c>
      <c r="P28" s="13">
        <v>-0.7088206402863666</v>
      </c>
      <c r="Q28" s="13">
        <v>-0.24221150009395356</v>
      </c>
      <c r="R28">
        <v>0.96881887592606819</v>
      </c>
      <c r="S28">
        <v>19456.797000000002</v>
      </c>
    </row>
    <row r="29" spans="1:19" x14ac:dyDescent="0.25">
      <c r="A29" s="3">
        <v>1.2376625032186399E+18</v>
      </c>
      <c r="B29" s="3">
        <v>235.80139</v>
      </c>
      <c r="C29" s="3">
        <v>36.410372000000002</v>
      </c>
      <c r="D29" s="3">
        <v>6.4920919999999993E-2</v>
      </c>
      <c r="E29" s="3">
        <v>1.8927200000000006</v>
      </c>
      <c r="F29" s="3">
        <v>2.7922799999999999</v>
      </c>
      <c r="G29" s="3">
        <v>3.2152399999999997</v>
      </c>
      <c r="H29" s="3">
        <v>3.5327399999999987</v>
      </c>
      <c r="I29" s="3">
        <v>0.89955999999999925</v>
      </c>
      <c r="J29" s="3">
        <v>1.322519999999999</v>
      </c>
      <c r="K29" s="3">
        <v>1.640019999999998</v>
      </c>
      <c r="L29" s="3">
        <v>0.42295999999999978</v>
      </c>
      <c r="M29" s="3">
        <v>0.74045999999999879</v>
      </c>
      <c r="N29" s="3">
        <v>0.31749999999999901</v>
      </c>
      <c r="O29" s="13">
        <v>2.4272047027572867</v>
      </c>
      <c r="P29" s="13">
        <v>-0.23016927330371267</v>
      </c>
      <c r="Q29" s="13">
        <v>1.083253024298278E-2</v>
      </c>
      <c r="R29">
        <v>2.5258245697602493</v>
      </c>
      <c r="S29">
        <v>19476.275999999998</v>
      </c>
    </row>
    <row r="30" spans="1:19" x14ac:dyDescent="0.25">
      <c r="A30" s="3">
        <v>1.2376625032187E+18</v>
      </c>
      <c r="B30" s="3">
        <v>235.94580999999999</v>
      </c>
      <c r="C30" s="3">
        <v>36.373638999999997</v>
      </c>
      <c r="D30" s="3">
        <v>6.4979609999999993E-2</v>
      </c>
      <c r="E30" s="3">
        <v>1.7072700000000012</v>
      </c>
      <c r="F30" s="3">
        <v>2.4680300000000024</v>
      </c>
      <c r="G30" s="3">
        <v>2.8274400000000028</v>
      </c>
      <c r="H30" s="3">
        <v>3.0700200000000031</v>
      </c>
      <c r="I30" s="3">
        <v>0.76076000000000121</v>
      </c>
      <c r="J30" s="3">
        <v>1.1201700000000017</v>
      </c>
      <c r="K30" s="3">
        <v>1.3627500000000019</v>
      </c>
      <c r="L30" s="3">
        <v>0.35941000000000045</v>
      </c>
      <c r="M30" s="3">
        <v>0.60199000000000069</v>
      </c>
      <c r="N30" s="3">
        <v>0.24258000000000024</v>
      </c>
      <c r="O30" s="13">
        <v>3.2362767214894257</v>
      </c>
      <c r="P30" s="13">
        <v>-1.1877991031938519E-4</v>
      </c>
      <c r="Q30" s="13">
        <v>0.24780038439843771</v>
      </c>
      <c r="R30">
        <v>1.9337421602175662</v>
      </c>
      <c r="S30">
        <v>19493.882999999998</v>
      </c>
    </row>
    <row r="31" spans="1:19" x14ac:dyDescent="0.25">
      <c r="A31" s="3">
        <v>1.2376625032188301E+18</v>
      </c>
      <c r="B31" s="3">
        <v>236.26456999999999</v>
      </c>
      <c r="C31" s="3">
        <v>36.167524</v>
      </c>
      <c r="D31" s="3">
        <v>6.4985280000000006E-2</v>
      </c>
      <c r="E31" s="3">
        <v>1.8518799999999978</v>
      </c>
      <c r="F31" s="3">
        <v>2.7363399999999984</v>
      </c>
      <c r="G31" s="3">
        <v>3.1441999999999979</v>
      </c>
      <c r="H31" s="3">
        <v>3.4565199999999976</v>
      </c>
      <c r="I31" s="3">
        <v>0.88446000000000069</v>
      </c>
      <c r="J31" s="3">
        <v>1.2923200000000001</v>
      </c>
      <c r="K31" s="3">
        <v>1.6046399999999998</v>
      </c>
      <c r="L31" s="3">
        <v>0.40785999999999945</v>
      </c>
      <c r="M31" s="3">
        <v>0.72017999999999915</v>
      </c>
      <c r="N31" s="3">
        <v>0.31231999999999971</v>
      </c>
      <c r="O31" s="13">
        <v>2.4799791813174852</v>
      </c>
      <c r="P31" s="13">
        <v>-0.26580418461423044</v>
      </c>
      <c r="Q31" s="13">
        <v>0.38722428609656656</v>
      </c>
      <c r="R31">
        <v>0.32364461576308784</v>
      </c>
      <c r="S31">
        <v>19495.584000000003</v>
      </c>
    </row>
    <row r="32" spans="1:19" x14ac:dyDescent="0.25">
      <c r="A32" s="3">
        <v>1.2376625032188301E+18</v>
      </c>
      <c r="B32" s="3">
        <v>236.26456999999999</v>
      </c>
      <c r="C32" s="3">
        <v>36.167524</v>
      </c>
      <c r="D32" s="3">
        <v>6.4999559999999998E-2</v>
      </c>
      <c r="E32" s="3">
        <v>1.8518799999999978</v>
      </c>
      <c r="F32" s="3">
        <v>2.7363399999999984</v>
      </c>
      <c r="G32" s="3">
        <v>3.1441999999999979</v>
      </c>
      <c r="H32" s="3">
        <v>3.4565199999999976</v>
      </c>
      <c r="I32" s="3">
        <v>0.88446000000000069</v>
      </c>
      <c r="J32" s="3">
        <v>1.2923200000000001</v>
      </c>
      <c r="K32" s="3">
        <v>1.6046399999999998</v>
      </c>
      <c r="L32" s="3">
        <v>0.40785999999999945</v>
      </c>
      <c r="M32" s="3">
        <v>0.72017999999999915</v>
      </c>
      <c r="N32" s="3">
        <v>0.31231999999999971</v>
      </c>
      <c r="O32" s="13">
        <v>2.4799610212412002</v>
      </c>
      <c r="P32" s="13">
        <v>-0.26579360971961685</v>
      </c>
      <c r="Q32" s="13">
        <v>0.3872230798561539</v>
      </c>
      <c r="R32">
        <v>0.32364461576308784</v>
      </c>
      <c r="S32">
        <v>19499.867999999999</v>
      </c>
    </row>
    <row r="33" spans="1:19" x14ac:dyDescent="0.25">
      <c r="A33" s="3">
        <v>1.2376625032187E+18</v>
      </c>
      <c r="B33" s="3">
        <v>235.80547000000001</v>
      </c>
      <c r="C33" s="3">
        <v>36.275041000000002</v>
      </c>
      <c r="D33" s="3">
        <v>6.5075030000000006E-2</v>
      </c>
      <c r="E33" s="3">
        <v>1.9735700000000023</v>
      </c>
      <c r="F33" s="3">
        <v>2.8438499999999998</v>
      </c>
      <c r="G33" s="3">
        <v>3.2469600000000014</v>
      </c>
      <c r="H33" s="3">
        <v>3.5362600000000004</v>
      </c>
      <c r="I33" s="3">
        <v>0.8702799999999975</v>
      </c>
      <c r="J33" s="3">
        <v>1.2733899999999991</v>
      </c>
      <c r="K33" s="3">
        <v>1.5626899999999981</v>
      </c>
      <c r="L33" s="3">
        <v>0.40311000000000163</v>
      </c>
      <c r="M33" s="3">
        <v>0.69241000000000064</v>
      </c>
      <c r="N33" s="3">
        <v>0.289299999999999</v>
      </c>
      <c r="O33" s="13">
        <v>2.5877794490788468</v>
      </c>
      <c r="P33" s="13">
        <v>-0.42722914867626671</v>
      </c>
      <c r="Q33" s="13">
        <v>-0.30874607246282881</v>
      </c>
      <c r="R33">
        <v>2.116403719994449</v>
      </c>
      <c r="S33">
        <v>19522.509000000002</v>
      </c>
    </row>
    <row r="34" spans="1:19" x14ac:dyDescent="0.25">
      <c r="A34" s="3">
        <v>1.2376625032188301E+18</v>
      </c>
      <c r="B34" s="3">
        <v>236.25417999999999</v>
      </c>
      <c r="C34" s="3">
        <v>36.106436000000002</v>
      </c>
      <c r="D34" s="3">
        <v>6.5155870000000005E-2</v>
      </c>
      <c r="E34" s="3">
        <v>2.0028100000000002</v>
      </c>
      <c r="F34" s="3">
        <v>2.8889299999999984</v>
      </c>
      <c r="G34" s="3">
        <v>3.3202700000000007</v>
      </c>
      <c r="H34" s="3">
        <v>3.6051699999999993</v>
      </c>
      <c r="I34" s="3">
        <v>0.88611999999999824</v>
      </c>
      <c r="J34" s="3">
        <v>1.3174600000000005</v>
      </c>
      <c r="K34" s="3">
        <v>1.6023599999999991</v>
      </c>
      <c r="L34" s="3">
        <v>0.43134000000000228</v>
      </c>
      <c r="M34" s="3">
        <v>0.71624000000000088</v>
      </c>
      <c r="N34" s="3">
        <v>0.2848999999999986</v>
      </c>
      <c r="O34" s="13">
        <v>2.3910007955127082</v>
      </c>
      <c r="P34" s="13">
        <v>-0.543515885302846</v>
      </c>
      <c r="Q34" s="13">
        <v>0.21260464591319392</v>
      </c>
      <c r="R34">
        <v>3.9299087756555974E-2</v>
      </c>
      <c r="S34">
        <v>19546.761000000002</v>
      </c>
    </row>
    <row r="35" spans="1:19" x14ac:dyDescent="0.25">
      <c r="A35" s="3">
        <v>1.2376625032186399E+18</v>
      </c>
      <c r="B35" s="3">
        <v>235.78666999999999</v>
      </c>
      <c r="C35" s="3">
        <v>36.463444000000003</v>
      </c>
      <c r="D35" s="3">
        <v>6.5224270000000001E-2</v>
      </c>
      <c r="E35" s="3">
        <v>1.7988499999999981</v>
      </c>
      <c r="F35" s="3">
        <v>2.6358099999999993</v>
      </c>
      <c r="G35" s="3">
        <v>3.0162899999999979</v>
      </c>
      <c r="H35" s="3">
        <v>3.288450000000001</v>
      </c>
      <c r="I35" s="3">
        <v>0.83696000000000126</v>
      </c>
      <c r="J35" s="3">
        <v>1.2174399999999999</v>
      </c>
      <c r="K35" s="3">
        <v>1.4896000000000029</v>
      </c>
      <c r="L35" s="3">
        <v>0.3804799999999986</v>
      </c>
      <c r="M35" s="3">
        <v>0.65264000000000166</v>
      </c>
      <c r="N35" s="3">
        <v>0.27216000000000307</v>
      </c>
      <c r="O35" s="13">
        <v>2.883856162641139</v>
      </c>
      <c r="P35" s="13">
        <v>-0.10937421919475099</v>
      </c>
      <c r="Q35" s="13">
        <v>0.12109561799365488</v>
      </c>
      <c r="R35">
        <v>2.764288980255472</v>
      </c>
      <c r="S35">
        <v>19567.280999999999</v>
      </c>
    </row>
    <row r="36" spans="1:19" x14ac:dyDescent="0.25">
      <c r="A36" s="3">
        <v>1.2376625032186399E+18</v>
      </c>
      <c r="B36" s="3">
        <v>235.81009</v>
      </c>
      <c r="C36" s="3">
        <v>36.410902999999998</v>
      </c>
      <c r="D36" s="3">
        <v>6.5315159999999997E-2</v>
      </c>
      <c r="E36" s="3">
        <v>1.9369399999999999</v>
      </c>
      <c r="F36" s="3">
        <v>2.8146200000000015</v>
      </c>
      <c r="G36" s="3">
        <v>3.2293200000000013</v>
      </c>
      <c r="H36" s="3">
        <v>3.5403200000000012</v>
      </c>
      <c r="I36" s="3">
        <v>0.87768000000000157</v>
      </c>
      <c r="J36" s="3">
        <v>1.2923800000000014</v>
      </c>
      <c r="K36" s="3">
        <v>1.6033800000000014</v>
      </c>
      <c r="L36" s="3">
        <v>0.41469999999999985</v>
      </c>
      <c r="M36" s="3">
        <v>0.72569999999999979</v>
      </c>
      <c r="N36" s="3">
        <v>0.31099999999999994</v>
      </c>
      <c r="O36" s="13">
        <v>2.4853296581453819</v>
      </c>
      <c r="P36" s="13">
        <v>-0.29813953863885428</v>
      </c>
      <c r="Q36" s="13">
        <v>4.0516124008788929E-2</v>
      </c>
      <c r="R36">
        <v>2.4988050869590781</v>
      </c>
      <c r="S36">
        <v>19594.547999999999</v>
      </c>
    </row>
    <row r="37" spans="1:19" x14ac:dyDescent="0.25">
      <c r="A37" s="3">
        <v>1.23766247369074E+18</v>
      </c>
      <c r="B37" s="3">
        <v>235.81360000000001</v>
      </c>
      <c r="C37" s="3">
        <v>36.473101</v>
      </c>
      <c r="D37" s="3">
        <v>6.5316739999999998E-2</v>
      </c>
      <c r="E37" s="3">
        <v>1.7890300000000003</v>
      </c>
      <c r="F37" s="3">
        <v>2.5791599999999981</v>
      </c>
      <c r="G37" s="3">
        <v>2.9582799999999985</v>
      </c>
      <c r="H37" s="3">
        <v>3.2732599999999969</v>
      </c>
      <c r="I37" s="3">
        <v>0.79012999999999778</v>
      </c>
      <c r="J37" s="3">
        <v>1.1692499999999981</v>
      </c>
      <c r="K37" s="3">
        <v>1.4842299999999966</v>
      </c>
      <c r="L37" s="3">
        <v>0.37912000000000035</v>
      </c>
      <c r="M37" s="3">
        <v>0.69409999999999883</v>
      </c>
      <c r="N37" s="3">
        <v>0.31497999999999848</v>
      </c>
      <c r="O37" s="13">
        <v>2.8610426301371494</v>
      </c>
      <c r="P37" s="13">
        <v>-4.1006311293613415E-3</v>
      </c>
      <c r="Q37" s="13">
        <v>0.22797512939110195</v>
      </c>
      <c r="R37">
        <v>2.7181387219509543</v>
      </c>
      <c r="S37">
        <v>19595.022000000001</v>
      </c>
    </row>
    <row r="38" spans="1:19" x14ac:dyDescent="0.25">
      <c r="A38" s="3">
        <v>1.2376625032187699E+18</v>
      </c>
      <c r="B38" s="3">
        <v>236.01967999999999</v>
      </c>
      <c r="C38" s="3">
        <v>36.125104999999998</v>
      </c>
      <c r="D38" s="3">
        <v>6.5348059999999999E-2</v>
      </c>
      <c r="E38" s="3">
        <v>1.9589399999999983</v>
      </c>
      <c r="F38" s="3">
        <v>2.8948599999999978</v>
      </c>
      <c r="G38" s="3">
        <v>3.3355999999999995</v>
      </c>
      <c r="H38" s="3">
        <v>3.6846099999999993</v>
      </c>
      <c r="I38" s="3">
        <v>0.93591999999999942</v>
      </c>
      <c r="J38" s="3">
        <v>1.3766600000000011</v>
      </c>
      <c r="K38" s="3">
        <v>1.7256700000000009</v>
      </c>
      <c r="L38" s="3">
        <v>0.44074000000000169</v>
      </c>
      <c r="M38" s="3">
        <v>0.78975000000000151</v>
      </c>
      <c r="N38" s="3">
        <v>0.34900999999999982</v>
      </c>
      <c r="O38" s="13">
        <v>2.1401230080834477</v>
      </c>
      <c r="P38" s="13">
        <v>-0.40155631459317953</v>
      </c>
      <c r="Q38" s="13">
        <v>-0.24342983444730806</v>
      </c>
      <c r="R38">
        <v>0.99012406777551543</v>
      </c>
      <c r="S38">
        <v>19604.418000000001</v>
      </c>
    </row>
    <row r="39" spans="1:19" x14ac:dyDescent="0.25">
      <c r="A39" s="3">
        <v>1.2376624736910001E+18</v>
      </c>
      <c r="B39" s="3">
        <v>236.37001000000001</v>
      </c>
      <c r="C39" s="3">
        <v>36.133343000000004</v>
      </c>
      <c r="D39" s="3">
        <v>6.5348920000000005E-2</v>
      </c>
      <c r="E39" s="3">
        <v>1.7693000000000012</v>
      </c>
      <c r="F39" s="3">
        <v>2.6161600000000007</v>
      </c>
      <c r="G39" s="3">
        <v>2.9935100000000006</v>
      </c>
      <c r="H39" s="3">
        <v>3.2851400000000019</v>
      </c>
      <c r="I39" s="3">
        <v>0.8468599999999995</v>
      </c>
      <c r="J39" s="3">
        <v>1.2242099999999994</v>
      </c>
      <c r="K39" s="3">
        <v>1.5158400000000007</v>
      </c>
      <c r="L39" s="3">
        <v>0.37734999999999985</v>
      </c>
      <c r="M39" s="3">
        <v>0.66898000000000124</v>
      </c>
      <c r="N39" s="3">
        <v>0.29163000000000139</v>
      </c>
      <c r="O39" s="13">
        <v>2.7513482914334424</v>
      </c>
      <c r="P39" s="13">
        <v>-0.17141916392637349</v>
      </c>
      <c r="Q39" s="13">
        <v>0.53057485435973439</v>
      </c>
      <c r="R39">
        <v>0.55580856305996929</v>
      </c>
      <c r="S39">
        <v>19604.676000000003</v>
      </c>
    </row>
    <row r="40" spans="1:19" x14ac:dyDescent="0.25">
      <c r="A40" s="3">
        <v>1.23766250321903E+18</v>
      </c>
      <c r="B40" s="3">
        <v>236.63884999999999</v>
      </c>
      <c r="C40" s="3">
        <v>35.784723999999997</v>
      </c>
      <c r="D40" s="3">
        <v>6.5432879999999999E-2</v>
      </c>
      <c r="E40" s="3">
        <v>1.8967999999999989</v>
      </c>
      <c r="F40" s="3">
        <v>2.7572599999999987</v>
      </c>
      <c r="G40" s="3">
        <v>3.1620599999999985</v>
      </c>
      <c r="H40" s="3">
        <v>3.4725699999999993</v>
      </c>
      <c r="I40" s="3">
        <v>0.86045999999999978</v>
      </c>
      <c r="J40" s="3">
        <v>1.2652599999999996</v>
      </c>
      <c r="K40" s="3">
        <v>1.5757700000000003</v>
      </c>
      <c r="L40" s="3">
        <v>0.40479999999999983</v>
      </c>
      <c r="M40" s="3">
        <v>0.71531000000000056</v>
      </c>
      <c r="N40" s="3">
        <v>0.31051000000000073</v>
      </c>
      <c r="O40" s="13">
        <v>2.4751515640258184</v>
      </c>
      <c r="P40" s="13">
        <v>-0.45579974805979923</v>
      </c>
      <c r="Q40" s="13">
        <v>0.23240270311758776</v>
      </c>
      <c r="R40">
        <v>2.4529736856273168</v>
      </c>
      <c r="S40">
        <v>19629.864000000001</v>
      </c>
    </row>
    <row r="41" spans="1:19" x14ac:dyDescent="0.25">
      <c r="A41" s="3">
        <v>1.2376625032188301E+18</v>
      </c>
      <c r="B41" s="3">
        <v>236.23173</v>
      </c>
      <c r="C41" s="3">
        <v>36.092804000000001</v>
      </c>
      <c r="D41" s="3">
        <v>6.5570669999999998E-2</v>
      </c>
      <c r="E41" s="3">
        <v>1.882950000000001</v>
      </c>
      <c r="F41" s="3">
        <v>2.75929</v>
      </c>
      <c r="G41" s="3">
        <v>3.2014600000000009</v>
      </c>
      <c r="H41" s="3">
        <v>3.5233600000000003</v>
      </c>
      <c r="I41" s="3">
        <v>0.87633999999999901</v>
      </c>
      <c r="J41" s="3">
        <v>1.3185099999999998</v>
      </c>
      <c r="K41" s="3">
        <v>1.6404099999999993</v>
      </c>
      <c r="L41" s="3">
        <v>0.44217000000000084</v>
      </c>
      <c r="M41" s="3">
        <v>0.76407000000000025</v>
      </c>
      <c r="N41" s="3">
        <v>0.32189999999999941</v>
      </c>
      <c r="O41" s="13">
        <v>2.3561677545823416</v>
      </c>
      <c r="P41" s="13">
        <v>-0.29589317450525482</v>
      </c>
      <c r="Q41" s="13">
        <v>0.13306591466100132</v>
      </c>
      <c r="R41">
        <v>0.10926823880486437</v>
      </c>
      <c r="S41">
        <v>19671.201000000001</v>
      </c>
    </row>
    <row r="42" spans="1:19" x14ac:dyDescent="0.25">
      <c r="A42" s="3">
        <v>1.2376625032188301E+18</v>
      </c>
      <c r="B42" s="3">
        <v>236.15736000000001</v>
      </c>
      <c r="C42" s="3">
        <v>36.030281000000002</v>
      </c>
      <c r="D42" s="3">
        <v>6.5647179999999999E-2</v>
      </c>
      <c r="E42" s="3">
        <v>2.1199899999999978</v>
      </c>
      <c r="F42" s="3">
        <v>2.9894499999999979</v>
      </c>
      <c r="G42" s="3">
        <v>3.3914200000000001</v>
      </c>
      <c r="H42" s="3">
        <v>3.6735599999999984</v>
      </c>
      <c r="I42" s="3">
        <v>0.86946000000000012</v>
      </c>
      <c r="J42" s="3">
        <v>1.2714300000000023</v>
      </c>
      <c r="K42" s="3">
        <v>1.5535700000000006</v>
      </c>
      <c r="L42" s="3">
        <v>0.40197000000000216</v>
      </c>
      <c r="M42" s="3">
        <v>0.68411000000000044</v>
      </c>
      <c r="N42" s="3">
        <v>0.28213999999999828</v>
      </c>
      <c r="O42" s="13">
        <v>2.4672212310556993</v>
      </c>
      <c r="P42" s="13">
        <v>-0.75557517236359339</v>
      </c>
      <c r="Q42" s="13">
        <v>-0.16686503041913486</v>
      </c>
      <c r="R42">
        <v>0.57619427113181465</v>
      </c>
      <c r="S42">
        <v>19694.153999999999</v>
      </c>
    </row>
    <row r="43" spans="1:19" x14ac:dyDescent="0.25">
      <c r="A43" s="3">
        <v>1.2376625032188301E+18</v>
      </c>
      <c r="B43" s="3">
        <v>236.26403999999999</v>
      </c>
      <c r="C43" s="3">
        <v>36.182251999999998</v>
      </c>
      <c r="D43" s="3">
        <v>6.5654039999999997E-2</v>
      </c>
      <c r="E43" s="3">
        <v>1.9060499999999969</v>
      </c>
      <c r="F43" s="3">
        <v>2.839109999999998</v>
      </c>
      <c r="G43" s="3">
        <v>3.2886299999999977</v>
      </c>
      <c r="H43" s="3">
        <v>3.6416599999999981</v>
      </c>
      <c r="I43" s="3">
        <v>0.93306000000000111</v>
      </c>
      <c r="J43" s="3">
        <v>1.3825800000000008</v>
      </c>
      <c r="K43" s="3">
        <v>1.7356100000000012</v>
      </c>
      <c r="L43" s="3">
        <v>0.4495199999999997</v>
      </c>
      <c r="M43" s="3">
        <v>0.8025500000000001</v>
      </c>
      <c r="N43" s="3">
        <v>0.3530300000000004</v>
      </c>
      <c r="O43" s="13">
        <v>2.0921880762713423</v>
      </c>
      <c r="P43" s="13">
        <v>-0.29961222243984115</v>
      </c>
      <c r="Q43" s="13">
        <v>0.41535764944288167</v>
      </c>
      <c r="R43">
        <v>0.40062530347012143</v>
      </c>
      <c r="S43">
        <v>19696.212</v>
      </c>
    </row>
    <row r="44" spans="1:19" x14ac:dyDescent="0.25">
      <c r="A44" s="3">
        <v>1.2376625032189E+18</v>
      </c>
      <c r="B44" s="3">
        <v>236.21476999999999</v>
      </c>
      <c r="C44" s="3">
        <v>36.019869999999997</v>
      </c>
      <c r="D44" s="3">
        <v>6.5661650000000002E-2</v>
      </c>
      <c r="E44" s="3">
        <v>1.6394300000000008</v>
      </c>
      <c r="F44" s="3">
        <v>2.4712800000000001</v>
      </c>
      <c r="G44" s="3">
        <v>2.8665699999999994</v>
      </c>
      <c r="H44" s="3">
        <v>3.1563500000000015</v>
      </c>
      <c r="I44" s="3">
        <v>0.83184999999999931</v>
      </c>
      <c r="J44" s="3">
        <v>1.2271399999999986</v>
      </c>
      <c r="K44" s="3">
        <v>1.5169200000000007</v>
      </c>
      <c r="L44" s="3">
        <v>0.39528999999999925</v>
      </c>
      <c r="M44" s="3">
        <v>0.6850700000000014</v>
      </c>
      <c r="N44" s="3">
        <v>0.28978000000000215</v>
      </c>
      <c r="O44" s="13">
        <v>2.8618345445428215</v>
      </c>
      <c r="P44" s="13">
        <v>2.4101626728006573E-2</v>
      </c>
      <c r="Q44" s="13">
        <v>-9.0441022412573902E-2</v>
      </c>
      <c r="R44">
        <v>0.50227270891968478</v>
      </c>
      <c r="S44">
        <v>19698.494999999999</v>
      </c>
    </row>
    <row r="45" spans="1:19" x14ac:dyDescent="0.25">
      <c r="A45" s="3">
        <v>1.2376624731539999E+18</v>
      </c>
      <c r="B45" s="3">
        <v>235.99902</v>
      </c>
      <c r="C45" s="3">
        <v>36.086818000000001</v>
      </c>
      <c r="D45" s="3">
        <v>6.5674079999999996E-2</v>
      </c>
      <c r="E45" s="3">
        <v>1.7484500000000018</v>
      </c>
      <c r="F45" s="3">
        <v>2.6404100000000028</v>
      </c>
      <c r="G45" s="3">
        <v>3.0121099999999998</v>
      </c>
      <c r="H45" s="3">
        <v>3.3375500000000002</v>
      </c>
      <c r="I45" s="3">
        <v>0.89196000000000097</v>
      </c>
      <c r="J45" s="3">
        <v>1.263659999999998</v>
      </c>
      <c r="K45" s="3">
        <v>1.5890999999999984</v>
      </c>
      <c r="L45" s="3">
        <v>0.37169999999999703</v>
      </c>
      <c r="M45" s="3">
        <v>0.69713999999999743</v>
      </c>
      <c r="N45" s="3">
        <v>0.3254400000000004</v>
      </c>
      <c r="O45" s="13">
        <v>2.6610364467929633</v>
      </c>
      <c r="P45" s="13">
        <v>-0.12509572496935817</v>
      </c>
      <c r="Q45" s="13">
        <v>-0.38084605894503298</v>
      </c>
      <c r="R45">
        <v>1.0837548696002517</v>
      </c>
      <c r="S45">
        <v>19702.223999999998</v>
      </c>
    </row>
    <row r="46" spans="1:19" x14ac:dyDescent="0.25">
      <c r="A46" s="3">
        <v>1.2376625032188301E+18</v>
      </c>
      <c r="B46" s="3">
        <v>236.27367000000001</v>
      </c>
      <c r="C46" s="3">
        <v>36.115484000000002</v>
      </c>
      <c r="D46" s="3">
        <v>6.5750260000000005E-2</v>
      </c>
      <c r="E46" s="3">
        <v>1.8521899999999967</v>
      </c>
      <c r="F46" s="3">
        <v>2.7235799999999983</v>
      </c>
      <c r="G46" s="3">
        <v>3.1620699999999999</v>
      </c>
      <c r="H46" s="3">
        <v>3.4625199999999978</v>
      </c>
      <c r="I46" s="3">
        <v>0.87139000000000166</v>
      </c>
      <c r="J46" s="3">
        <v>1.3098800000000033</v>
      </c>
      <c r="K46" s="3">
        <v>1.6103300000000011</v>
      </c>
      <c r="L46" s="3">
        <v>0.4384900000000016</v>
      </c>
      <c r="M46" s="3">
        <v>0.73893999999999949</v>
      </c>
      <c r="N46" s="3">
        <v>0.30044999999999789</v>
      </c>
      <c r="O46" s="13">
        <v>2.4520778333239628</v>
      </c>
      <c r="P46" s="13">
        <v>-0.26995148668186125</v>
      </c>
      <c r="Q46" s="13">
        <v>0.27358760805586424</v>
      </c>
      <c r="R46">
        <v>0.12501757254691803</v>
      </c>
      <c r="S46">
        <v>19725.078000000001</v>
      </c>
    </row>
    <row r="47" spans="1:19" x14ac:dyDescent="0.25">
      <c r="A47" s="3">
        <v>1.2376625032188301E+18</v>
      </c>
      <c r="B47" s="3">
        <v>236.05607000000001</v>
      </c>
      <c r="C47" s="3">
        <v>36.111181999999999</v>
      </c>
      <c r="D47" s="3">
        <v>6.5796610000000005E-2</v>
      </c>
      <c r="E47" s="3">
        <v>1.8721599999999974</v>
      </c>
      <c r="F47" s="3">
        <v>2.7383299999999977</v>
      </c>
      <c r="G47" s="3">
        <v>3.1506199999999982</v>
      </c>
      <c r="H47" s="3">
        <v>3.4721099999999989</v>
      </c>
      <c r="I47" s="3">
        <v>0.86617000000000033</v>
      </c>
      <c r="J47" s="3">
        <v>1.2784600000000008</v>
      </c>
      <c r="K47" s="3">
        <v>1.5999500000000015</v>
      </c>
      <c r="L47" s="3">
        <v>0.41229000000000049</v>
      </c>
      <c r="M47" s="3">
        <v>0.73378000000000121</v>
      </c>
      <c r="N47" s="3">
        <v>0.32149000000000072</v>
      </c>
      <c r="O47" s="13">
        <v>2.5078264440180091</v>
      </c>
      <c r="P47" s="13">
        <v>-0.27711605302171782</v>
      </c>
      <c r="Q47" s="13">
        <v>-0.18728529113086204</v>
      </c>
      <c r="R47">
        <v>0.82800640368256817</v>
      </c>
      <c r="S47">
        <v>19738.983</v>
      </c>
    </row>
    <row r="48" spans="1:19" x14ac:dyDescent="0.25">
      <c r="A48" s="3">
        <v>1.2376625032189E+18</v>
      </c>
      <c r="B48" s="3">
        <v>236.24889999999999</v>
      </c>
      <c r="C48" s="3">
        <v>35.988132999999998</v>
      </c>
      <c r="D48" s="3">
        <v>6.5869510000000006E-2</v>
      </c>
      <c r="E48" s="3">
        <v>1.8909200000000013</v>
      </c>
      <c r="F48" s="3">
        <v>2.7892299999999999</v>
      </c>
      <c r="G48" s="3">
        <v>3.2072099999999999</v>
      </c>
      <c r="H48" s="3">
        <v>3.5671299999999988</v>
      </c>
      <c r="I48" s="3">
        <v>0.89830999999999861</v>
      </c>
      <c r="J48" s="3">
        <v>1.3162899999999986</v>
      </c>
      <c r="K48" s="3">
        <v>1.6762099999999975</v>
      </c>
      <c r="L48" s="3">
        <v>0.41798000000000002</v>
      </c>
      <c r="M48" s="3">
        <v>0.77789999999999893</v>
      </c>
      <c r="N48" s="3">
        <v>0.35991999999999891</v>
      </c>
      <c r="O48" s="13">
        <v>2.2695921181219449</v>
      </c>
      <c r="P48" s="13">
        <v>-0.31968820591751435</v>
      </c>
      <c r="Q48" s="13">
        <v>-8.7486577022213977E-2</v>
      </c>
      <c r="R48">
        <v>0.65486079174816869</v>
      </c>
      <c r="S48">
        <v>19760.853000000003</v>
      </c>
    </row>
    <row r="49" spans="1:19" x14ac:dyDescent="0.25">
      <c r="A49" s="3">
        <v>1.2376625032189701E+18</v>
      </c>
      <c r="B49" s="3">
        <v>236.45294999999999</v>
      </c>
      <c r="C49" s="3">
        <v>35.954416000000002</v>
      </c>
      <c r="D49" s="3">
        <v>6.5956790000000001E-2</v>
      </c>
      <c r="E49" s="3">
        <v>1.9209500000000013</v>
      </c>
      <c r="F49" s="3">
        <v>2.8317699999999988</v>
      </c>
      <c r="G49" s="3">
        <v>3.2589800000000011</v>
      </c>
      <c r="H49" s="3">
        <v>3.6038700000000006</v>
      </c>
      <c r="I49" s="3">
        <v>0.91081999999999752</v>
      </c>
      <c r="J49" s="3">
        <v>1.3380299999999998</v>
      </c>
      <c r="K49" s="3">
        <v>1.6829199999999993</v>
      </c>
      <c r="L49" s="3">
        <v>0.42721000000000231</v>
      </c>
      <c r="M49" s="3">
        <v>0.77210000000000178</v>
      </c>
      <c r="N49" s="3">
        <v>0.34488999999999947</v>
      </c>
      <c r="O49" s="13">
        <v>2.2032138171220796</v>
      </c>
      <c r="P49" s="13">
        <v>-0.40899281052803055</v>
      </c>
      <c r="Q49" s="13">
        <v>0.25403270007385603</v>
      </c>
      <c r="R49">
        <v>1.2312122679418309</v>
      </c>
      <c r="S49">
        <v>19787.037</v>
      </c>
    </row>
    <row r="50" spans="1:19" x14ac:dyDescent="0.25">
      <c r="A50" s="3">
        <v>1.2376625032187E+18</v>
      </c>
      <c r="B50" s="3">
        <v>235.78942000000001</v>
      </c>
      <c r="C50" s="3">
        <v>36.296126999999998</v>
      </c>
      <c r="D50" s="3">
        <v>6.6005069999999999E-2</v>
      </c>
      <c r="E50" s="3">
        <v>1.7686500000000009</v>
      </c>
      <c r="F50" s="3">
        <v>2.56616</v>
      </c>
      <c r="G50" s="3">
        <v>2.9246000000000016</v>
      </c>
      <c r="H50" s="3">
        <v>3.1822499999999998</v>
      </c>
      <c r="I50" s="3">
        <v>0.79750999999999905</v>
      </c>
      <c r="J50" s="3">
        <v>1.1559500000000007</v>
      </c>
      <c r="K50" s="3">
        <v>1.4135999999999989</v>
      </c>
      <c r="L50" s="3">
        <v>0.35844000000000165</v>
      </c>
      <c r="M50" s="3">
        <v>0.6160899999999998</v>
      </c>
      <c r="N50" s="3">
        <v>0.25764999999999816</v>
      </c>
      <c r="O50" s="13">
        <v>3.1098701790526637</v>
      </c>
      <c r="P50" s="13">
        <v>-0.11757591982592901</v>
      </c>
      <c r="Q50" s="13">
        <v>-0.28254855863339101</v>
      </c>
      <c r="R50">
        <v>2.2287939765540172</v>
      </c>
      <c r="S50">
        <v>19801.521000000001</v>
      </c>
    </row>
    <row r="51" spans="1:19" x14ac:dyDescent="0.25">
      <c r="A51" s="3">
        <v>1.2376625032189701E+18</v>
      </c>
      <c r="B51" s="3">
        <v>236.43817000000001</v>
      </c>
      <c r="C51" s="3">
        <v>35.865676000000001</v>
      </c>
      <c r="D51" s="3">
        <v>6.6037529999999997E-2</v>
      </c>
      <c r="E51" s="3">
        <v>1.9364699999999999</v>
      </c>
      <c r="F51" s="3">
        <v>2.8178699999999992</v>
      </c>
      <c r="G51" s="3">
        <v>3.2472699999999985</v>
      </c>
      <c r="H51" s="3">
        <v>3.5849499999999992</v>
      </c>
      <c r="I51" s="3">
        <v>0.8813999999999993</v>
      </c>
      <c r="J51" s="3">
        <v>1.3107999999999986</v>
      </c>
      <c r="K51" s="3">
        <v>1.6484799999999993</v>
      </c>
      <c r="L51" s="3">
        <v>0.42939999999999934</v>
      </c>
      <c r="M51" s="3">
        <v>0.76707999999999998</v>
      </c>
      <c r="N51" s="3">
        <v>0.33768000000000065</v>
      </c>
      <c r="O51" s="13">
        <v>2.2798967762838962</v>
      </c>
      <c r="P51" s="13">
        <v>-0.44739252621101139</v>
      </c>
      <c r="Q51" s="13">
        <v>9.0004704615341737E-3</v>
      </c>
      <c r="R51">
        <v>1.5604547415987065</v>
      </c>
      <c r="S51">
        <v>19811.258999999998</v>
      </c>
    </row>
    <row r="52" spans="1:19" x14ac:dyDescent="0.25">
      <c r="A52" s="3">
        <v>1.2376624736909299E+18</v>
      </c>
      <c r="B52" s="3">
        <v>236.33320000000001</v>
      </c>
      <c r="C52" s="3">
        <v>36.342984999999999</v>
      </c>
      <c r="D52" s="3">
        <v>6.6088040000000001E-2</v>
      </c>
      <c r="E52" s="3">
        <v>1.9434199999999997</v>
      </c>
      <c r="F52" s="3">
        <v>2.8417899999999996</v>
      </c>
      <c r="G52" s="3">
        <v>3.2593700000000005</v>
      </c>
      <c r="H52" s="3">
        <v>3.6097599999999979</v>
      </c>
      <c r="I52" s="3">
        <v>0.89836999999999989</v>
      </c>
      <c r="J52" s="3">
        <v>1.3159500000000008</v>
      </c>
      <c r="K52" s="3">
        <v>1.6663399999999982</v>
      </c>
      <c r="L52" s="3">
        <v>0.41758000000000095</v>
      </c>
      <c r="M52" s="3">
        <v>0.76796999999999827</v>
      </c>
      <c r="N52" s="3">
        <v>0.35038999999999731</v>
      </c>
      <c r="O52" s="13">
        <v>2.2169403602043247</v>
      </c>
      <c r="P52" s="13">
        <v>-0.31189223011326761</v>
      </c>
      <c r="Q52" s="13">
        <v>0.98280048714926815</v>
      </c>
      <c r="R52">
        <v>1.31617220983831</v>
      </c>
      <c r="S52">
        <v>19826.412</v>
      </c>
    </row>
    <row r="53" spans="1:19" x14ac:dyDescent="0.25">
      <c r="A53" s="3">
        <v>1.2376625037557701E+18</v>
      </c>
      <c r="B53" s="3">
        <v>236.55311</v>
      </c>
      <c r="C53" s="3">
        <v>36.306319999999999</v>
      </c>
      <c r="D53" s="3">
        <v>6.6127720000000001E-2</v>
      </c>
      <c r="E53" s="3">
        <v>1.6878100000000025</v>
      </c>
      <c r="F53" s="3">
        <v>2.5025500000000029</v>
      </c>
      <c r="G53" s="3">
        <v>2.8564700000000016</v>
      </c>
      <c r="H53" s="3">
        <v>3.0897100000000002</v>
      </c>
      <c r="I53" s="3">
        <v>0.81474000000000046</v>
      </c>
      <c r="J53" s="3">
        <v>1.1686599999999991</v>
      </c>
      <c r="K53" s="3">
        <v>1.4018999999999977</v>
      </c>
      <c r="L53" s="3">
        <v>0.35391999999999868</v>
      </c>
      <c r="M53" s="3">
        <v>0.58715999999999724</v>
      </c>
      <c r="N53" s="3">
        <v>0.23323999999999856</v>
      </c>
      <c r="O53" s="13">
        <v>3.0679323176435664</v>
      </c>
      <c r="P53" s="13">
        <v>-6.9173360102067927E-2</v>
      </c>
      <c r="Q53" s="13">
        <v>1.3463785765694194</v>
      </c>
      <c r="R53">
        <v>1.7079492580961837</v>
      </c>
      <c r="S53">
        <v>19838.315999999999</v>
      </c>
    </row>
    <row r="54" spans="1:19" x14ac:dyDescent="0.25">
      <c r="A54" s="3">
        <v>1.23766146598626E+18</v>
      </c>
      <c r="B54" s="3">
        <v>236.36339000000001</v>
      </c>
      <c r="C54" s="3">
        <v>35.81127</v>
      </c>
      <c r="D54" s="3">
        <v>6.6331390000000004E-2</v>
      </c>
      <c r="E54" s="3">
        <v>1.9531499999999973</v>
      </c>
      <c r="F54" s="3">
        <v>2.8321899999999971</v>
      </c>
      <c r="G54" s="3">
        <v>3.2434999999999974</v>
      </c>
      <c r="H54" s="3">
        <v>3.5411999999999999</v>
      </c>
      <c r="I54" s="3">
        <v>0.87903999999999982</v>
      </c>
      <c r="J54" s="3">
        <v>1.2903500000000001</v>
      </c>
      <c r="K54" s="3">
        <v>1.5880500000000026</v>
      </c>
      <c r="L54" s="3">
        <v>0.41131000000000029</v>
      </c>
      <c r="M54" s="3">
        <v>0.7090100000000028</v>
      </c>
      <c r="N54" s="3">
        <v>0.29770000000000252</v>
      </c>
      <c r="O54" s="13">
        <v>2.4647735827827049</v>
      </c>
      <c r="P54" s="13">
        <v>-0.54882830971976293</v>
      </c>
      <c r="Q54" s="13">
        <v>-0.29162885926855969</v>
      </c>
      <c r="R54">
        <v>1.6889331721481895</v>
      </c>
      <c r="S54">
        <v>19899.417000000001</v>
      </c>
    </row>
    <row r="55" spans="1:19" x14ac:dyDescent="0.25">
      <c r="A55" s="3">
        <v>1.2376624736908001E+18</v>
      </c>
      <c r="B55" s="3">
        <v>236.01835</v>
      </c>
      <c r="C55" s="3">
        <v>36.347510999999997</v>
      </c>
      <c r="D55" s="3">
        <v>6.6398659999999998E-2</v>
      </c>
      <c r="E55" s="3">
        <v>1.869130000000002</v>
      </c>
      <c r="F55" s="3">
        <v>2.7234100000000012</v>
      </c>
      <c r="G55" s="3">
        <v>3.1403800000000004</v>
      </c>
      <c r="H55" s="3">
        <v>3.4681500000000014</v>
      </c>
      <c r="I55" s="3">
        <v>0.85427999999999926</v>
      </c>
      <c r="J55" s="3">
        <v>1.2712499999999984</v>
      </c>
      <c r="K55" s="3">
        <v>1.5990199999999994</v>
      </c>
      <c r="L55" s="3">
        <v>0.41696999999999917</v>
      </c>
      <c r="M55" s="3">
        <v>0.74474000000000018</v>
      </c>
      <c r="N55" s="3">
        <v>0.327770000000001</v>
      </c>
      <c r="O55" s="13">
        <v>2.4889501480455922</v>
      </c>
      <c r="P55" s="13">
        <v>-0.1798059466270632</v>
      </c>
      <c r="Q55" s="13">
        <v>0.33003994932580938</v>
      </c>
      <c r="R55">
        <v>1.6224108235642953</v>
      </c>
      <c r="S55">
        <v>19919.597999999998</v>
      </c>
    </row>
    <row r="56" spans="1:19" x14ac:dyDescent="0.25">
      <c r="A56" s="3">
        <v>1.2376625032189E+18</v>
      </c>
      <c r="B56" s="3">
        <v>236.35445999999999</v>
      </c>
      <c r="C56" s="3">
        <v>36.020178999999999</v>
      </c>
      <c r="D56" s="3">
        <v>6.6449170000000002E-2</v>
      </c>
      <c r="E56" s="3">
        <v>2.0114400000000003</v>
      </c>
      <c r="F56" s="3">
        <v>2.9162999999999997</v>
      </c>
      <c r="G56" s="3">
        <v>3.3345599999999997</v>
      </c>
      <c r="H56" s="3">
        <v>3.6760200000000012</v>
      </c>
      <c r="I56" s="3">
        <v>0.90485999999999933</v>
      </c>
      <c r="J56" s="3">
        <v>1.3231199999999994</v>
      </c>
      <c r="K56" s="3">
        <v>1.6645800000000008</v>
      </c>
      <c r="L56" s="3">
        <v>0.41826000000000008</v>
      </c>
      <c r="M56" s="3">
        <v>0.75972000000000151</v>
      </c>
      <c r="N56" s="3">
        <v>0.34146000000000143</v>
      </c>
      <c r="O56" s="13">
        <v>2.2038580490172053</v>
      </c>
      <c r="P56" s="13">
        <v>-0.53222112923618303</v>
      </c>
      <c r="Q56" s="13">
        <v>0.21873537093130935</v>
      </c>
      <c r="R56">
        <v>0.67532664689993915</v>
      </c>
      <c r="S56">
        <v>19934.751</v>
      </c>
    </row>
    <row r="57" spans="1:19" x14ac:dyDescent="0.25">
      <c r="A57" s="3">
        <v>1.2376614659861299E+18</v>
      </c>
      <c r="B57" s="3">
        <v>235.9846</v>
      </c>
      <c r="C57" s="3">
        <v>35.897812000000002</v>
      </c>
      <c r="D57" s="3">
        <v>6.6573939999999998E-2</v>
      </c>
      <c r="E57" s="3">
        <v>1.8771599999999999</v>
      </c>
      <c r="F57" s="3">
        <v>2.7173900000000017</v>
      </c>
      <c r="G57" s="3">
        <v>3.1031900000000014</v>
      </c>
      <c r="H57" s="3">
        <v>3.3945299999999996</v>
      </c>
      <c r="I57" s="3">
        <v>0.84023000000000181</v>
      </c>
      <c r="J57" s="3">
        <v>1.2260300000000015</v>
      </c>
      <c r="K57" s="3">
        <v>1.5173699999999997</v>
      </c>
      <c r="L57" s="3">
        <v>0.3857999999999997</v>
      </c>
      <c r="M57" s="3">
        <v>0.67713999999999785</v>
      </c>
      <c r="N57" s="3">
        <v>0.29133999999999816</v>
      </c>
      <c r="O57" s="13">
        <v>2.7589272945324352</v>
      </c>
      <c r="P57" s="13">
        <v>-0.38374829955667022</v>
      </c>
      <c r="Q57" s="13">
        <v>-0.86913584162277047</v>
      </c>
      <c r="R57">
        <v>1.6145050256873967</v>
      </c>
      <c r="S57">
        <v>19972.182000000001</v>
      </c>
    </row>
    <row r="58" spans="1:19" x14ac:dyDescent="0.25">
      <c r="A58" s="3">
        <v>1.2376625032188301E+18</v>
      </c>
      <c r="B58" s="3">
        <v>236.21942000000001</v>
      </c>
      <c r="C58" s="3">
        <v>36.215575000000001</v>
      </c>
      <c r="D58" s="3">
        <v>6.6674170000000005E-2</v>
      </c>
      <c r="E58" s="3">
        <v>2.0042399999999994</v>
      </c>
      <c r="F58" s="3">
        <v>2.8588200000000015</v>
      </c>
      <c r="G58" s="3">
        <v>3.2528900000000007</v>
      </c>
      <c r="H58" s="3">
        <v>3.5459300000000002</v>
      </c>
      <c r="I58" s="3">
        <v>0.85458000000000212</v>
      </c>
      <c r="J58" s="3">
        <v>1.2486500000000014</v>
      </c>
      <c r="K58" s="3">
        <v>1.5416900000000009</v>
      </c>
      <c r="L58" s="3">
        <v>0.39406999999999925</v>
      </c>
      <c r="M58" s="3">
        <v>0.68710999999999878</v>
      </c>
      <c r="N58" s="3">
        <v>0.29303999999999952</v>
      </c>
      <c r="O58" s="13">
        <v>2.5404438566197016</v>
      </c>
      <c r="P58" s="13">
        <v>-0.50053306497752681</v>
      </c>
      <c r="Q58" s="13">
        <v>0.42973912218099375</v>
      </c>
      <c r="R58">
        <v>0.58422039092362565</v>
      </c>
      <c r="S58">
        <v>20002.251</v>
      </c>
    </row>
    <row r="59" spans="1:19" x14ac:dyDescent="0.25">
      <c r="A59" s="3">
        <v>1.23766247369087E+18</v>
      </c>
      <c r="B59" s="3">
        <v>236.14635000000001</v>
      </c>
      <c r="C59" s="3">
        <v>36.440747000000002</v>
      </c>
      <c r="D59" s="3">
        <v>6.6768380000000002E-2</v>
      </c>
      <c r="E59" s="3">
        <v>1.9153699999999994</v>
      </c>
      <c r="F59" s="3">
        <v>2.8350299999999997</v>
      </c>
      <c r="G59" s="3">
        <v>3.2627900000000007</v>
      </c>
      <c r="H59" s="3">
        <v>3.6264800000000008</v>
      </c>
      <c r="I59" s="3">
        <v>0.91966000000000037</v>
      </c>
      <c r="J59" s="3">
        <v>1.3474200000000014</v>
      </c>
      <c r="K59" s="3">
        <v>1.7111100000000015</v>
      </c>
      <c r="L59" s="3">
        <v>0.42776000000000103</v>
      </c>
      <c r="M59" s="3">
        <v>0.7914500000000011</v>
      </c>
      <c r="N59" s="3">
        <v>0.36369000000000007</v>
      </c>
      <c r="O59" s="13">
        <v>2.1474180502460527</v>
      </c>
      <c r="P59" s="13">
        <v>-0.22025708551375422</v>
      </c>
      <c r="Q59" s="13">
        <v>0.82434213614018437</v>
      </c>
      <c r="R59">
        <v>1.8395910870557817</v>
      </c>
      <c r="S59">
        <v>20030.513999999999</v>
      </c>
    </row>
    <row r="60" spans="1:19" x14ac:dyDescent="0.25">
      <c r="A60" s="3">
        <v>1.2376625032189E+18</v>
      </c>
      <c r="B60" s="3">
        <v>236.31521000000001</v>
      </c>
      <c r="C60" s="3">
        <v>36.017164000000001</v>
      </c>
      <c r="D60" s="3">
        <v>6.683443E-2</v>
      </c>
      <c r="E60" s="3">
        <v>1.9855599999999995</v>
      </c>
      <c r="F60" s="3">
        <v>2.8892299999999977</v>
      </c>
      <c r="G60" s="3">
        <v>3.304829999999999</v>
      </c>
      <c r="H60" s="3">
        <v>3.6335699999999989</v>
      </c>
      <c r="I60" s="3">
        <v>0.9036699999999982</v>
      </c>
      <c r="J60" s="3">
        <v>1.3192699999999995</v>
      </c>
      <c r="K60" s="3">
        <v>1.6480099999999993</v>
      </c>
      <c r="L60" s="3">
        <v>0.4156000000000013</v>
      </c>
      <c r="M60" s="3">
        <v>0.74434000000000111</v>
      </c>
      <c r="N60" s="3">
        <v>0.32873999999999981</v>
      </c>
      <c r="O60" s="13">
        <v>2.2769156827393608</v>
      </c>
      <c r="P60" s="13">
        <v>-0.50818958168529682</v>
      </c>
      <c r="Q60" s="13">
        <v>0.12363429411702902</v>
      </c>
      <c r="R60">
        <v>0.58247897651460845</v>
      </c>
      <c r="S60">
        <v>20050.329000000002</v>
      </c>
    </row>
    <row r="61" spans="1:19" x14ac:dyDescent="0.25">
      <c r="A61" s="3">
        <v>1.2376624736908001E+18</v>
      </c>
      <c r="B61" s="3">
        <v>236.14118999999999</v>
      </c>
      <c r="C61" s="3">
        <v>36.477392999999999</v>
      </c>
      <c r="D61" s="3">
        <v>6.6917630000000006E-2</v>
      </c>
      <c r="E61" s="3">
        <v>1.8567400000000021</v>
      </c>
      <c r="F61" s="3">
        <v>2.7475900000000006</v>
      </c>
      <c r="G61" s="3">
        <v>3.165140000000001</v>
      </c>
      <c r="H61" s="3">
        <v>3.5187400000000011</v>
      </c>
      <c r="I61" s="3">
        <v>0.89084999999999859</v>
      </c>
      <c r="J61" s="3">
        <v>1.3083999999999989</v>
      </c>
      <c r="K61" s="3">
        <v>1.661999999999999</v>
      </c>
      <c r="L61" s="3">
        <v>0.41755000000000031</v>
      </c>
      <c r="M61" s="3">
        <v>0.77115000000000045</v>
      </c>
      <c r="N61" s="3">
        <v>0.35360000000000014</v>
      </c>
      <c r="O61" s="13">
        <v>2.306730892062955</v>
      </c>
      <c r="P61" s="13">
        <v>-0.11685495710593737</v>
      </c>
      <c r="Q61" s="13">
        <v>0.9095096431358205</v>
      </c>
      <c r="R61">
        <v>2.0372055541738385</v>
      </c>
      <c r="S61">
        <v>20075.289000000001</v>
      </c>
    </row>
    <row r="62" spans="1:19" x14ac:dyDescent="0.25">
      <c r="A62" s="3">
        <v>1.2376625032189E+18</v>
      </c>
      <c r="B62" s="3">
        <v>236.36476999999999</v>
      </c>
      <c r="C62" s="3">
        <v>36.013185</v>
      </c>
      <c r="D62" s="3">
        <v>6.6954180000000002E-2</v>
      </c>
      <c r="E62" s="3">
        <v>1.9879899999999999</v>
      </c>
      <c r="F62" s="3">
        <v>2.9320899999999988</v>
      </c>
      <c r="G62" s="3">
        <v>3.3717400000000008</v>
      </c>
      <c r="H62" s="3">
        <v>3.7352000000000007</v>
      </c>
      <c r="I62" s="3">
        <v>0.94409999999999883</v>
      </c>
      <c r="J62" s="3">
        <v>1.3837500000000009</v>
      </c>
      <c r="K62" s="3">
        <v>1.7472100000000008</v>
      </c>
      <c r="L62" s="3">
        <v>0.43965000000000209</v>
      </c>
      <c r="M62" s="3">
        <v>0.80311000000000199</v>
      </c>
      <c r="N62" s="3">
        <v>0.36345999999999989</v>
      </c>
      <c r="O62" s="13">
        <v>2.0051698550465407</v>
      </c>
      <c r="P62" s="13">
        <v>-0.48225292735446212</v>
      </c>
      <c r="Q62" s="13">
        <v>0.21093258571496962</v>
      </c>
      <c r="R62">
        <v>0.73380658689833778</v>
      </c>
      <c r="S62">
        <v>20086.254000000001</v>
      </c>
    </row>
    <row r="63" spans="1:19" x14ac:dyDescent="0.25">
      <c r="A63" s="3">
        <v>1.23766250321903E+18</v>
      </c>
      <c r="B63" s="3">
        <v>236.59724</v>
      </c>
      <c r="C63" s="3">
        <v>35.946224000000001</v>
      </c>
      <c r="D63" s="3">
        <v>6.7003170000000001E-2</v>
      </c>
      <c r="E63" s="3">
        <v>1.8468900000000019</v>
      </c>
      <c r="F63" s="3">
        <v>2.6915700000000022</v>
      </c>
      <c r="G63" s="3">
        <v>3.0783799999999992</v>
      </c>
      <c r="H63" s="3">
        <v>3.3844700000000003</v>
      </c>
      <c r="I63" s="3">
        <v>0.84468000000000032</v>
      </c>
      <c r="J63" s="3">
        <v>1.2314899999999973</v>
      </c>
      <c r="K63" s="3">
        <v>1.5375799999999984</v>
      </c>
      <c r="L63" s="3">
        <v>0.38680999999999699</v>
      </c>
      <c r="M63" s="3">
        <v>0.69289999999999807</v>
      </c>
      <c r="N63" s="3">
        <v>0.30609000000000108</v>
      </c>
      <c r="O63" s="13">
        <v>2.6021790496031589</v>
      </c>
      <c r="P63" s="13">
        <v>-0.33194848226247059</v>
      </c>
      <c r="Q63" s="13">
        <v>0.55189009641868836</v>
      </c>
      <c r="R63">
        <v>1.768084354335518</v>
      </c>
      <c r="S63">
        <v>20100.951000000001</v>
      </c>
    </row>
    <row r="64" spans="1:19" x14ac:dyDescent="0.25">
      <c r="A64" s="3">
        <v>1.2376625032188301E+18</v>
      </c>
      <c r="B64" s="3">
        <v>236.08357000000001</v>
      </c>
      <c r="C64" s="3">
        <v>36.118487999999999</v>
      </c>
      <c r="D64" s="3">
        <v>6.7073629999999995E-2</v>
      </c>
      <c r="E64" s="3">
        <v>1.8969799999999992</v>
      </c>
      <c r="F64" s="3">
        <v>2.7920300000000005</v>
      </c>
      <c r="G64" s="3">
        <v>3.2015000000000011</v>
      </c>
      <c r="H64" s="3">
        <v>3.5157300000000014</v>
      </c>
      <c r="I64" s="3">
        <v>0.89505000000000123</v>
      </c>
      <c r="J64" s="3">
        <v>1.3045200000000019</v>
      </c>
      <c r="K64" s="3">
        <v>1.6187500000000021</v>
      </c>
      <c r="L64" s="3">
        <v>0.40947000000000067</v>
      </c>
      <c r="M64" s="3">
        <v>0.7237000000000009</v>
      </c>
      <c r="N64" s="3">
        <v>0.31423000000000023</v>
      </c>
      <c r="O64" s="13">
        <v>2.4522280139287012</v>
      </c>
      <c r="P64" s="13">
        <v>-0.34527147801880631</v>
      </c>
      <c r="Q64" s="13">
        <v>-0.11998963621329865</v>
      </c>
      <c r="R64">
        <v>0.70970282895518888</v>
      </c>
      <c r="S64">
        <v>20122.089</v>
      </c>
    </row>
    <row r="65" spans="1:19" x14ac:dyDescent="0.25">
      <c r="A65" s="3">
        <v>1.2376624736910001E+18</v>
      </c>
      <c r="B65" s="3">
        <v>236.43284</v>
      </c>
      <c r="C65" s="3">
        <v>36.130147999999998</v>
      </c>
      <c r="D65" s="3">
        <v>6.7119040000000005E-2</v>
      </c>
      <c r="E65" s="3">
        <v>1.8868599999999986</v>
      </c>
      <c r="F65" s="3">
        <v>2.7563899999999997</v>
      </c>
      <c r="G65" s="3">
        <v>3.1540900000000001</v>
      </c>
      <c r="H65" s="3">
        <v>3.4734300000000005</v>
      </c>
      <c r="I65" s="3">
        <v>0.86953000000000102</v>
      </c>
      <c r="J65" s="3">
        <v>1.2672300000000014</v>
      </c>
      <c r="K65" s="3">
        <v>1.5865700000000018</v>
      </c>
      <c r="L65" s="3">
        <v>0.39770000000000039</v>
      </c>
      <c r="M65" s="3">
        <v>0.71704000000000079</v>
      </c>
      <c r="N65" s="3">
        <v>0.3193400000000004</v>
      </c>
      <c r="O65" s="13">
        <v>2.4659676790274045</v>
      </c>
      <c r="P65" s="13">
        <v>-0.32456755308667434</v>
      </c>
      <c r="Q65" s="13">
        <v>0.6608029969672734</v>
      </c>
      <c r="R65">
        <v>0.82217386121224878</v>
      </c>
      <c r="S65">
        <v>20135.712000000003</v>
      </c>
    </row>
    <row r="66" spans="1:19" x14ac:dyDescent="0.25">
      <c r="A66" s="3">
        <v>1.2376625037557701E+18</v>
      </c>
      <c r="B66" s="3">
        <v>236.58447000000001</v>
      </c>
      <c r="C66" s="3">
        <v>36.317391000000001</v>
      </c>
      <c r="D66" s="3">
        <v>6.7139190000000001E-2</v>
      </c>
      <c r="E66" s="3">
        <v>1.813209999999998</v>
      </c>
      <c r="F66" s="3">
        <v>2.6355199999999996</v>
      </c>
      <c r="G66" s="3">
        <v>3.0365199999999994</v>
      </c>
      <c r="H66" s="3">
        <v>3.3049299999999988</v>
      </c>
      <c r="I66" s="3">
        <v>0.82231000000000165</v>
      </c>
      <c r="J66" s="3">
        <v>1.2233100000000015</v>
      </c>
      <c r="K66" s="3">
        <v>1.4917200000000008</v>
      </c>
      <c r="L66" s="3">
        <v>0.4009999999999998</v>
      </c>
      <c r="M66" s="3">
        <v>0.66940999999999917</v>
      </c>
      <c r="N66" s="3">
        <v>0.26840999999999937</v>
      </c>
      <c r="O66" s="13">
        <v>2.7124186957461247</v>
      </c>
      <c r="P66" s="13">
        <v>-0.19293443376184732</v>
      </c>
      <c r="Q66" s="13">
        <v>1.4497408242898862</v>
      </c>
      <c r="R66">
        <v>1.852345487697002</v>
      </c>
      <c r="S66">
        <v>20141.757000000001</v>
      </c>
    </row>
    <row r="67" spans="1:19" x14ac:dyDescent="0.25">
      <c r="A67" s="3">
        <v>1.2376625032189701E+18</v>
      </c>
      <c r="B67" s="3">
        <v>236.51518999999999</v>
      </c>
      <c r="C67" s="3">
        <v>35.948939000000003</v>
      </c>
      <c r="D67" s="3">
        <v>6.7181210000000005E-2</v>
      </c>
      <c r="E67" s="3">
        <v>1.9525100000000002</v>
      </c>
      <c r="F67" s="3">
        <v>2.8408200000000008</v>
      </c>
      <c r="G67" s="3">
        <v>3.2486800000000002</v>
      </c>
      <c r="H67" s="3">
        <v>3.5651400000000013</v>
      </c>
      <c r="I67" s="3">
        <v>0.8883100000000006</v>
      </c>
      <c r="J67" s="3">
        <v>1.29617</v>
      </c>
      <c r="K67" s="3">
        <v>1.6126300000000011</v>
      </c>
      <c r="L67" s="3">
        <v>0.40785999999999945</v>
      </c>
      <c r="M67" s="3">
        <v>0.72432000000000052</v>
      </c>
      <c r="N67" s="3">
        <v>0.31646000000000107</v>
      </c>
      <c r="O67" s="13">
        <v>2.3588611714367991</v>
      </c>
      <c r="P67" s="13">
        <v>-0.49618287623231955</v>
      </c>
      <c r="Q67" s="13">
        <v>0.37751824357513813</v>
      </c>
      <c r="R67">
        <v>1.4597160279211154</v>
      </c>
      <c r="S67">
        <v>20154.363000000001</v>
      </c>
    </row>
    <row r="68" spans="1:19" x14ac:dyDescent="0.25">
      <c r="A68" s="3">
        <v>1.23766247369074E+18</v>
      </c>
      <c r="B68" s="3">
        <v>235.87022999999999</v>
      </c>
      <c r="C68" s="3">
        <v>36.612698999999999</v>
      </c>
      <c r="D68" s="3">
        <v>6.7274340000000002E-2</v>
      </c>
      <c r="E68" s="3">
        <v>1.8501499999999993</v>
      </c>
      <c r="F68" s="3">
        <v>2.6800999999999995</v>
      </c>
      <c r="G68" s="3">
        <v>3.0853599999999979</v>
      </c>
      <c r="H68" s="3">
        <v>3.3864799999999988</v>
      </c>
      <c r="I68" s="3">
        <v>0.82995000000000019</v>
      </c>
      <c r="J68" s="3">
        <v>1.2352099999999986</v>
      </c>
      <c r="K68" s="3">
        <v>1.5363299999999995</v>
      </c>
      <c r="L68" s="3">
        <v>0.4052599999999984</v>
      </c>
      <c r="M68" s="3">
        <v>0.70637999999999934</v>
      </c>
      <c r="N68" s="3">
        <v>0.30112000000000094</v>
      </c>
      <c r="O68" s="13">
        <v>2.6723635385181903</v>
      </c>
      <c r="P68" s="13">
        <v>-8.8825125915228745E-2</v>
      </c>
      <c r="Q68" s="13">
        <v>0.68251644211626239</v>
      </c>
      <c r="R68">
        <v>3.1689324243093551</v>
      </c>
      <c r="S68">
        <v>20182.302</v>
      </c>
    </row>
    <row r="69" spans="1:19" x14ac:dyDescent="0.25">
      <c r="A69" s="3">
        <v>1.23766247369074E+18</v>
      </c>
      <c r="B69" s="3">
        <v>235.96593999999999</v>
      </c>
      <c r="C69" s="3">
        <v>36.560442999999999</v>
      </c>
      <c r="D69" s="3">
        <v>6.7340609999999995E-2</v>
      </c>
      <c r="E69" s="3">
        <v>1.8488100000000003</v>
      </c>
      <c r="F69" s="3">
        <v>2.7378399999999985</v>
      </c>
      <c r="G69" s="3">
        <v>3.1393899999999988</v>
      </c>
      <c r="H69" s="3">
        <v>3.4502999999999986</v>
      </c>
      <c r="I69" s="3">
        <v>0.88902999999999821</v>
      </c>
      <c r="J69" s="3">
        <v>1.2905799999999985</v>
      </c>
      <c r="K69" s="3">
        <v>1.6014899999999983</v>
      </c>
      <c r="L69" s="3">
        <v>0.4015500000000003</v>
      </c>
      <c r="M69" s="3">
        <v>0.71246000000000009</v>
      </c>
      <c r="N69" s="3">
        <v>0.3109099999999998</v>
      </c>
      <c r="O69" s="13">
        <v>2.5163722852844796</v>
      </c>
      <c r="P69" s="13">
        <v>-0.13641904962855592</v>
      </c>
      <c r="Q69" s="13">
        <v>0.73757206588677626</v>
      </c>
      <c r="R69">
        <v>2.7212771313963042</v>
      </c>
      <c r="S69">
        <v>20202.182999999997</v>
      </c>
    </row>
    <row r="70" spans="1:19" x14ac:dyDescent="0.25">
      <c r="A70" s="3">
        <v>1.2376624736909299E+18</v>
      </c>
      <c r="B70" s="3">
        <v>236.32599999999999</v>
      </c>
      <c r="C70" s="3">
        <v>36.213644000000002</v>
      </c>
      <c r="D70" s="3">
        <v>6.7534540000000004E-2</v>
      </c>
      <c r="E70" s="3">
        <v>1.9074799999999996</v>
      </c>
      <c r="F70" s="3">
        <v>2.7887000000000022</v>
      </c>
      <c r="G70" s="3">
        <v>3.2061600000000006</v>
      </c>
      <c r="H70" s="3">
        <v>3.5120100000000001</v>
      </c>
      <c r="I70" s="3">
        <v>0.88122000000000256</v>
      </c>
      <c r="J70" s="3">
        <v>1.2986800000000009</v>
      </c>
      <c r="K70" s="3">
        <v>1.6045300000000005</v>
      </c>
      <c r="L70" s="3">
        <v>0.41745999999999839</v>
      </c>
      <c r="M70" s="3">
        <v>0.7233099999999979</v>
      </c>
      <c r="N70" s="3">
        <v>0.30584999999999951</v>
      </c>
      <c r="O70" s="13">
        <v>2.4203967620226825</v>
      </c>
      <c r="P70" s="13">
        <v>-0.34054108055450949</v>
      </c>
      <c r="Q70" s="13">
        <v>0.63530323847568804</v>
      </c>
      <c r="R70">
        <v>0.66154725601913977</v>
      </c>
      <c r="S70">
        <v>20260.362000000001</v>
      </c>
    </row>
    <row r="71" spans="1:19" x14ac:dyDescent="0.25">
      <c r="A71" s="3">
        <v>1.2376625032187699E+18</v>
      </c>
      <c r="B71" s="3">
        <v>236.09370999999999</v>
      </c>
      <c r="C71" s="3">
        <v>36.178286</v>
      </c>
      <c r="D71" s="3">
        <v>6.7626790000000006E-2</v>
      </c>
      <c r="E71" s="3">
        <v>1.7988499999999981</v>
      </c>
      <c r="F71" s="3">
        <v>2.6768399999999986</v>
      </c>
      <c r="G71" s="3">
        <v>3.07789</v>
      </c>
      <c r="H71" s="3">
        <v>3.3715099999999989</v>
      </c>
      <c r="I71" s="3">
        <v>0.87799000000000049</v>
      </c>
      <c r="J71" s="3">
        <v>1.279040000000002</v>
      </c>
      <c r="K71" s="3">
        <v>1.5726600000000008</v>
      </c>
      <c r="L71" s="3">
        <v>0.40105000000000146</v>
      </c>
      <c r="M71" s="3">
        <v>0.69467000000000034</v>
      </c>
      <c r="N71" s="3">
        <v>0.29361999999999888</v>
      </c>
      <c r="O71" s="13">
        <v>2.6339482051371808</v>
      </c>
      <c r="P71" s="13">
        <v>-0.19428994544810682</v>
      </c>
      <c r="Q71" s="13">
        <v>4.6123537837104676E-2</v>
      </c>
      <c r="R71">
        <v>0.76044491802252312</v>
      </c>
      <c r="S71">
        <v>20288.037</v>
      </c>
    </row>
    <row r="72" spans="1:19" x14ac:dyDescent="0.25">
      <c r="A72" s="3">
        <v>1.2376625032188301E+18</v>
      </c>
      <c r="B72" s="3">
        <v>236.11035000000001</v>
      </c>
      <c r="C72" s="3">
        <v>36.119973000000002</v>
      </c>
      <c r="D72" s="3">
        <v>6.7648449999999999E-2</v>
      </c>
      <c r="E72" s="3">
        <v>1.8811199999999992</v>
      </c>
      <c r="F72" s="3">
        <v>2.781369999999999</v>
      </c>
      <c r="G72" s="3">
        <v>3.2020599999999995</v>
      </c>
      <c r="H72" s="3">
        <v>3.5395499999999984</v>
      </c>
      <c r="I72" s="3">
        <v>0.90024999999999977</v>
      </c>
      <c r="J72" s="3">
        <v>1.3209400000000002</v>
      </c>
      <c r="K72" s="3">
        <v>1.6584299999999992</v>
      </c>
      <c r="L72" s="3">
        <v>0.42069000000000045</v>
      </c>
      <c r="M72" s="3">
        <v>0.75817999999999941</v>
      </c>
      <c r="N72" s="3">
        <v>0.33748999999999896</v>
      </c>
      <c r="O72" s="13">
        <v>2.3434342052231609</v>
      </c>
      <c r="P72" s="13">
        <v>-0.28656459642063503</v>
      </c>
      <c r="Q72" s="13">
        <v>-5.8104556039857959E-2</v>
      </c>
      <c r="R72">
        <v>0.59399050664315445</v>
      </c>
      <c r="S72">
        <v>20294.535</v>
      </c>
    </row>
    <row r="73" spans="1:19" x14ac:dyDescent="0.25">
      <c r="A73" s="3">
        <v>1.23766250321903E+18</v>
      </c>
      <c r="B73" s="3">
        <v>236.61057</v>
      </c>
      <c r="C73" s="3">
        <v>35.901086999999997</v>
      </c>
      <c r="D73" s="3">
        <v>6.7894540000000003E-2</v>
      </c>
      <c r="E73" s="3">
        <v>1.6896699999999996</v>
      </c>
      <c r="F73" s="3">
        <v>2.5334800000000008</v>
      </c>
      <c r="G73" s="3">
        <v>2.9314199999999992</v>
      </c>
      <c r="H73" s="3">
        <v>3.2116299999999995</v>
      </c>
      <c r="I73" s="3">
        <v>0.84381000000000128</v>
      </c>
      <c r="J73" s="3">
        <v>1.2417499999999997</v>
      </c>
      <c r="K73" s="3">
        <v>1.52196</v>
      </c>
      <c r="L73" s="3">
        <v>0.39793999999999841</v>
      </c>
      <c r="M73" s="3">
        <v>0.6781499999999987</v>
      </c>
      <c r="N73" s="3">
        <v>0.28021000000000029</v>
      </c>
      <c r="O73" s="13">
        <v>2.7544103213449374</v>
      </c>
      <c r="P73" s="13">
        <v>-0.12593767537940204</v>
      </c>
      <c r="Q73" s="13">
        <v>0.44817890139696653</v>
      </c>
      <c r="R73">
        <v>1.9487999619048335</v>
      </c>
      <c r="S73">
        <v>20368.362000000001</v>
      </c>
    </row>
    <row r="74" spans="1:19" x14ac:dyDescent="0.25">
      <c r="A74" s="3">
        <v>1.2376625037558999E+18</v>
      </c>
      <c r="B74" s="3">
        <v>236.80717999999999</v>
      </c>
      <c r="C74" s="3">
        <v>36.161382000000003</v>
      </c>
      <c r="D74" s="3">
        <v>6.8195469999999994E-2</v>
      </c>
      <c r="E74" s="3">
        <v>1.9433100000000003</v>
      </c>
      <c r="F74" s="3">
        <v>2.7389499999999991</v>
      </c>
      <c r="G74" s="3">
        <v>3.0961700000000008</v>
      </c>
      <c r="H74" s="3">
        <v>3.3600399999999979</v>
      </c>
      <c r="I74" s="3">
        <v>0.79563999999999879</v>
      </c>
      <c r="J74" s="3">
        <v>1.1528600000000004</v>
      </c>
      <c r="K74" s="3">
        <v>1.4167299999999976</v>
      </c>
      <c r="L74" s="3">
        <v>0.35722000000000165</v>
      </c>
      <c r="M74" s="3">
        <v>0.62108999999999881</v>
      </c>
      <c r="N74" s="3">
        <v>0.26386999999999716</v>
      </c>
      <c r="O74" s="13">
        <v>2.7948532211070818</v>
      </c>
      <c r="P74" s="13">
        <v>-0.46759060705650829</v>
      </c>
      <c r="Q74" s="13">
        <v>1.5535360491171384</v>
      </c>
      <c r="R74">
        <v>2.4619321178881228</v>
      </c>
      <c r="S74">
        <v>20458.641</v>
      </c>
    </row>
    <row r="75" spans="1:19" x14ac:dyDescent="0.25">
      <c r="A75" s="3">
        <v>1.2376624736908001E+18</v>
      </c>
      <c r="B75" s="3">
        <v>236.03367</v>
      </c>
      <c r="C75" s="3">
        <v>36.556773</v>
      </c>
      <c r="D75" s="3">
        <v>6.8495280000000006E-2</v>
      </c>
      <c r="E75" s="3">
        <v>1.7509900000000016</v>
      </c>
      <c r="F75" s="3">
        <v>2.5737000000000005</v>
      </c>
      <c r="G75" s="3">
        <v>2.9553600000000007</v>
      </c>
      <c r="H75" s="3">
        <v>3.2679700000000018</v>
      </c>
      <c r="I75" s="3">
        <v>0.82270999999999894</v>
      </c>
      <c r="J75" s="3">
        <v>1.2043699999999991</v>
      </c>
      <c r="K75" s="3">
        <v>1.5169800000000002</v>
      </c>
      <c r="L75" s="3">
        <v>0.38166000000000011</v>
      </c>
      <c r="M75" s="3">
        <v>0.69427000000000127</v>
      </c>
      <c r="N75" s="3">
        <v>0.31261000000000116</v>
      </c>
      <c r="O75" s="13">
        <v>2.7643371058624875</v>
      </c>
      <c r="P75" s="13">
        <v>4.9207450756514379E-2</v>
      </c>
      <c r="Q75" s="13">
        <v>0.88998036736254038</v>
      </c>
      <c r="R75">
        <v>2.5844001972309258</v>
      </c>
      <c r="S75">
        <v>20548.584000000003</v>
      </c>
    </row>
    <row r="76" spans="1:19" x14ac:dyDescent="0.25">
      <c r="A76" s="3">
        <v>1.2376624731539999E+18</v>
      </c>
      <c r="B76" s="3">
        <v>235.94121000000001</v>
      </c>
      <c r="C76" s="3">
        <v>36.107756999999999</v>
      </c>
      <c r="D76" s="3">
        <v>6.8518010000000004E-2</v>
      </c>
      <c r="E76" s="3">
        <v>1.8187500000000014</v>
      </c>
      <c r="F76" s="3">
        <v>2.6358999999999995</v>
      </c>
      <c r="G76" s="3">
        <v>3.0136400000000005</v>
      </c>
      <c r="H76" s="3">
        <v>3.3060799999999997</v>
      </c>
      <c r="I76" s="3">
        <v>0.81714999999999804</v>
      </c>
      <c r="J76" s="3">
        <v>1.1948899999999991</v>
      </c>
      <c r="K76" s="3">
        <v>1.4873299999999983</v>
      </c>
      <c r="L76" s="3">
        <v>0.37774000000000107</v>
      </c>
      <c r="M76" s="3">
        <v>0.67018000000000022</v>
      </c>
      <c r="N76" s="3">
        <v>0.29243999999999915</v>
      </c>
      <c r="O76" s="13">
        <v>2.8567750034698114</v>
      </c>
      <c r="P76" s="13">
        <v>-0.21326224465977367</v>
      </c>
      <c r="Q76" s="13">
        <v>-0.43003333323201809</v>
      </c>
      <c r="R76">
        <v>1.3287770152613074</v>
      </c>
      <c r="S76">
        <v>20555.403000000002</v>
      </c>
    </row>
    <row r="77" spans="1:19" x14ac:dyDescent="0.25">
      <c r="A77" s="3">
        <v>1.2376625032188301E+18</v>
      </c>
      <c r="B77" s="3">
        <v>236.21589</v>
      </c>
      <c r="C77" s="3">
        <v>36.166634999999999</v>
      </c>
      <c r="D77" s="3">
        <v>6.8595450000000002E-2</v>
      </c>
      <c r="E77" s="3">
        <v>1.8478600000000007</v>
      </c>
      <c r="F77" s="3">
        <v>2.7456099999999992</v>
      </c>
      <c r="G77" s="3">
        <v>3.1833299999999998</v>
      </c>
      <c r="H77" s="3">
        <v>3.5115099999999995</v>
      </c>
      <c r="I77" s="3">
        <v>0.89774999999999849</v>
      </c>
      <c r="J77" s="3">
        <v>1.335469999999999</v>
      </c>
      <c r="K77" s="3">
        <v>1.6636499999999987</v>
      </c>
      <c r="L77" s="3">
        <v>0.43772000000000055</v>
      </c>
      <c r="M77" s="3">
        <v>0.76590000000000025</v>
      </c>
      <c r="N77" s="3">
        <v>0.32817999999999969</v>
      </c>
      <c r="O77" s="13">
        <v>2.3224824060832714</v>
      </c>
      <c r="P77" s="13">
        <v>-0.22473323976204082</v>
      </c>
      <c r="Q77" s="13">
        <v>0.27680094150374063</v>
      </c>
      <c r="R77">
        <v>0.33525437214035148</v>
      </c>
      <c r="S77">
        <v>20578.635000000002</v>
      </c>
    </row>
    <row r="78" spans="1:19" x14ac:dyDescent="0.25">
      <c r="A78" s="3">
        <v>1.23766247369074E+18</v>
      </c>
      <c r="B78" s="3">
        <v>236.01264</v>
      </c>
      <c r="C78" s="3">
        <v>36.597296999999998</v>
      </c>
      <c r="D78" s="3">
        <v>6.8684869999999995E-2</v>
      </c>
      <c r="E78" s="3">
        <v>1.8165699999999987</v>
      </c>
      <c r="F78" s="3">
        <v>2.6432899999999986</v>
      </c>
      <c r="G78" s="3">
        <v>3.0209599999999988</v>
      </c>
      <c r="H78" s="3">
        <v>3.3230299999999975</v>
      </c>
      <c r="I78" s="3">
        <v>0.8267199999999999</v>
      </c>
      <c r="J78" s="3">
        <v>1.2043900000000001</v>
      </c>
      <c r="K78" s="3">
        <v>1.5064599999999988</v>
      </c>
      <c r="L78" s="3">
        <v>0.37767000000000017</v>
      </c>
      <c r="M78" s="3">
        <v>0.6797399999999989</v>
      </c>
      <c r="N78" s="3">
        <v>0.30206999999999873</v>
      </c>
      <c r="O78" s="13">
        <v>2.7547145733009573</v>
      </c>
      <c r="P78" s="13">
        <v>-5.9527961586132307E-2</v>
      </c>
      <c r="Q78" s="13">
        <v>0.94828291138221532</v>
      </c>
      <c r="R78">
        <v>2.8212471416323228</v>
      </c>
      <c r="S78">
        <v>20605.460999999999</v>
      </c>
    </row>
    <row r="79" spans="1:19" x14ac:dyDescent="0.25">
      <c r="A79" s="3">
        <v>1.2376614659863301E+18</v>
      </c>
      <c r="B79" s="3">
        <v>236.32719</v>
      </c>
      <c r="C79" s="3">
        <v>35.705584000000002</v>
      </c>
      <c r="D79" s="3">
        <v>6.8698999999999996E-2</v>
      </c>
      <c r="E79" s="3">
        <v>1.5968499999999999</v>
      </c>
      <c r="F79" s="3">
        <v>2.3666499999999999</v>
      </c>
      <c r="G79" s="3">
        <v>2.7378499999999981</v>
      </c>
      <c r="H79" s="3">
        <v>3.0450099999999978</v>
      </c>
      <c r="I79" s="3">
        <v>0.76980000000000004</v>
      </c>
      <c r="J79" s="3">
        <v>1.1409999999999982</v>
      </c>
      <c r="K79" s="3">
        <v>1.4481599999999979</v>
      </c>
      <c r="L79" s="3">
        <v>0.3711999999999982</v>
      </c>
      <c r="M79" s="3">
        <v>0.67835999999999785</v>
      </c>
      <c r="N79" s="3">
        <v>0.30715999999999966</v>
      </c>
      <c r="O79" s="13">
        <v>3.0445421714523073</v>
      </c>
      <c r="P79" s="13">
        <v>4.441549311027107E-2</v>
      </c>
      <c r="Q79" s="13">
        <v>-0.61550366149741131</v>
      </c>
      <c r="R79">
        <v>2.2082528838550757</v>
      </c>
      <c r="S79">
        <v>20609.699999999997</v>
      </c>
    </row>
    <row r="80" spans="1:19" x14ac:dyDescent="0.25">
      <c r="A80" s="3">
        <v>1.2376625032189E+18</v>
      </c>
      <c r="B80" s="3">
        <v>236.34595999999999</v>
      </c>
      <c r="C80" s="3">
        <v>36.106417999999998</v>
      </c>
      <c r="D80" s="3">
        <v>6.8745210000000001E-2</v>
      </c>
      <c r="E80" s="3">
        <v>1.9429799999999986</v>
      </c>
      <c r="F80" s="3">
        <v>2.8477899999999998</v>
      </c>
      <c r="G80" s="3">
        <v>3.2625100000000007</v>
      </c>
      <c r="H80" s="3">
        <v>3.5661400000000008</v>
      </c>
      <c r="I80" s="3">
        <v>0.90481000000000122</v>
      </c>
      <c r="J80" s="3">
        <v>1.3195300000000021</v>
      </c>
      <c r="K80" s="3">
        <v>1.6231600000000022</v>
      </c>
      <c r="L80" s="3">
        <v>0.41472000000000087</v>
      </c>
      <c r="M80" s="3">
        <v>0.71835000000000093</v>
      </c>
      <c r="N80" s="3">
        <v>0.30363000000000007</v>
      </c>
      <c r="O80" s="13">
        <v>2.3647163778553844</v>
      </c>
      <c r="P80" s="13">
        <v>-0.449229862149638</v>
      </c>
      <c r="Q80" s="13">
        <v>0.40311105703620864</v>
      </c>
      <c r="R80">
        <v>0.43620623965546879</v>
      </c>
      <c r="S80">
        <v>20623.563000000002</v>
      </c>
    </row>
    <row r="81" spans="1:19" x14ac:dyDescent="0.25">
      <c r="A81" s="3">
        <v>1.2376624736910001E+18</v>
      </c>
      <c r="B81" s="3">
        <v>236.36196000000001</v>
      </c>
      <c r="C81" s="3">
        <v>36.155037</v>
      </c>
      <c r="D81" s="3">
        <v>6.8889779999999998E-2</v>
      </c>
      <c r="E81" s="3">
        <v>1.8213399999999993</v>
      </c>
      <c r="F81" s="3">
        <v>2.6524799999999971</v>
      </c>
      <c r="G81" s="3">
        <v>3.040619999999997</v>
      </c>
      <c r="H81" s="3">
        <v>3.3378999999999976</v>
      </c>
      <c r="I81" s="3">
        <v>0.83113999999999777</v>
      </c>
      <c r="J81" s="3">
        <v>1.2192799999999977</v>
      </c>
      <c r="K81" s="3">
        <v>1.5165599999999984</v>
      </c>
      <c r="L81" s="3">
        <v>0.38813999999999993</v>
      </c>
      <c r="M81" s="3">
        <v>0.68542000000000058</v>
      </c>
      <c r="N81" s="3">
        <v>0.29728000000000065</v>
      </c>
      <c r="O81" s="13">
        <v>2.6951915732202631</v>
      </c>
      <c r="P81" s="13">
        <v>-0.21867204836572643</v>
      </c>
      <c r="Q81" s="13">
        <v>0.57660830938027496</v>
      </c>
      <c r="R81">
        <v>0.56215857671187697</v>
      </c>
      <c r="S81">
        <v>20666.934000000001</v>
      </c>
    </row>
    <row r="82" spans="1:19" x14ac:dyDescent="0.25">
      <c r="A82" s="3">
        <v>1.23766247315406E+18</v>
      </c>
      <c r="B82" s="3">
        <v>236.03241</v>
      </c>
      <c r="C82" s="3">
        <v>36.017156</v>
      </c>
      <c r="D82" s="3">
        <v>6.8977289999999997E-2</v>
      </c>
      <c r="E82" s="3">
        <v>1.7911199999999994</v>
      </c>
      <c r="F82" s="3">
        <v>2.6652400000000007</v>
      </c>
      <c r="G82" s="3">
        <v>3.1387599999999978</v>
      </c>
      <c r="H82" s="3">
        <v>3.4508799999999979</v>
      </c>
      <c r="I82" s="3">
        <v>0.87412000000000134</v>
      </c>
      <c r="J82" s="3">
        <v>1.3476399999999984</v>
      </c>
      <c r="K82" s="3">
        <v>1.6597599999999986</v>
      </c>
      <c r="L82" s="3">
        <v>0.47351999999999705</v>
      </c>
      <c r="M82" s="3">
        <v>0.78563999999999723</v>
      </c>
      <c r="N82" s="3">
        <v>0.31212000000000018</v>
      </c>
      <c r="O82" s="13">
        <v>2.3980197631992746</v>
      </c>
      <c r="P82" s="13">
        <v>-0.15548624522949289</v>
      </c>
      <c r="Q82" s="13">
        <v>-0.49202323934418224</v>
      </c>
      <c r="R82">
        <v>1.0564641747642374</v>
      </c>
      <c r="S82">
        <v>20693.186999999998</v>
      </c>
    </row>
    <row r="83" spans="1:19" x14ac:dyDescent="0.25">
      <c r="A83" s="3">
        <v>1.2376625032189E+18</v>
      </c>
      <c r="B83" s="3">
        <v>236.28028</v>
      </c>
      <c r="C83" s="3">
        <v>36.090775999999998</v>
      </c>
      <c r="D83" s="3">
        <v>6.9101659999999995E-2</v>
      </c>
      <c r="E83" s="3">
        <v>1.8897899999999979</v>
      </c>
      <c r="F83" s="3">
        <v>2.8221600000000002</v>
      </c>
      <c r="G83" s="3">
        <v>3.2669999999999995</v>
      </c>
      <c r="H83" s="3">
        <v>3.6051099999999998</v>
      </c>
      <c r="I83" s="3">
        <v>0.93237000000000236</v>
      </c>
      <c r="J83" s="3">
        <v>1.3772100000000016</v>
      </c>
      <c r="K83" s="3">
        <v>1.715320000000002</v>
      </c>
      <c r="L83" s="3">
        <v>0.44483999999999924</v>
      </c>
      <c r="M83" s="3">
        <v>0.78294999999999959</v>
      </c>
      <c r="N83" s="3">
        <v>0.33811000000000035</v>
      </c>
      <c r="O83" s="13">
        <v>2.1632030962775097</v>
      </c>
      <c r="P83" s="13">
        <v>-0.322006689850106</v>
      </c>
      <c r="Q83" s="13">
        <v>0.21611123493039933</v>
      </c>
      <c r="R83">
        <v>0.18037073474107862</v>
      </c>
      <c r="S83">
        <v>20730.498</v>
      </c>
    </row>
    <row r="84" spans="1:19" x14ac:dyDescent="0.25">
      <c r="A84" s="3">
        <v>1.2376614659863301E+18</v>
      </c>
      <c r="B84" s="3">
        <v>236.30957000000001</v>
      </c>
      <c r="C84" s="3">
        <v>35.697831999999998</v>
      </c>
      <c r="D84" s="3">
        <v>6.9270659999999998E-2</v>
      </c>
      <c r="E84" s="3">
        <v>1.9167699999999996</v>
      </c>
      <c r="F84" s="3">
        <v>2.8183199999999999</v>
      </c>
      <c r="G84" s="3">
        <v>3.2471199999999989</v>
      </c>
      <c r="H84" s="3">
        <v>3.5528300000000002</v>
      </c>
      <c r="I84" s="3">
        <v>0.9015500000000003</v>
      </c>
      <c r="J84" s="3">
        <v>1.3303499999999993</v>
      </c>
      <c r="K84" s="3">
        <v>1.6360600000000005</v>
      </c>
      <c r="L84" s="3">
        <v>0.42879999999999896</v>
      </c>
      <c r="M84" s="3">
        <v>0.73451000000000022</v>
      </c>
      <c r="N84" s="3">
        <v>0.30571000000000126</v>
      </c>
      <c r="O84" s="13">
        <v>2.3815623613012065</v>
      </c>
      <c r="P84" s="13">
        <v>-0.51540146898437411</v>
      </c>
      <c r="Q84" s="13">
        <v>-0.70093449413551512</v>
      </c>
      <c r="R84">
        <v>2.2386950062963855</v>
      </c>
      <c r="S84">
        <v>20781.198</v>
      </c>
    </row>
    <row r="85" spans="1:19" x14ac:dyDescent="0.25">
      <c r="A85" s="3">
        <v>1.2376624736909299E+18</v>
      </c>
      <c r="B85" s="3">
        <v>236.19955999999999</v>
      </c>
      <c r="C85" s="3">
        <v>36.264617999999999</v>
      </c>
      <c r="D85" s="3">
        <v>6.9475839999999997E-2</v>
      </c>
      <c r="E85" s="3">
        <v>1.72682</v>
      </c>
      <c r="F85" s="3">
        <v>2.5693999999999981</v>
      </c>
      <c r="G85" s="3">
        <v>2.9609699999999997</v>
      </c>
      <c r="H85" s="3">
        <v>3.2605900000000005</v>
      </c>
      <c r="I85" s="3">
        <v>0.84257999999999811</v>
      </c>
      <c r="J85" s="3">
        <v>1.2341499999999996</v>
      </c>
      <c r="K85" s="3">
        <v>1.5337700000000005</v>
      </c>
      <c r="L85" s="3">
        <v>0.39157000000000153</v>
      </c>
      <c r="M85" s="3">
        <v>0.69119000000000241</v>
      </c>
      <c r="N85" s="3">
        <v>0.29962000000000089</v>
      </c>
      <c r="O85" s="13">
        <v>2.7390747016768002</v>
      </c>
      <c r="P85" s="13">
        <v>-3.2355509753253055E-2</v>
      </c>
      <c r="Q85" s="13">
        <v>0.49636100063411981</v>
      </c>
      <c r="R85">
        <v>0.86136950659901601</v>
      </c>
      <c r="S85">
        <v>20842.752</v>
      </c>
    </row>
    <row r="86" spans="1:19" x14ac:dyDescent="0.25">
      <c r="A86" s="3">
        <v>1.2376625032188301E+18</v>
      </c>
      <c r="B86" s="3">
        <v>236.20070000000001</v>
      </c>
      <c r="C86" s="3">
        <v>36.100549000000001</v>
      </c>
      <c r="D86" s="3">
        <v>6.9494669999999995E-2</v>
      </c>
      <c r="E86" s="3">
        <v>1.9367800000000024</v>
      </c>
      <c r="F86" s="3">
        <v>2.839739999999999</v>
      </c>
      <c r="G86" s="3">
        <v>3.282980000000002</v>
      </c>
      <c r="H86" s="3">
        <v>3.5942500000000024</v>
      </c>
      <c r="I86" s="3">
        <v>0.90295999999999665</v>
      </c>
      <c r="J86" s="3">
        <v>1.3461999999999996</v>
      </c>
      <c r="K86" s="3">
        <v>1.65747</v>
      </c>
      <c r="L86" s="3">
        <v>0.44324000000000296</v>
      </c>
      <c r="M86" s="3">
        <v>0.75451000000000334</v>
      </c>
      <c r="N86" s="3">
        <v>0.31127000000000038</v>
      </c>
      <c r="O86" s="13">
        <v>2.2915942037883914</v>
      </c>
      <c r="P86" s="13">
        <v>-0.40536028854461503</v>
      </c>
      <c r="Q86" s="13">
        <v>7.8583135327647186E-2</v>
      </c>
      <c r="R86">
        <v>0.20319326236465482</v>
      </c>
      <c r="S86">
        <v>20848.400999999998</v>
      </c>
    </row>
    <row r="87" spans="1:19" x14ac:dyDescent="0.25">
      <c r="A87" s="3">
        <v>1.2376624736910001E+18</v>
      </c>
      <c r="B87" s="3">
        <v>236.44767999999999</v>
      </c>
      <c r="C87" s="3">
        <v>36.254269000000001</v>
      </c>
      <c r="D87" s="3">
        <v>6.9524959999999997E-2</v>
      </c>
      <c r="E87" s="3">
        <v>1.7307799999999993</v>
      </c>
      <c r="F87" s="3">
        <v>2.5426099999999998</v>
      </c>
      <c r="G87" s="3">
        <v>2.907709999999998</v>
      </c>
      <c r="H87" s="3">
        <v>3.2039099999999987</v>
      </c>
      <c r="I87" s="3">
        <v>0.8118300000000005</v>
      </c>
      <c r="J87" s="3">
        <v>1.1769299999999987</v>
      </c>
      <c r="K87" s="3">
        <v>1.4731299999999994</v>
      </c>
      <c r="L87" s="3">
        <v>0.3650999999999982</v>
      </c>
      <c r="M87" s="3">
        <v>0.66129999999999889</v>
      </c>
      <c r="N87" s="3">
        <v>0.29620000000000068</v>
      </c>
      <c r="O87" s="13">
        <v>2.8448995048026355</v>
      </c>
      <c r="P87" s="13">
        <v>-5.247725449275701E-2</v>
      </c>
      <c r="Q87" s="13">
        <v>1.0098679193796691</v>
      </c>
      <c r="R87">
        <v>1.1758136372182224</v>
      </c>
      <c r="S87">
        <v>20857.487999999998</v>
      </c>
    </row>
    <row r="88" spans="1:19" x14ac:dyDescent="0.25">
      <c r="A88" s="3">
        <v>1.2376625032189701E+18</v>
      </c>
      <c r="B88" s="3">
        <v>236.47274999999999</v>
      </c>
      <c r="C88" s="3">
        <v>35.867583000000003</v>
      </c>
      <c r="D88" s="3">
        <v>6.9827539999999994E-2</v>
      </c>
      <c r="E88" s="3">
        <v>1.9350500000000004</v>
      </c>
      <c r="F88" s="3">
        <v>2.8243800000000014</v>
      </c>
      <c r="G88" s="3">
        <v>3.2430900000000022</v>
      </c>
      <c r="H88" s="3">
        <v>3.5643600000000024</v>
      </c>
      <c r="I88" s="3">
        <v>0.88933000000000106</v>
      </c>
      <c r="J88" s="3">
        <v>1.3080400000000019</v>
      </c>
      <c r="K88" s="3">
        <v>1.629310000000002</v>
      </c>
      <c r="L88" s="3">
        <v>0.4187100000000008</v>
      </c>
      <c r="M88" s="3">
        <v>0.73998000000000097</v>
      </c>
      <c r="N88" s="3">
        <v>0.32127000000000017</v>
      </c>
      <c r="O88" s="13">
        <v>2.3332563017116192</v>
      </c>
      <c r="P88" s="13">
        <v>-0.47709108334815636</v>
      </c>
      <c r="Q88" s="13">
        <v>8.1424525613385271E-2</v>
      </c>
      <c r="R88">
        <v>1.6383709336377279</v>
      </c>
      <c r="S88">
        <v>20948.261999999999</v>
      </c>
    </row>
    <row r="89" spans="1:19" x14ac:dyDescent="0.25">
      <c r="A89" s="3">
        <v>1.2376625032188301E+18</v>
      </c>
      <c r="B89" s="3">
        <v>236.16618</v>
      </c>
      <c r="C89" s="3">
        <v>36.115782000000003</v>
      </c>
      <c r="D89" s="3">
        <v>6.9903430000000003E-2</v>
      </c>
      <c r="E89" s="3">
        <v>1.87941</v>
      </c>
      <c r="F89" s="3">
        <v>2.788219999999999</v>
      </c>
      <c r="G89" s="3">
        <v>3.2105400000000017</v>
      </c>
      <c r="H89" s="3">
        <v>3.5251200000000011</v>
      </c>
      <c r="I89" s="3">
        <v>0.90880999999999901</v>
      </c>
      <c r="J89" s="3">
        <v>1.3311300000000017</v>
      </c>
      <c r="K89" s="3">
        <v>1.6457100000000011</v>
      </c>
      <c r="L89" s="3">
        <v>0.42232000000000269</v>
      </c>
      <c r="M89" s="3">
        <v>0.73690000000000211</v>
      </c>
      <c r="N89" s="3">
        <v>0.31457999999999942</v>
      </c>
      <c r="O89" s="13">
        <v>2.3762369018579386</v>
      </c>
      <c r="P89" s="13">
        <v>-0.32130306735547559</v>
      </c>
      <c r="Q89" s="13">
        <v>4.0876589605983053E-2</v>
      </c>
      <c r="R89">
        <v>0.34956357431281837</v>
      </c>
      <c r="S89">
        <v>20971.029000000002</v>
      </c>
    </row>
    <row r="90" spans="1:19" x14ac:dyDescent="0.25">
      <c r="A90" s="3">
        <v>1.2376625032188301E+18</v>
      </c>
      <c r="B90" s="3">
        <v>236.21960000000001</v>
      </c>
      <c r="C90" s="3">
        <v>36.069102999999998</v>
      </c>
      <c r="D90" s="3">
        <v>7.0070649999999998E-2</v>
      </c>
      <c r="E90" s="3">
        <v>1.9077300000000008</v>
      </c>
      <c r="F90" s="3">
        <v>2.7561300000000024</v>
      </c>
      <c r="G90" s="3">
        <v>3.1597200000000001</v>
      </c>
      <c r="H90" s="3">
        <v>3.4456799999999994</v>
      </c>
      <c r="I90" s="3">
        <v>0.8484000000000016</v>
      </c>
      <c r="J90" s="3">
        <v>1.2519899999999993</v>
      </c>
      <c r="K90" s="3">
        <v>1.5379499999999986</v>
      </c>
      <c r="L90" s="3">
        <v>0.40358999999999767</v>
      </c>
      <c r="M90" s="3">
        <v>0.689549999999997</v>
      </c>
      <c r="N90" s="3">
        <v>0.28595999999999933</v>
      </c>
      <c r="O90" s="13">
        <v>2.6195785363533024</v>
      </c>
      <c r="P90" s="13">
        <v>-0.39011552040903563</v>
      </c>
      <c r="Q90" s="13">
        <v>5.4687453359464573E-2</v>
      </c>
      <c r="R90">
        <v>0.24630149448995659</v>
      </c>
      <c r="S90">
        <v>21021.195</v>
      </c>
    </row>
    <row r="91" spans="1:19" x14ac:dyDescent="0.25">
      <c r="A91" s="3">
        <v>1.2376625032189E+18</v>
      </c>
      <c r="B91" s="3">
        <v>236.30726000000001</v>
      </c>
      <c r="C91" s="3">
        <v>35.975124000000001</v>
      </c>
      <c r="D91" s="3">
        <v>7.2928850000000003E-2</v>
      </c>
      <c r="E91" s="3">
        <v>1.6879799999999996</v>
      </c>
      <c r="F91" s="3">
        <v>2.5587699999999991</v>
      </c>
      <c r="G91" s="3">
        <v>2.9646799999999978</v>
      </c>
      <c r="H91" s="3">
        <v>3.2880499999999984</v>
      </c>
      <c r="I91" s="3">
        <v>0.87078999999999951</v>
      </c>
      <c r="J91" s="3">
        <v>1.2766999999999982</v>
      </c>
      <c r="K91" s="3">
        <v>1.6000699999999988</v>
      </c>
      <c r="L91" s="3">
        <v>0.40590999999999866</v>
      </c>
      <c r="M91" s="3">
        <v>0.72927999999999926</v>
      </c>
      <c r="N91" s="3">
        <v>0.3233700000000006</v>
      </c>
      <c r="O91" s="13">
        <v>2.5917483250041222</v>
      </c>
      <c r="P91" s="13">
        <v>-3.985230371277159E-2</v>
      </c>
      <c r="Q91" s="13">
        <v>-9.6845206716864481E-3</v>
      </c>
      <c r="R91">
        <v>0.7726821472782095</v>
      </c>
      <c r="S91">
        <v>21878.655000000002</v>
      </c>
    </row>
    <row r="92" spans="1:19" x14ac:dyDescent="0.25">
      <c r="A92" s="3">
        <v>1.2376625032189E+18</v>
      </c>
      <c r="B92" s="3">
        <v>236.25632999999999</v>
      </c>
      <c r="C92" s="3">
        <v>35.971592999999999</v>
      </c>
      <c r="D92" s="3">
        <v>7.3039900000000005E-2</v>
      </c>
      <c r="E92" s="3">
        <v>1.8752199999999988</v>
      </c>
      <c r="F92" s="3">
        <v>2.7383799999999994</v>
      </c>
      <c r="G92" s="3">
        <v>3.1311399999999985</v>
      </c>
      <c r="H92" s="3">
        <v>3.4303999999999988</v>
      </c>
      <c r="I92" s="3">
        <v>0.86316000000000059</v>
      </c>
      <c r="J92" s="3">
        <v>1.2559199999999997</v>
      </c>
      <c r="K92" s="3">
        <v>1.55518</v>
      </c>
      <c r="L92" s="3">
        <v>0.39275999999999911</v>
      </c>
      <c r="M92" s="3">
        <v>0.69201999999999941</v>
      </c>
      <c r="N92" s="3">
        <v>0.2992600000000003</v>
      </c>
      <c r="O92" s="13">
        <v>2.601115235345167</v>
      </c>
      <c r="P92" s="13">
        <v>-0.36695572164421242</v>
      </c>
      <c r="Q92" s="13">
        <v>-0.11484218217936813</v>
      </c>
      <c r="R92">
        <v>0.74536422000131974</v>
      </c>
      <c r="S92">
        <v>21911.97</v>
      </c>
    </row>
    <row r="93" spans="1:19" x14ac:dyDescent="0.25">
      <c r="A93" s="3">
        <v>1.23766247315439E+18</v>
      </c>
      <c r="B93" s="3">
        <v>236.78066000000001</v>
      </c>
      <c r="C93" s="3">
        <v>35.613542000000002</v>
      </c>
      <c r="D93" s="3">
        <v>7.661917E-2</v>
      </c>
      <c r="E93" s="3">
        <v>1.5633200000000009</v>
      </c>
      <c r="F93" s="3">
        <v>2.3697400000000002</v>
      </c>
      <c r="G93" s="3">
        <v>2.7716799999999999</v>
      </c>
      <c r="H93" s="3">
        <v>3.0207000000000015</v>
      </c>
      <c r="I93" s="3">
        <v>0.80641999999999925</v>
      </c>
      <c r="J93" s="3">
        <v>1.208359999999999</v>
      </c>
      <c r="K93" s="3">
        <v>1.4573800000000006</v>
      </c>
      <c r="L93" s="3">
        <v>0.40193999999999974</v>
      </c>
      <c r="M93" s="3">
        <v>0.65096000000000132</v>
      </c>
      <c r="N93" s="3">
        <v>0.24902000000000157</v>
      </c>
      <c r="O93" s="13">
        <v>2.9807402096702518</v>
      </c>
      <c r="P93" s="13">
        <v>-2.8919685913354302E-2</v>
      </c>
      <c r="Q93" s="13">
        <v>8.2440504071245382E-2</v>
      </c>
      <c r="R93">
        <v>3.554043918311776</v>
      </c>
      <c r="S93">
        <v>22985.751</v>
      </c>
    </row>
    <row r="94" spans="1:19" x14ac:dyDescent="0.25">
      <c r="A94" s="3">
        <v>1.2376625037556401E+18</v>
      </c>
      <c r="B94" s="3">
        <v>236.34941000000001</v>
      </c>
      <c r="C94" s="3">
        <v>36.446942999999997</v>
      </c>
      <c r="D94" s="3">
        <v>7.7082109999999995E-2</v>
      </c>
      <c r="E94" s="3">
        <v>1.9877000000000002</v>
      </c>
      <c r="F94" s="3">
        <v>2.8009000000000022</v>
      </c>
      <c r="G94" s="3">
        <v>3.1931700000000021</v>
      </c>
      <c r="H94" s="3">
        <v>3.4911800000000017</v>
      </c>
      <c r="I94" s="3">
        <v>0.81320000000000192</v>
      </c>
      <c r="J94" s="3">
        <v>1.2054700000000018</v>
      </c>
      <c r="K94" s="3">
        <v>1.5034800000000015</v>
      </c>
      <c r="L94" s="3">
        <v>0.3922699999999999</v>
      </c>
      <c r="M94" s="3">
        <v>0.69027999999999956</v>
      </c>
      <c r="N94" s="3">
        <v>0.29800999999999966</v>
      </c>
      <c r="O94" s="13">
        <v>2.5726607146769114</v>
      </c>
      <c r="P94" s="13">
        <v>-0.36935149095757219</v>
      </c>
      <c r="Q94" s="13">
        <v>1.298982826719008</v>
      </c>
      <c r="R94">
        <v>1.8759963119869909</v>
      </c>
      <c r="S94">
        <v>23124.632999999998</v>
      </c>
    </row>
    <row r="95" spans="1:19" x14ac:dyDescent="0.25">
      <c r="A95" s="3">
        <v>1.2376614659862001E+18</v>
      </c>
      <c r="B95" s="3">
        <v>236.04667000000001</v>
      </c>
      <c r="C95" s="3">
        <v>35.737752999999998</v>
      </c>
      <c r="D95" s="3">
        <v>7.8103790000000006E-2</v>
      </c>
      <c r="E95" s="3">
        <v>1.7243200000000023</v>
      </c>
      <c r="F95" s="3">
        <v>2.6331700000000033</v>
      </c>
      <c r="G95" s="3">
        <v>3.0092300000000023</v>
      </c>
      <c r="H95" s="3">
        <v>3.3559300000000007</v>
      </c>
      <c r="I95" s="3">
        <v>0.90885000000000105</v>
      </c>
      <c r="J95" s="3">
        <v>1.28491</v>
      </c>
      <c r="K95" s="3">
        <v>1.6316099999999985</v>
      </c>
      <c r="L95" s="3">
        <v>0.37605999999999895</v>
      </c>
      <c r="M95" s="3">
        <v>0.7227599999999974</v>
      </c>
      <c r="N95" s="3">
        <v>0.34669999999999845</v>
      </c>
      <c r="O95" s="13">
        <v>2.5701045217612251</v>
      </c>
      <c r="P95" s="13">
        <v>-0.16584787870597945</v>
      </c>
      <c r="Q95" s="13">
        <v>-1.1589827333963172</v>
      </c>
      <c r="R95">
        <v>2.186874831001814</v>
      </c>
      <c r="S95">
        <v>23431.137000000002</v>
      </c>
    </row>
    <row r="96" spans="1:19" x14ac:dyDescent="0.25">
      <c r="A96" s="3">
        <v>1.2376624736910001E+18</v>
      </c>
      <c r="B96" s="3">
        <v>236.43274</v>
      </c>
      <c r="C96" s="3">
        <v>36.196925999999998</v>
      </c>
      <c r="D96" s="3">
        <v>7.8127470000000004E-2</v>
      </c>
      <c r="E96" s="3">
        <v>1.9456500000000005</v>
      </c>
      <c r="F96" s="3">
        <v>2.8880900000000018</v>
      </c>
      <c r="G96" s="3">
        <v>3.3123300000000011</v>
      </c>
      <c r="H96" s="3">
        <v>3.6543400000000013</v>
      </c>
      <c r="I96" s="3">
        <v>0.94244000000000128</v>
      </c>
      <c r="J96" s="3">
        <v>1.3666800000000006</v>
      </c>
      <c r="K96" s="3">
        <v>1.7086900000000007</v>
      </c>
      <c r="L96" s="3">
        <v>0.42423999999999928</v>
      </c>
      <c r="M96" s="3">
        <v>0.76624999999999943</v>
      </c>
      <c r="N96" s="3">
        <v>0.34201000000000015</v>
      </c>
      <c r="O96" s="13">
        <v>2.1048290851614464</v>
      </c>
      <c r="P96" s="13">
        <v>-0.39214842495342705</v>
      </c>
      <c r="Q96" s="13">
        <v>0.80923988448121864</v>
      </c>
      <c r="R96">
        <v>0.94075725577220204</v>
      </c>
      <c r="S96">
        <v>23438.241000000002</v>
      </c>
    </row>
    <row r="97" spans="1:19" x14ac:dyDescent="0.25">
      <c r="A97" s="3">
        <v>1.2376625032189701E+18</v>
      </c>
      <c r="B97" s="3">
        <v>236.40135000000001</v>
      </c>
      <c r="C97" s="3">
        <v>35.955989000000002</v>
      </c>
      <c r="D97" s="3">
        <v>7.8679209999999999E-2</v>
      </c>
      <c r="E97" s="3">
        <v>1.91648</v>
      </c>
      <c r="F97" s="3">
        <v>2.85595</v>
      </c>
      <c r="G97" s="3">
        <v>3.2884199999999986</v>
      </c>
      <c r="H97" s="3">
        <v>3.6365399999999983</v>
      </c>
      <c r="I97" s="3">
        <v>0.93947000000000003</v>
      </c>
      <c r="J97" s="3">
        <v>1.3719399999999986</v>
      </c>
      <c r="K97" s="3">
        <v>1.7200599999999984</v>
      </c>
      <c r="L97" s="3">
        <v>0.43246999999999858</v>
      </c>
      <c r="M97" s="3">
        <v>0.78058999999999834</v>
      </c>
      <c r="N97" s="3">
        <v>0.34811999999999976</v>
      </c>
      <c r="O97" s="13">
        <v>2.1136739664493005</v>
      </c>
      <c r="P97" s="13">
        <v>-0.4018743256020782</v>
      </c>
      <c r="Q97" s="13">
        <v>0.13767390325994661</v>
      </c>
      <c r="R97">
        <v>1.0703534660276919</v>
      </c>
      <c r="S97">
        <v>23603.762999999999</v>
      </c>
    </row>
    <row r="98" spans="1:19" x14ac:dyDescent="0.25">
      <c r="A98" s="3">
        <v>1.2376625037558999E+18</v>
      </c>
      <c r="B98" s="3">
        <v>236.86503999999999</v>
      </c>
      <c r="C98" s="3">
        <v>36.109698000000002</v>
      </c>
      <c r="D98" s="3">
        <v>7.9126660000000001E-2</v>
      </c>
      <c r="E98" s="3">
        <v>1.7972000000000001</v>
      </c>
      <c r="F98" s="3">
        <v>2.6917100000000005</v>
      </c>
      <c r="G98" s="3">
        <v>3.0828699999999998</v>
      </c>
      <c r="H98" s="3">
        <v>3.3936999999999991</v>
      </c>
      <c r="I98" s="3">
        <v>0.89451000000000036</v>
      </c>
      <c r="J98" s="3">
        <v>1.2856699999999996</v>
      </c>
      <c r="K98" s="3">
        <v>1.5964999999999989</v>
      </c>
      <c r="L98" s="3">
        <v>0.39115999999999929</v>
      </c>
      <c r="M98" s="3">
        <v>0.70198999999999856</v>
      </c>
      <c r="N98" s="3">
        <v>0.31082999999999927</v>
      </c>
      <c r="O98" s="13">
        <v>2.4231959917341483</v>
      </c>
      <c r="P98" s="13">
        <v>-0.23316838820850794</v>
      </c>
      <c r="Q98" s="13">
        <v>1.5094683936508315</v>
      </c>
      <c r="R98">
        <v>2.6990114823628573</v>
      </c>
      <c r="S98">
        <v>23737.998</v>
      </c>
    </row>
    <row r="99" spans="1:19" x14ac:dyDescent="0.25">
      <c r="A99" s="3">
        <v>1.23766250321903E+18</v>
      </c>
      <c r="B99" s="3">
        <v>236.65884</v>
      </c>
      <c r="C99" s="3">
        <v>35.783759000000003</v>
      </c>
      <c r="D99" s="3">
        <v>7.9188430000000004E-2</v>
      </c>
      <c r="E99" s="3">
        <v>1.89283</v>
      </c>
      <c r="F99" s="3">
        <v>2.7773800000000008</v>
      </c>
      <c r="G99" s="3">
        <v>3.18919</v>
      </c>
      <c r="H99" s="3">
        <v>3.5195000000000007</v>
      </c>
      <c r="I99" s="3">
        <v>0.88455000000000084</v>
      </c>
      <c r="J99" s="3">
        <v>1.29636</v>
      </c>
      <c r="K99" s="3">
        <v>1.6266700000000007</v>
      </c>
      <c r="L99" s="3">
        <v>0.41180999999999912</v>
      </c>
      <c r="M99" s="3">
        <v>0.74211999999999989</v>
      </c>
      <c r="N99" s="3">
        <v>0.33031000000000077</v>
      </c>
      <c r="O99" s="13">
        <v>2.3258819494204017</v>
      </c>
      <c r="P99" s="13">
        <v>-0.42649969984756964</v>
      </c>
      <c r="Q99" s="13">
        <v>0.2668620203359876</v>
      </c>
      <c r="R99">
        <v>2.5184981384345777</v>
      </c>
      <c r="S99">
        <v>23756.529000000002</v>
      </c>
    </row>
    <row r="100" spans="1:19" x14ac:dyDescent="0.25">
      <c r="A100" s="3">
        <v>1.23766250321903E+18</v>
      </c>
      <c r="B100" s="3">
        <v>236.62267</v>
      </c>
      <c r="C100" s="3">
        <v>35.791443000000001</v>
      </c>
      <c r="D100" s="3">
        <v>7.9249940000000005E-2</v>
      </c>
      <c r="E100" s="3">
        <v>1.9754900000000006</v>
      </c>
      <c r="F100" s="3">
        <v>2.9167500000000004</v>
      </c>
      <c r="G100" s="3">
        <v>3.3417000000000012</v>
      </c>
      <c r="H100" s="3">
        <v>3.6707400000000021</v>
      </c>
      <c r="I100" s="3">
        <v>0.94125999999999976</v>
      </c>
      <c r="J100" s="3">
        <v>1.3662100000000006</v>
      </c>
      <c r="K100" s="3">
        <v>1.6952500000000015</v>
      </c>
      <c r="L100" s="3">
        <v>0.42495000000000083</v>
      </c>
      <c r="M100" s="3">
        <v>0.75399000000000171</v>
      </c>
      <c r="N100" s="3">
        <v>0.32904000000000089</v>
      </c>
      <c r="O100" s="13">
        <v>2.1197622412705712</v>
      </c>
      <c r="P100" s="13">
        <v>-0.58463438620165742</v>
      </c>
      <c r="Q100" s="13">
        <v>0.1944481467277788</v>
      </c>
      <c r="R100">
        <v>2.3776894872294649</v>
      </c>
      <c r="S100">
        <v>23774.982</v>
      </c>
    </row>
    <row r="101" spans="1:19" x14ac:dyDescent="0.25">
      <c r="A101" s="3">
        <v>1.2376625032190999E+18</v>
      </c>
      <c r="B101" s="3">
        <v>236.73812000000001</v>
      </c>
      <c r="C101" s="3">
        <v>35.655124999999998</v>
      </c>
      <c r="D101" s="3">
        <v>7.9570520000000006E-2</v>
      </c>
      <c r="E101" s="3">
        <v>1.9329000000000001</v>
      </c>
      <c r="F101" s="3">
        <v>2.8248299999999986</v>
      </c>
      <c r="G101" s="3">
        <v>3.2573800000000013</v>
      </c>
      <c r="H101" s="3">
        <v>3.6179400000000008</v>
      </c>
      <c r="I101" s="3">
        <v>0.89192999999999856</v>
      </c>
      <c r="J101" s="3">
        <v>1.3244800000000012</v>
      </c>
      <c r="K101" s="3">
        <v>1.6850400000000008</v>
      </c>
      <c r="L101" s="3">
        <v>0.43255000000000265</v>
      </c>
      <c r="M101" s="3">
        <v>0.7931100000000022</v>
      </c>
      <c r="N101" s="3">
        <v>0.36055999999999955</v>
      </c>
      <c r="O101" s="13">
        <v>2.1261955266859109</v>
      </c>
      <c r="P101" s="13">
        <v>-0.48355280840293274</v>
      </c>
      <c r="Q101" s="13">
        <v>0.11761203335975501</v>
      </c>
      <c r="R101">
        <v>3.2622503573767587</v>
      </c>
      <c r="S101">
        <v>23871.156000000003</v>
      </c>
    </row>
    <row r="102" spans="1:19" x14ac:dyDescent="0.25">
      <c r="A102" s="3">
        <v>1.2376625032191601E+18</v>
      </c>
      <c r="B102" s="3">
        <v>236.79683</v>
      </c>
      <c r="C102" s="3">
        <v>35.660555000000002</v>
      </c>
      <c r="D102" s="3">
        <v>8.0674369999999995E-2</v>
      </c>
      <c r="E102" s="3">
        <v>1.90137</v>
      </c>
      <c r="F102" s="3">
        <v>2.8122700000000016</v>
      </c>
      <c r="G102" s="3">
        <v>3.22926</v>
      </c>
      <c r="H102" s="3">
        <v>3.5687700000000007</v>
      </c>
      <c r="I102" s="3">
        <v>0.9109000000000016</v>
      </c>
      <c r="J102" s="3">
        <v>1.32789</v>
      </c>
      <c r="K102" s="3">
        <v>1.6674000000000007</v>
      </c>
      <c r="L102" s="3">
        <v>0.41698999999999842</v>
      </c>
      <c r="M102" s="3">
        <v>0.75649999999999906</v>
      </c>
      <c r="N102" s="3">
        <v>0.33951000000000064</v>
      </c>
      <c r="O102" s="13">
        <v>2.2036050555273095</v>
      </c>
      <c r="P102" s="13">
        <v>-0.48474583977425673</v>
      </c>
      <c r="Q102" s="13">
        <v>0.24393017579574378</v>
      </c>
      <c r="R102">
        <v>3.4161113444507643</v>
      </c>
      <c r="S102">
        <v>24202.310999999998</v>
      </c>
    </row>
    <row r="103" spans="1:19" x14ac:dyDescent="0.25">
      <c r="A103" s="3">
        <v>1.2376614659859999E+18</v>
      </c>
      <c r="B103" s="3">
        <v>235.72713999999999</v>
      </c>
      <c r="C103" s="3">
        <v>36.146338999999998</v>
      </c>
      <c r="D103" s="3">
        <v>0.15704850000000001</v>
      </c>
      <c r="E103" s="3">
        <v>1.6416000000000004</v>
      </c>
      <c r="F103" s="3">
        <v>2.4710199999999993</v>
      </c>
      <c r="G103" s="3">
        <v>2.8034800000000004</v>
      </c>
      <c r="H103" s="3">
        <v>3.0456800000000008</v>
      </c>
      <c r="I103" s="3">
        <v>0.82941999999999894</v>
      </c>
      <c r="J103" s="3">
        <v>1.16188</v>
      </c>
      <c r="K103" s="3">
        <v>1.4040800000000004</v>
      </c>
      <c r="L103" s="3">
        <v>0.33246000000000109</v>
      </c>
      <c r="M103" s="3">
        <v>0.5746600000000015</v>
      </c>
      <c r="N103" s="3">
        <v>0.24220000000000041</v>
      </c>
      <c r="O103" s="13">
        <v>3.1614516365082106</v>
      </c>
      <c r="P103" s="13">
        <v>4.8645702214071725E-2</v>
      </c>
      <c r="Q103" s="13">
        <v>-0.81831999349029416</v>
      </c>
      <c r="R103">
        <v>2.2702633156458782</v>
      </c>
      <c r="S103">
        <v>47114.55</v>
      </c>
    </row>
  </sheetData>
  <sortState xmlns:xlrd2="http://schemas.microsoft.com/office/spreadsheetml/2017/richdata2" ref="A2:S103">
    <sortCondition ref="S1:S103"/>
  </sortState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07AF-90F8-4616-BB91-B6298FAF6B20}">
  <dimension ref="A1:AF100"/>
  <sheetViews>
    <sheetView zoomScale="70" zoomScaleNormal="70" workbookViewId="0">
      <selection activeCell="B1" sqref="B1:D1048576"/>
    </sheetView>
  </sheetViews>
  <sheetFormatPr defaultRowHeight="15" x14ac:dyDescent="0.25"/>
  <cols>
    <col min="5" max="14" width="9.140625" style="3"/>
  </cols>
  <sheetData>
    <row r="1" spans="1:32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7" t="s">
        <v>22</v>
      </c>
      <c r="P1" s="7" t="s">
        <v>23</v>
      </c>
      <c r="Q1" s="7" t="s">
        <v>24</v>
      </c>
      <c r="R1" t="s">
        <v>65</v>
      </c>
      <c r="S1" t="s">
        <v>66</v>
      </c>
      <c r="AD1" s="11"/>
      <c r="AE1" s="7"/>
      <c r="AF1" s="7"/>
    </row>
    <row r="2" spans="1:32" x14ac:dyDescent="0.25">
      <c r="A2" s="3">
        <v>1.2376625032188301E+18</v>
      </c>
      <c r="B2" s="3">
        <v>236.24143000000001</v>
      </c>
      <c r="C2" s="3">
        <v>36.068829999999998</v>
      </c>
      <c r="D2" s="3">
        <v>5.9998900000000001E-2</v>
      </c>
      <c r="E2" s="3">
        <v>1.8834099999999978</v>
      </c>
      <c r="F2" s="3">
        <v>2.7687799999999996</v>
      </c>
      <c r="G2" s="3">
        <v>3.1812699999999978</v>
      </c>
      <c r="H2" s="3">
        <v>3.5261399999999981</v>
      </c>
      <c r="I2" s="3">
        <v>0.88537000000000177</v>
      </c>
      <c r="J2" s="3">
        <v>1.29786</v>
      </c>
      <c r="K2" s="3">
        <v>1.6427300000000002</v>
      </c>
      <c r="L2" s="3">
        <v>0.41248999999999825</v>
      </c>
      <c r="M2" s="3">
        <v>0.75735999999999848</v>
      </c>
      <c r="N2" s="3">
        <v>0.34487000000000023</v>
      </c>
      <c r="O2" s="13">
        <v>2.3653091879236467</v>
      </c>
      <c r="P2" s="13">
        <v>-0.30213224392654842</v>
      </c>
      <c r="Q2" s="13">
        <v>0.10034400172362466</v>
      </c>
      <c r="R2">
        <v>0.22015404537345615</v>
      </c>
      <c r="S2">
        <v>17999.670000000002</v>
      </c>
      <c r="AD2" s="12"/>
      <c r="AE2" s="19"/>
      <c r="AF2" s="13"/>
    </row>
    <row r="3" spans="1:32" x14ac:dyDescent="0.25">
      <c r="A3" s="3">
        <v>1.2376625032188301E+18</v>
      </c>
      <c r="B3" s="3">
        <v>236.261</v>
      </c>
      <c r="C3" s="3">
        <v>36.156339000000003</v>
      </c>
      <c r="D3" s="3">
        <v>6.0399269999999998E-2</v>
      </c>
      <c r="E3" s="3">
        <v>1.9595899999999986</v>
      </c>
      <c r="F3" s="3">
        <v>2.8495200000000001</v>
      </c>
      <c r="G3" s="3">
        <v>3.2759700000000009</v>
      </c>
      <c r="H3" s="3">
        <v>3.6084999999999994</v>
      </c>
      <c r="I3" s="3">
        <v>0.88993000000000144</v>
      </c>
      <c r="J3" s="3">
        <v>1.3163800000000023</v>
      </c>
      <c r="K3" s="3">
        <v>1.6489100000000008</v>
      </c>
      <c r="L3" s="3">
        <v>0.42645000000000088</v>
      </c>
      <c r="M3" s="3">
        <v>0.75897999999999932</v>
      </c>
      <c r="N3" s="3">
        <v>0.33252999999999844</v>
      </c>
      <c r="O3" s="13">
        <v>2.2866507345160723</v>
      </c>
      <c r="P3" s="13">
        <v>-0.40687430484357295</v>
      </c>
      <c r="Q3" s="13">
        <v>0.36049119495245641</v>
      </c>
      <c r="R3">
        <v>0.26131339745760657</v>
      </c>
      <c r="S3">
        <v>18119.780999999999</v>
      </c>
      <c r="AD3" s="12"/>
      <c r="AE3" s="13"/>
      <c r="AF3" s="19"/>
    </row>
    <row r="4" spans="1:32" x14ac:dyDescent="0.25">
      <c r="A4" s="3">
        <v>1.2376625032188301E+18</v>
      </c>
      <c r="B4" s="3">
        <v>236.22997000000001</v>
      </c>
      <c r="C4" s="3">
        <v>36.067765000000001</v>
      </c>
      <c r="D4" s="3">
        <v>6.1005700000000003E-2</v>
      </c>
      <c r="E4" s="3">
        <v>1.8941200000000009</v>
      </c>
      <c r="F4" s="3">
        <v>2.8054799999999993</v>
      </c>
      <c r="G4" s="3">
        <v>3.2270699999999994</v>
      </c>
      <c r="H4" s="3">
        <v>3.5662599999999998</v>
      </c>
      <c r="I4" s="3">
        <v>0.91135999999999839</v>
      </c>
      <c r="J4" s="3">
        <v>1.3329499999999985</v>
      </c>
      <c r="K4" s="3">
        <v>1.6721399999999988</v>
      </c>
      <c r="L4" s="3">
        <v>0.42159000000000013</v>
      </c>
      <c r="M4" s="3">
        <v>0.76078000000000046</v>
      </c>
      <c r="N4" s="3">
        <v>0.33919000000000032</v>
      </c>
      <c r="O4" s="13">
        <v>2.2933588079738962</v>
      </c>
      <c r="P4" s="13">
        <v>-0.33777946619139448</v>
      </c>
      <c r="Q4" s="13">
        <v>6.2844914931847878E-2</v>
      </c>
      <c r="R4">
        <v>0.23558856001464887</v>
      </c>
      <c r="S4">
        <v>18301.71</v>
      </c>
      <c r="AD4" s="12"/>
      <c r="AE4" s="19"/>
      <c r="AF4" s="13"/>
    </row>
    <row r="5" spans="1:32" x14ac:dyDescent="0.25">
      <c r="A5" s="3">
        <v>1.2376625032188301E+18</v>
      </c>
      <c r="B5" s="3">
        <v>236.22997000000001</v>
      </c>
      <c r="C5" s="3">
        <v>36.067765000000001</v>
      </c>
      <c r="D5" s="3">
        <v>6.1044439999999998E-2</v>
      </c>
      <c r="E5" s="3">
        <v>1.8941200000000009</v>
      </c>
      <c r="F5" s="3">
        <v>2.8054799999999993</v>
      </c>
      <c r="G5" s="3">
        <v>3.2270699999999994</v>
      </c>
      <c r="H5" s="3">
        <v>3.5662599999999998</v>
      </c>
      <c r="I5" s="3">
        <v>0.91135999999999839</v>
      </c>
      <c r="J5" s="3">
        <v>1.3329499999999985</v>
      </c>
      <c r="K5" s="3">
        <v>1.6721399999999988</v>
      </c>
      <c r="L5" s="3">
        <v>0.42159000000000013</v>
      </c>
      <c r="M5" s="3">
        <v>0.76078000000000046</v>
      </c>
      <c r="N5" s="3">
        <v>0.33919000000000032</v>
      </c>
      <c r="O5" s="13">
        <v>2.2933095417725475</v>
      </c>
      <c r="P5" s="13">
        <v>-0.3377507777167903</v>
      </c>
      <c r="Q5" s="13">
        <v>6.284164254013902E-2</v>
      </c>
      <c r="R5">
        <v>0.23558856001464887</v>
      </c>
      <c r="S5">
        <v>18313.331999999999</v>
      </c>
      <c r="AD5" s="12"/>
      <c r="AE5" s="20"/>
      <c r="AF5" s="19"/>
    </row>
    <row r="6" spans="1:32" x14ac:dyDescent="0.25">
      <c r="A6" s="3">
        <v>1.2376624736909299E+18</v>
      </c>
      <c r="B6" s="3">
        <v>236.38212999999999</v>
      </c>
      <c r="C6" s="3">
        <v>36.217623000000003</v>
      </c>
      <c r="D6" s="3">
        <v>6.1346039999999998E-2</v>
      </c>
      <c r="E6" s="3">
        <v>1.8663600000000002</v>
      </c>
      <c r="F6" s="3">
        <v>2.7294100000000014</v>
      </c>
      <c r="G6" s="3">
        <v>3.1420200000000005</v>
      </c>
      <c r="H6" s="3">
        <v>3.4600000000000009</v>
      </c>
      <c r="I6" s="3">
        <v>0.86305000000000121</v>
      </c>
      <c r="J6" s="3">
        <v>1.2756600000000002</v>
      </c>
      <c r="K6" s="3">
        <v>1.5936400000000006</v>
      </c>
      <c r="L6" s="3">
        <v>0.41260999999999903</v>
      </c>
      <c r="M6" s="3">
        <v>0.73058999999999941</v>
      </c>
      <c r="N6" s="3">
        <v>0.31798000000000037</v>
      </c>
      <c r="O6" s="13">
        <v>2.4624571100378403</v>
      </c>
      <c r="P6" s="13">
        <v>-0.25638525942696572</v>
      </c>
      <c r="Q6" s="13">
        <v>0.7715709924458598</v>
      </c>
      <c r="R6">
        <v>0.83220075131863647</v>
      </c>
      <c r="S6">
        <v>18403.811999999998</v>
      </c>
      <c r="AD6" s="12"/>
      <c r="AE6" s="13"/>
      <c r="AF6" s="19"/>
    </row>
    <row r="7" spans="1:32" x14ac:dyDescent="0.25">
      <c r="A7" s="3">
        <v>1.2376625032188301E+18</v>
      </c>
      <c r="B7" s="3">
        <v>236.16559000000001</v>
      </c>
      <c r="C7" s="3">
        <v>36.137926</v>
      </c>
      <c r="D7" s="3">
        <v>6.1555510000000001E-2</v>
      </c>
      <c r="E7" s="3">
        <v>1.8344699999999996</v>
      </c>
      <c r="F7" s="3">
        <v>2.6386600000000016</v>
      </c>
      <c r="G7" s="3">
        <v>2.9953800000000008</v>
      </c>
      <c r="H7" s="3">
        <v>3.2629599999999996</v>
      </c>
      <c r="I7" s="3">
        <v>0.80419000000000196</v>
      </c>
      <c r="J7" s="3">
        <v>1.1609100000000012</v>
      </c>
      <c r="K7" s="3">
        <v>1.42849</v>
      </c>
      <c r="L7" s="3">
        <v>0.35671999999999926</v>
      </c>
      <c r="M7" s="3">
        <v>0.62429999999999808</v>
      </c>
      <c r="N7" s="3">
        <v>0.26757999999999882</v>
      </c>
      <c r="O7" s="13">
        <v>2.9739891488282901</v>
      </c>
      <c r="P7" s="13">
        <v>-0.28110182461999361</v>
      </c>
      <c r="Q7" s="13">
        <v>0.12431253778019076</v>
      </c>
      <c r="R7">
        <v>0.38260971162358987</v>
      </c>
      <c r="S7">
        <v>18466.652999999998</v>
      </c>
      <c r="AD7" s="12"/>
      <c r="AE7" s="13"/>
      <c r="AF7" s="19"/>
    </row>
    <row r="8" spans="1:32" x14ac:dyDescent="0.25">
      <c r="A8" s="3">
        <v>1.2376625032188301E+18</v>
      </c>
      <c r="B8" s="3">
        <v>236.19077999999999</v>
      </c>
      <c r="C8" s="3">
        <v>36.079214999999998</v>
      </c>
      <c r="D8" s="3">
        <v>6.2184040000000003E-2</v>
      </c>
      <c r="E8" s="3">
        <v>1.78613</v>
      </c>
      <c r="F8" s="3">
        <v>2.6250800000000005</v>
      </c>
      <c r="G8" s="3">
        <v>3.0429499999999976</v>
      </c>
      <c r="H8" s="3">
        <v>3.3318899999999978</v>
      </c>
      <c r="I8" s="3">
        <v>0.83895000000000053</v>
      </c>
      <c r="J8" s="3">
        <v>1.2568199999999976</v>
      </c>
      <c r="K8" s="3">
        <v>1.5457599999999978</v>
      </c>
      <c r="L8" s="3">
        <v>0.41786999999999708</v>
      </c>
      <c r="M8" s="3">
        <v>0.70680999999999727</v>
      </c>
      <c r="N8" s="3">
        <v>0.2889400000000002</v>
      </c>
      <c r="O8" s="13">
        <v>2.6853354667699305</v>
      </c>
      <c r="P8" s="13">
        <v>-0.18180458448725464</v>
      </c>
      <c r="Q8" s="13">
        <v>1.2917645964464897E-2</v>
      </c>
      <c r="R8">
        <v>0.2908235029830723</v>
      </c>
      <c r="S8">
        <v>18655.212</v>
      </c>
      <c r="AD8" s="12"/>
      <c r="AE8" s="13"/>
      <c r="AF8" s="19"/>
    </row>
    <row r="9" spans="1:32" x14ac:dyDescent="0.25">
      <c r="A9" s="3">
        <v>1.2376625032188301E+18</v>
      </c>
      <c r="B9" s="3">
        <v>236.18645000000001</v>
      </c>
      <c r="C9" s="3">
        <v>36.129855999999997</v>
      </c>
      <c r="D9" s="3">
        <v>6.2794680000000005E-2</v>
      </c>
      <c r="E9" s="3">
        <v>1.97194</v>
      </c>
      <c r="F9" s="3">
        <v>2.8778699999999997</v>
      </c>
      <c r="G9" s="3">
        <v>3.305769999999999</v>
      </c>
      <c r="H9" s="3">
        <v>3.6497499999999992</v>
      </c>
      <c r="I9" s="3">
        <v>0.90592999999999968</v>
      </c>
      <c r="J9" s="3">
        <v>1.333829999999999</v>
      </c>
      <c r="K9" s="3">
        <v>1.6778099999999991</v>
      </c>
      <c r="L9" s="3">
        <v>0.42789999999999928</v>
      </c>
      <c r="M9" s="3">
        <v>0.77187999999999946</v>
      </c>
      <c r="N9" s="3">
        <v>0.34398000000000017</v>
      </c>
      <c r="O9" s="13">
        <v>2.2194442398780012</v>
      </c>
      <c r="P9" s="13">
        <v>-0.42391793151961432</v>
      </c>
      <c r="Q9" s="13">
        <v>0.13385867423925782</v>
      </c>
      <c r="R9">
        <v>0.28187978597371338</v>
      </c>
      <c r="S9">
        <v>18838.404000000002</v>
      </c>
      <c r="AD9" s="12"/>
      <c r="AE9" s="19"/>
      <c r="AF9" s="13"/>
    </row>
    <row r="10" spans="1:32" x14ac:dyDescent="0.25">
      <c r="A10" s="3">
        <v>1.2376625032188301E+18</v>
      </c>
      <c r="B10" s="3">
        <v>236.09998999999999</v>
      </c>
      <c r="C10" s="3">
        <v>36.135241000000001</v>
      </c>
      <c r="D10" s="3">
        <v>6.2827939999999999E-2</v>
      </c>
      <c r="E10" s="3">
        <v>1.7394600000000011</v>
      </c>
      <c r="F10" s="3">
        <v>2.538920000000001</v>
      </c>
      <c r="G10" s="3">
        <v>2.9246900000000018</v>
      </c>
      <c r="H10" s="3">
        <v>3.1541500000000013</v>
      </c>
      <c r="I10" s="3">
        <v>0.79945999999999984</v>
      </c>
      <c r="J10" s="3">
        <v>1.1852300000000007</v>
      </c>
      <c r="K10" s="3">
        <v>1.4146900000000002</v>
      </c>
      <c r="L10" s="3">
        <v>0.38577000000000083</v>
      </c>
      <c r="M10" s="3">
        <v>0.61523000000000039</v>
      </c>
      <c r="N10" s="3">
        <v>0.22945999999999955</v>
      </c>
      <c r="O10" s="13">
        <v>3.0852717508477112</v>
      </c>
      <c r="P10" s="13">
        <v>-0.15872726911608998</v>
      </c>
      <c r="Q10" s="13">
        <v>-3.9907715342833543E-2</v>
      </c>
      <c r="R10">
        <v>0.65140788870012079</v>
      </c>
      <c r="S10">
        <v>18848.382000000001</v>
      </c>
      <c r="AD10" s="12"/>
      <c r="AE10" s="19"/>
      <c r="AF10" s="13"/>
    </row>
    <row r="11" spans="1:32" x14ac:dyDescent="0.25">
      <c r="A11" s="3">
        <v>1.2376625032188301E+18</v>
      </c>
      <c r="B11" s="3">
        <v>236.25030000000001</v>
      </c>
      <c r="C11" s="3">
        <v>36.110351000000001</v>
      </c>
      <c r="D11" s="3">
        <v>6.2856140000000005E-2</v>
      </c>
      <c r="E11" s="3">
        <v>1.8698399999999999</v>
      </c>
      <c r="F11" s="3">
        <v>2.7921600000000026</v>
      </c>
      <c r="G11" s="3">
        <v>3.2268800000000013</v>
      </c>
      <c r="H11" s="3">
        <v>3.6159000000000017</v>
      </c>
      <c r="I11" s="3">
        <v>0.92232000000000269</v>
      </c>
      <c r="J11" s="3">
        <v>1.3570400000000014</v>
      </c>
      <c r="K11" s="3">
        <v>1.7460600000000017</v>
      </c>
      <c r="L11" s="3">
        <v>0.43471999999999866</v>
      </c>
      <c r="M11" s="3">
        <v>0.82373999999999903</v>
      </c>
      <c r="N11" s="3">
        <v>0.38902000000000037</v>
      </c>
      <c r="O11" s="13">
        <v>2.089841090413485</v>
      </c>
      <c r="P11" s="13">
        <v>-0.21975287587036685</v>
      </c>
      <c r="Q11" s="13">
        <v>0.21773418732043009</v>
      </c>
      <c r="R11">
        <v>1.9438117359621504E-2</v>
      </c>
      <c r="S11">
        <v>18856.842000000001</v>
      </c>
      <c r="AD11" s="12"/>
      <c r="AE11" s="19"/>
      <c r="AF11" s="13"/>
    </row>
    <row r="12" spans="1:32" x14ac:dyDescent="0.25">
      <c r="A12" s="3">
        <v>1.2376624731541299E+18</v>
      </c>
      <c r="B12" s="3">
        <v>236.19515000000001</v>
      </c>
      <c r="C12" s="3">
        <v>35.950268000000001</v>
      </c>
      <c r="D12" s="3">
        <v>6.2868919999999995E-2</v>
      </c>
      <c r="E12" s="3">
        <v>2.010110000000001</v>
      </c>
      <c r="F12" s="3">
        <v>2.8955500000000018</v>
      </c>
      <c r="G12" s="3">
        <v>3.3125600000000013</v>
      </c>
      <c r="H12" s="3">
        <v>3.6143100000000015</v>
      </c>
      <c r="I12" s="3">
        <v>0.88544000000000089</v>
      </c>
      <c r="J12" s="3">
        <v>1.3024500000000003</v>
      </c>
      <c r="K12" s="3">
        <v>1.6042000000000005</v>
      </c>
      <c r="L12" s="3">
        <v>0.41700999999999944</v>
      </c>
      <c r="M12" s="3">
        <v>0.71875999999999962</v>
      </c>
      <c r="N12" s="3">
        <v>0.30175000000000018</v>
      </c>
      <c r="O12" s="13">
        <v>2.40799142607933</v>
      </c>
      <c r="P12" s="13">
        <v>-0.58682915403248903</v>
      </c>
      <c r="Q12" s="13">
        <v>-0.2974534768634175</v>
      </c>
      <c r="R12">
        <v>0.88725364995904443</v>
      </c>
      <c r="S12">
        <v>18860.675999999999</v>
      </c>
      <c r="AD12" s="12"/>
      <c r="AE12" s="19"/>
      <c r="AF12" s="13"/>
    </row>
    <row r="13" spans="1:32" x14ac:dyDescent="0.25">
      <c r="A13" s="3">
        <v>1.2376625032188301E+18</v>
      </c>
      <c r="B13" s="3">
        <v>236.24133</v>
      </c>
      <c r="C13" s="3">
        <v>36.188203000000001</v>
      </c>
      <c r="D13" s="3">
        <v>6.3321730000000007E-2</v>
      </c>
      <c r="E13" s="3">
        <v>1.8223300000000009</v>
      </c>
      <c r="F13" s="3">
        <v>2.6678800000000003</v>
      </c>
      <c r="G13" s="3">
        <v>3.0645300000000013</v>
      </c>
      <c r="H13" s="3">
        <v>3.3540000000000028</v>
      </c>
      <c r="I13" s="3">
        <v>0.84554999999999936</v>
      </c>
      <c r="J13" s="3">
        <v>1.2422000000000004</v>
      </c>
      <c r="K13" s="3">
        <v>1.5316700000000019</v>
      </c>
      <c r="L13" s="3">
        <v>0.39665000000000106</v>
      </c>
      <c r="M13" s="3">
        <v>0.68612000000000251</v>
      </c>
      <c r="N13" s="3">
        <v>0.28947000000000145</v>
      </c>
      <c r="O13" s="13">
        <v>2.6887481626382481</v>
      </c>
      <c r="P13" s="13">
        <v>-0.22397559012051199</v>
      </c>
      <c r="Q13" s="13">
        <v>0.3966100173059306</v>
      </c>
      <c r="R13">
        <v>0.42541627063118193</v>
      </c>
      <c r="S13">
        <v>18996.519</v>
      </c>
      <c r="AD13" s="12"/>
      <c r="AE13" s="19"/>
      <c r="AF13" s="13"/>
    </row>
    <row r="14" spans="1:32" x14ac:dyDescent="0.25">
      <c r="A14" s="3">
        <v>1.2376625032188301E+18</v>
      </c>
      <c r="B14" s="3">
        <v>236.23274000000001</v>
      </c>
      <c r="C14" s="3">
        <v>36.138508000000002</v>
      </c>
      <c r="D14" s="3">
        <v>6.3713649999999997E-2</v>
      </c>
      <c r="E14" s="3">
        <v>1.9234699999999982</v>
      </c>
      <c r="F14" s="3">
        <v>2.7790199999999992</v>
      </c>
      <c r="G14" s="3">
        <v>3.1644199999999998</v>
      </c>
      <c r="H14" s="3">
        <v>3.4677199999999981</v>
      </c>
      <c r="I14" s="3">
        <v>0.85555000000000092</v>
      </c>
      <c r="J14" s="3">
        <v>1.2409500000000016</v>
      </c>
      <c r="K14" s="3">
        <v>1.5442499999999999</v>
      </c>
      <c r="L14" s="3">
        <v>0.38540000000000063</v>
      </c>
      <c r="M14" s="3">
        <v>0.68869999999999898</v>
      </c>
      <c r="N14" s="3">
        <v>0.30329999999999835</v>
      </c>
      <c r="O14" s="13">
        <v>2.5968655320135676</v>
      </c>
      <c r="P14" s="13">
        <v>-0.39216378504994837</v>
      </c>
      <c r="Q14" s="13">
        <v>0.26243286415012418</v>
      </c>
      <c r="R14">
        <v>0.16704270716479927</v>
      </c>
      <c r="S14">
        <v>19114.094999999998</v>
      </c>
      <c r="AD14" s="12"/>
      <c r="AE14" s="19"/>
      <c r="AF14" s="13"/>
    </row>
    <row r="15" spans="1:32" x14ac:dyDescent="0.25">
      <c r="A15" s="3">
        <v>1.2376625032188301E+18</v>
      </c>
      <c r="B15" s="3">
        <v>236.09188</v>
      </c>
      <c r="C15" s="3">
        <v>36.105321000000004</v>
      </c>
      <c r="D15" s="3">
        <v>6.3836710000000005E-2</v>
      </c>
      <c r="E15" s="3">
        <v>1.899280000000001</v>
      </c>
      <c r="F15" s="3">
        <v>2.81325</v>
      </c>
      <c r="G15" s="3">
        <v>3.2392199999999995</v>
      </c>
      <c r="H15" s="3">
        <v>3.5721399999999992</v>
      </c>
      <c r="I15" s="3">
        <v>0.91396999999999906</v>
      </c>
      <c r="J15" s="3">
        <v>1.3399399999999986</v>
      </c>
      <c r="K15" s="3">
        <v>1.6728599999999982</v>
      </c>
      <c r="L15" s="3">
        <v>0.42596999999999952</v>
      </c>
      <c r="M15" s="3">
        <v>0.75888999999999918</v>
      </c>
      <c r="N15" s="3">
        <v>0.33291999999999966</v>
      </c>
      <c r="O15" s="13">
        <v>2.3092204891801731</v>
      </c>
      <c r="P15" s="13">
        <v>-0.33368336180664088</v>
      </c>
      <c r="Q15" s="13">
        <v>-0.13876749722496107</v>
      </c>
      <c r="R15">
        <v>0.67222844758922207</v>
      </c>
      <c r="S15">
        <v>19151.013000000003</v>
      </c>
    </row>
    <row r="16" spans="1:32" x14ac:dyDescent="0.25">
      <c r="A16" s="3">
        <v>1.2376625032189701E+18</v>
      </c>
      <c r="B16" s="3">
        <v>236.44991999999999</v>
      </c>
      <c r="C16" s="3">
        <v>35.928752000000003</v>
      </c>
      <c r="D16" s="3">
        <v>6.3864340000000006E-2</v>
      </c>
      <c r="E16" s="3">
        <v>1.6039500000000011</v>
      </c>
      <c r="F16" s="3">
        <v>2.4474100000000014</v>
      </c>
      <c r="G16" s="3">
        <v>2.8331000000000017</v>
      </c>
      <c r="H16" s="3">
        <v>3.1372299999999989</v>
      </c>
      <c r="I16" s="3">
        <v>0.84346000000000032</v>
      </c>
      <c r="J16" s="3">
        <v>1.2291500000000006</v>
      </c>
      <c r="K16" s="3">
        <v>1.5332799999999978</v>
      </c>
      <c r="L16" s="3">
        <v>0.38569000000000031</v>
      </c>
      <c r="M16" s="3">
        <v>0.68981999999999744</v>
      </c>
      <c r="N16" s="3">
        <v>0.30412999999999712</v>
      </c>
      <c r="O16" s="13">
        <v>2.8130105847932017</v>
      </c>
      <c r="P16" s="13">
        <v>4.5637759746505004E-2</v>
      </c>
      <c r="Q16" s="13">
        <v>0.17838771807504009</v>
      </c>
      <c r="R16">
        <v>1.3203669375508782</v>
      </c>
      <c r="S16">
        <v>19159.302000000003</v>
      </c>
    </row>
    <row r="17" spans="1:19" x14ac:dyDescent="0.25">
      <c r="A17" s="3">
        <v>1.2376625032187E+18</v>
      </c>
      <c r="B17" s="3">
        <v>235.8664</v>
      </c>
      <c r="C17" s="3">
        <v>36.370778000000001</v>
      </c>
      <c r="D17" s="3">
        <v>6.389388E-2</v>
      </c>
      <c r="E17" s="3">
        <v>2.009529999999998</v>
      </c>
      <c r="F17" s="3">
        <v>2.9230899999999984</v>
      </c>
      <c r="G17" s="3">
        <v>3.3683299999999985</v>
      </c>
      <c r="H17" s="3">
        <v>3.6771299999999982</v>
      </c>
      <c r="I17" s="3">
        <v>0.91356000000000037</v>
      </c>
      <c r="J17" s="3">
        <v>1.3588000000000005</v>
      </c>
      <c r="K17" s="3">
        <v>1.6676000000000002</v>
      </c>
      <c r="L17" s="3">
        <v>0.44524000000000008</v>
      </c>
      <c r="M17" s="3">
        <v>0.75403999999999982</v>
      </c>
      <c r="N17" s="3">
        <v>0.30879999999999974</v>
      </c>
      <c r="O17" s="13">
        <v>2.2688883672056397</v>
      </c>
      <c r="P17" s="13">
        <v>-0.43651925308435013</v>
      </c>
      <c r="Q17" s="13">
        <v>4.8347120218756548E-2</v>
      </c>
      <c r="R17">
        <v>2.1721595906559967</v>
      </c>
      <c r="S17">
        <v>19168.164000000001</v>
      </c>
    </row>
    <row r="18" spans="1:19" x14ac:dyDescent="0.25">
      <c r="A18" s="3">
        <v>1.2376625032188301E+18</v>
      </c>
      <c r="B18" s="3">
        <v>236.17264</v>
      </c>
      <c r="C18" s="3">
        <v>36.065449999999998</v>
      </c>
      <c r="D18" s="3">
        <v>6.3996040000000004E-2</v>
      </c>
      <c r="E18" s="3">
        <v>1.8203600000000009</v>
      </c>
      <c r="F18" s="3">
        <v>2.7034600000000015</v>
      </c>
      <c r="G18" s="3">
        <v>3.1217800000000011</v>
      </c>
      <c r="H18" s="3">
        <v>3.4220600000000001</v>
      </c>
      <c r="I18" s="3">
        <v>0.88310000000000066</v>
      </c>
      <c r="J18" s="3">
        <v>1.3014200000000002</v>
      </c>
      <c r="K18" s="3">
        <v>1.6016999999999992</v>
      </c>
      <c r="L18" s="3">
        <v>0.41831999999999958</v>
      </c>
      <c r="M18" s="3">
        <v>0.71859999999999857</v>
      </c>
      <c r="N18" s="3">
        <v>0.30027999999999899</v>
      </c>
      <c r="O18" s="13">
        <v>2.5358431041956262</v>
      </c>
      <c r="P18" s="13">
        <v>-0.25234372180782344</v>
      </c>
      <c r="Q18" s="13">
        <v>-6.9802960343348042E-2</v>
      </c>
      <c r="R18">
        <v>0.39837088446574259</v>
      </c>
      <c r="S18">
        <v>19198.812000000002</v>
      </c>
    </row>
    <row r="19" spans="1:19" x14ac:dyDescent="0.25">
      <c r="A19" s="3">
        <v>1.2376625032189E+18</v>
      </c>
      <c r="B19" s="3">
        <v>236.24023</v>
      </c>
      <c r="C19" s="3">
        <v>36.020007999999997</v>
      </c>
      <c r="D19" s="3">
        <v>6.4113870000000003E-2</v>
      </c>
      <c r="E19" s="3">
        <v>1.8020999999999994</v>
      </c>
      <c r="F19" s="3">
        <v>2.6651299999999978</v>
      </c>
      <c r="G19" s="3">
        <v>3.0672399999999982</v>
      </c>
      <c r="H19" s="3">
        <v>3.3648299999999978</v>
      </c>
      <c r="I19" s="3">
        <v>0.86302999999999841</v>
      </c>
      <c r="J19" s="3">
        <v>1.2651399999999988</v>
      </c>
      <c r="K19" s="3">
        <v>1.5627299999999984</v>
      </c>
      <c r="L19" s="3">
        <v>0.40211000000000041</v>
      </c>
      <c r="M19" s="3">
        <v>0.69969999999999999</v>
      </c>
      <c r="N19" s="3">
        <v>0.29758999999999958</v>
      </c>
      <c r="O19" s="13">
        <v>2.638369917179304</v>
      </c>
      <c r="P19" s="13">
        <v>-0.24005298365591637</v>
      </c>
      <c r="Q19" s="13">
        <v>-3.36133349157429E-2</v>
      </c>
      <c r="R19">
        <v>0.48337544186050574</v>
      </c>
      <c r="S19">
        <v>19234.161</v>
      </c>
    </row>
    <row r="20" spans="1:19" x14ac:dyDescent="0.25">
      <c r="A20" s="3">
        <v>1.2376614659862001E+18</v>
      </c>
      <c r="B20" s="3">
        <v>236.06752</v>
      </c>
      <c r="C20" s="3">
        <v>35.897171999999998</v>
      </c>
      <c r="D20" s="3">
        <v>6.4131209999999994E-2</v>
      </c>
      <c r="E20" s="3">
        <v>1.8261099999999999</v>
      </c>
      <c r="F20" s="3">
        <v>2.673099999999998</v>
      </c>
      <c r="G20" s="3">
        <v>3.0893699999999988</v>
      </c>
      <c r="H20" s="3">
        <v>3.3738299999999981</v>
      </c>
      <c r="I20" s="3">
        <v>0.84698999999999813</v>
      </c>
      <c r="J20" s="3">
        <v>1.2632599999999989</v>
      </c>
      <c r="K20" s="3">
        <v>1.5477199999999982</v>
      </c>
      <c r="L20" s="3">
        <v>0.41627000000000081</v>
      </c>
      <c r="M20" s="3">
        <v>0.70073000000000008</v>
      </c>
      <c r="N20" s="3">
        <v>0.28445999999999927</v>
      </c>
      <c r="O20" s="13">
        <v>2.6954267011666158</v>
      </c>
      <c r="P20" s="13">
        <v>-0.30465829181768767</v>
      </c>
      <c r="Q20" s="13">
        <v>-0.70603278846878992</v>
      </c>
      <c r="R20">
        <v>1.3854294406421264</v>
      </c>
      <c r="S20">
        <v>19239.362999999998</v>
      </c>
    </row>
    <row r="21" spans="1:19" x14ac:dyDescent="0.25">
      <c r="A21" s="3">
        <v>1.23766250321903E+18</v>
      </c>
      <c r="B21" s="3">
        <v>236.62189000000001</v>
      </c>
      <c r="C21" s="3">
        <v>35.936266000000003</v>
      </c>
      <c r="D21" s="3">
        <v>6.4283400000000004E-2</v>
      </c>
      <c r="E21" s="3">
        <v>1.97654</v>
      </c>
      <c r="F21" s="3">
        <v>2.9062100000000015</v>
      </c>
      <c r="G21" s="3">
        <v>3.3224100000000014</v>
      </c>
      <c r="H21" s="3">
        <v>3.6519399999999997</v>
      </c>
      <c r="I21" s="3">
        <v>0.92967000000000155</v>
      </c>
      <c r="J21" s="3">
        <v>1.3458700000000015</v>
      </c>
      <c r="K21" s="3">
        <v>1.6753999999999998</v>
      </c>
      <c r="L21" s="3">
        <v>0.4161999999999999</v>
      </c>
      <c r="M21" s="3">
        <v>0.74572999999999823</v>
      </c>
      <c r="N21" s="3">
        <v>0.32952999999999832</v>
      </c>
      <c r="O21" s="13">
        <v>2.1754942940344182</v>
      </c>
      <c r="P21" s="13">
        <v>-0.55051894305358373</v>
      </c>
      <c r="Q21" s="13">
        <v>0.56243444423812083</v>
      </c>
      <c r="R21">
        <v>1.8882414371741467</v>
      </c>
      <c r="S21">
        <v>19285.02</v>
      </c>
    </row>
    <row r="22" spans="1:19" x14ac:dyDescent="0.25">
      <c r="A22" s="3">
        <v>1.2376625032188301E+18</v>
      </c>
      <c r="B22" s="3">
        <v>236.10839000000001</v>
      </c>
      <c r="C22" s="3">
        <v>36.062103999999998</v>
      </c>
      <c r="D22" s="3">
        <v>6.4395629999999995E-2</v>
      </c>
      <c r="E22" s="3">
        <v>1.93309</v>
      </c>
      <c r="F22" s="3">
        <v>2.812660000000001</v>
      </c>
      <c r="G22" s="3">
        <v>3.2054500000000026</v>
      </c>
      <c r="H22" s="3">
        <v>3.503580000000003</v>
      </c>
      <c r="I22" s="3">
        <v>0.87957000000000107</v>
      </c>
      <c r="J22" s="3">
        <v>1.2723600000000026</v>
      </c>
      <c r="K22" s="3">
        <v>1.5704900000000031</v>
      </c>
      <c r="L22" s="3">
        <v>0.39279000000000153</v>
      </c>
      <c r="M22" s="3">
        <v>0.69092000000000198</v>
      </c>
      <c r="N22" s="3">
        <v>0.29813000000000045</v>
      </c>
      <c r="O22" s="13">
        <v>2.5617072571391519</v>
      </c>
      <c r="P22" s="13">
        <v>-0.44290918264571782</v>
      </c>
      <c r="Q22" s="13">
        <v>-0.20258886025326014</v>
      </c>
      <c r="R22">
        <v>0.65219400759343349</v>
      </c>
      <c r="S22">
        <v>19318.688999999998</v>
      </c>
    </row>
    <row r="23" spans="1:19" x14ac:dyDescent="0.25">
      <c r="A23" s="3">
        <v>1.2376625037556401E+18</v>
      </c>
      <c r="B23" s="3">
        <v>236.36396999999999</v>
      </c>
      <c r="C23" s="3">
        <v>36.529536</v>
      </c>
      <c r="D23" s="3">
        <v>6.4439060000000006E-2</v>
      </c>
      <c r="E23" s="3">
        <v>1.8131799999999991</v>
      </c>
      <c r="F23" s="3">
        <v>2.7027499999999982</v>
      </c>
      <c r="G23" s="3">
        <v>3.161699999999998</v>
      </c>
      <c r="H23" s="3">
        <v>3.5358699999999992</v>
      </c>
      <c r="I23" s="3">
        <v>0.88956999999999908</v>
      </c>
      <c r="J23" s="3">
        <v>1.3485199999999988</v>
      </c>
      <c r="K23" s="3">
        <v>1.7226900000000001</v>
      </c>
      <c r="L23" s="3">
        <v>0.45894999999999975</v>
      </c>
      <c r="M23" s="3">
        <v>0.83312000000000097</v>
      </c>
      <c r="N23" s="3">
        <v>0.37417000000000122</v>
      </c>
      <c r="O23" s="13">
        <v>2.1099812080079761</v>
      </c>
      <c r="P23" s="13">
        <v>8.6418246119975388E-3</v>
      </c>
      <c r="Q23" s="13">
        <v>1.5102774332238764</v>
      </c>
      <c r="R23">
        <v>2.3242920291904388</v>
      </c>
      <c r="S23">
        <v>19331.718000000001</v>
      </c>
    </row>
    <row r="24" spans="1:19" x14ac:dyDescent="0.25">
      <c r="A24" s="3">
        <v>1.23766247369087E+18</v>
      </c>
      <c r="B24" s="3">
        <v>236.31164999999999</v>
      </c>
      <c r="C24" s="3">
        <v>36.406641999999998</v>
      </c>
      <c r="D24" s="3">
        <v>6.4482990000000004E-2</v>
      </c>
      <c r="E24" s="3">
        <v>1.9159700000000015</v>
      </c>
      <c r="F24" s="3">
        <v>2.7629999999999981</v>
      </c>
      <c r="G24" s="3">
        <v>3.1620799999999996</v>
      </c>
      <c r="H24" s="3">
        <v>3.4850600000000007</v>
      </c>
      <c r="I24" s="3">
        <v>0.84702999999999662</v>
      </c>
      <c r="J24" s="3">
        <v>1.2461099999999981</v>
      </c>
      <c r="K24" s="3">
        <v>1.5690899999999992</v>
      </c>
      <c r="L24" s="3">
        <v>0.39908000000000143</v>
      </c>
      <c r="M24" s="3">
        <v>0.72206000000000259</v>
      </c>
      <c r="N24" s="3">
        <v>0.32298000000000116</v>
      </c>
      <c r="O24" s="13">
        <v>2.4820467980571381</v>
      </c>
      <c r="P24" s="13">
        <v>-0.26245326487571663</v>
      </c>
      <c r="Q24" s="13">
        <v>1.1076564197100827</v>
      </c>
      <c r="R24">
        <v>1.6290051933057981</v>
      </c>
      <c r="S24">
        <v>19344.897000000001</v>
      </c>
    </row>
    <row r="25" spans="1:19" x14ac:dyDescent="0.25">
      <c r="A25" s="3">
        <v>1.2376625032186399E+18</v>
      </c>
      <c r="B25" s="3">
        <v>235.71006</v>
      </c>
      <c r="C25" s="3">
        <v>36.316696</v>
      </c>
      <c r="D25" s="3">
        <v>6.4746970000000001E-2</v>
      </c>
      <c r="E25" s="3">
        <v>1.8437400000000004</v>
      </c>
      <c r="F25" s="3">
        <v>2.6752799999999972</v>
      </c>
      <c r="G25" s="3">
        <v>3.0411199999999994</v>
      </c>
      <c r="H25" s="3">
        <v>3.2991499999999991</v>
      </c>
      <c r="I25" s="3">
        <v>0.83153999999999684</v>
      </c>
      <c r="J25" s="3">
        <v>1.197379999999999</v>
      </c>
      <c r="K25" s="3">
        <v>1.4554099999999988</v>
      </c>
      <c r="L25" s="3">
        <v>0.36584000000000216</v>
      </c>
      <c r="M25" s="3">
        <v>0.62387000000000192</v>
      </c>
      <c r="N25" s="3">
        <v>0.25802999999999976</v>
      </c>
      <c r="O25" s="13">
        <v>2.9781725065790101</v>
      </c>
      <c r="P25" s="13">
        <v>-0.24476600230614015</v>
      </c>
      <c r="Q25" s="13">
        <v>-0.40602639841758253</v>
      </c>
      <c r="R25">
        <v>2.5876049829123318</v>
      </c>
      <c r="S25">
        <v>19424.091</v>
      </c>
    </row>
    <row r="26" spans="1:19" x14ac:dyDescent="0.25">
      <c r="A26" s="3">
        <v>1.2376624731541299E+18</v>
      </c>
      <c r="B26" s="3">
        <v>236.24706</v>
      </c>
      <c r="C26" s="3">
        <v>35.929934000000003</v>
      </c>
      <c r="D26" s="3">
        <v>6.4855990000000002E-2</v>
      </c>
      <c r="E26" s="3">
        <v>2.0538799999999995</v>
      </c>
      <c r="F26" s="3">
        <v>2.9844399999999993</v>
      </c>
      <c r="G26" s="3">
        <v>3.3550599999999982</v>
      </c>
      <c r="H26" s="3">
        <v>3.6664299999999983</v>
      </c>
      <c r="I26" s="3">
        <v>0.93055999999999983</v>
      </c>
      <c r="J26" s="3">
        <v>1.3011799999999987</v>
      </c>
      <c r="K26" s="3">
        <v>1.6125499999999988</v>
      </c>
      <c r="L26" s="3">
        <v>0.37061999999999884</v>
      </c>
      <c r="M26" s="3">
        <v>0.68198999999999899</v>
      </c>
      <c r="N26" s="3">
        <v>0.31137000000000015</v>
      </c>
      <c r="O26" s="13">
        <v>2.3830127288995797</v>
      </c>
      <c r="P26" s="13">
        <v>-0.7088206402863666</v>
      </c>
      <c r="Q26" s="13">
        <v>-0.24221150009395356</v>
      </c>
      <c r="R26">
        <v>0.96881887592606819</v>
      </c>
      <c r="S26">
        <v>19456.797000000002</v>
      </c>
    </row>
    <row r="27" spans="1:19" x14ac:dyDescent="0.25">
      <c r="A27" s="3">
        <v>1.2376625032186399E+18</v>
      </c>
      <c r="B27" s="3">
        <v>235.80139</v>
      </c>
      <c r="C27" s="3">
        <v>36.410372000000002</v>
      </c>
      <c r="D27" s="3">
        <v>6.4920919999999993E-2</v>
      </c>
      <c r="E27" s="3">
        <v>1.8927200000000006</v>
      </c>
      <c r="F27" s="3">
        <v>2.7922799999999999</v>
      </c>
      <c r="G27" s="3">
        <v>3.2152399999999997</v>
      </c>
      <c r="H27" s="3">
        <v>3.5327399999999987</v>
      </c>
      <c r="I27" s="3">
        <v>0.89955999999999925</v>
      </c>
      <c r="J27" s="3">
        <v>1.322519999999999</v>
      </c>
      <c r="K27" s="3">
        <v>1.640019999999998</v>
      </c>
      <c r="L27" s="3">
        <v>0.42295999999999978</v>
      </c>
      <c r="M27" s="3">
        <v>0.74045999999999879</v>
      </c>
      <c r="N27" s="3">
        <v>0.31749999999999901</v>
      </c>
      <c r="O27" s="13">
        <v>2.4272047027572867</v>
      </c>
      <c r="P27" s="13">
        <v>-0.23016927330371267</v>
      </c>
      <c r="Q27" s="13">
        <v>1.083253024298278E-2</v>
      </c>
      <c r="R27">
        <v>2.5258245697602493</v>
      </c>
      <c r="S27">
        <v>19476.275999999998</v>
      </c>
    </row>
    <row r="28" spans="1:19" x14ac:dyDescent="0.25">
      <c r="A28" s="3">
        <v>1.2376625032187E+18</v>
      </c>
      <c r="B28" s="3">
        <v>235.94580999999999</v>
      </c>
      <c r="C28" s="3">
        <v>36.373638999999997</v>
      </c>
      <c r="D28" s="3">
        <v>6.4979609999999993E-2</v>
      </c>
      <c r="E28" s="3">
        <v>1.7072700000000012</v>
      </c>
      <c r="F28" s="3">
        <v>2.4680300000000024</v>
      </c>
      <c r="G28" s="3">
        <v>2.8274400000000028</v>
      </c>
      <c r="H28" s="3">
        <v>3.0700200000000031</v>
      </c>
      <c r="I28" s="3">
        <v>0.76076000000000121</v>
      </c>
      <c r="J28" s="3">
        <v>1.1201700000000017</v>
      </c>
      <c r="K28" s="3">
        <v>1.3627500000000019</v>
      </c>
      <c r="L28" s="3">
        <v>0.35941000000000045</v>
      </c>
      <c r="M28" s="3">
        <v>0.60199000000000069</v>
      </c>
      <c r="N28" s="3">
        <v>0.24258000000000024</v>
      </c>
      <c r="O28" s="13">
        <v>3.2362767214894257</v>
      </c>
      <c r="P28" s="13">
        <v>-1.1877991031938519E-4</v>
      </c>
      <c r="Q28" s="13">
        <v>0.24780038439843771</v>
      </c>
      <c r="R28">
        <v>1.9337421602175662</v>
      </c>
      <c r="S28">
        <v>19493.882999999998</v>
      </c>
    </row>
    <row r="29" spans="1:19" x14ac:dyDescent="0.25">
      <c r="A29" s="3">
        <v>1.2376625032188301E+18</v>
      </c>
      <c r="B29" s="3">
        <v>236.26456999999999</v>
      </c>
      <c r="C29" s="3">
        <v>36.167524</v>
      </c>
      <c r="D29" s="3">
        <v>6.4985280000000006E-2</v>
      </c>
      <c r="E29" s="3">
        <v>1.8518799999999978</v>
      </c>
      <c r="F29" s="3">
        <v>2.7363399999999984</v>
      </c>
      <c r="G29" s="3">
        <v>3.1441999999999979</v>
      </c>
      <c r="H29" s="3">
        <v>3.4565199999999976</v>
      </c>
      <c r="I29" s="3">
        <v>0.88446000000000069</v>
      </c>
      <c r="J29" s="3">
        <v>1.2923200000000001</v>
      </c>
      <c r="K29" s="3">
        <v>1.6046399999999998</v>
      </c>
      <c r="L29" s="3">
        <v>0.40785999999999945</v>
      </c>
      <c r="M29" s="3">
        <v>0.72017999999999915</v>
      </c>
      <c r="N29" s="3">
        <v>0.31231999999999971</v>
      </c>
      <c r="O29" s="13">
        <v>2.4799791813174852</v>
      </c>
      <c r="P29" s="13">
        <v>-0.26580418461423044</v>
      </c>
      <c r="Q29" s="13">
        <v>0.38722428609656656</v>
      </c>
      <c r="R29">
        <v>0.32364461576308784</v>
      </c>
      <c r="S29">
        <v>19495.584000000003</v>
      </c>
    </row>
    <row r="30" spans="1:19" x14ac:dyDescent="0.25">
      <c r="A30" s="3">
        <v>1.2376625032188301E+18</v>
      </c>
      <c r="B30" s="3">
        <v>236.26456999999999</v>
      </c>
      <c r="C30" s="3">
        <v>36.167524</v>
      </c>
      <c r="D30" s="3">
        <v>6.4999559999999998E-2</v>
      </c>
      <c r="E30" s="3">
        <v>1.8518799999999978</v>
      </c>
      <c r="F30" s="3">
        <v>2.7363399999999984</v>
      </c>
      <c r="G30" s="3">
        <v>3.1441999999999979</v>
      </c>
      <c r="H30" s="3">
        <v>3.4565199999999976</v>
      </c>
      <c r="I30" s="3">
        <v>0.88446000000000069</v>
      </c>
      <c r="J30" s="3">
        <v>1.2923200000000001</v>
      </c>
      <c r="K30" s="3">
        <v>1.6046399999999998</v>
      </c>
      <c r="L30" s="3">
        <v>0.40785999999999945</v>
      </c>
      <c r="M30" s="3">
        <v>0.72017999999999915</v>
      </c>
      <c r="N30" s="3">
        <v>0.31231999999999971</v>
      </c>
      <c r="O30" s="13">
        <v>2.4799610212412002</v>
      </c>
      <c r="P30" s="13">
        <v>-0.26579360971961685</v>
      </c>
      <c r="Q30" s="13">
        <v>0.3872230798561539</v>
      </c>
      <c r="R30">
        <v>0.32364461576308784</v>
      </c>
      <c r="S30">
        <v>19499.867999999999</v>
      </c>
    </row>
    <row r="31" spans="1:19" x14ac:dyDescent="0.25">
      <c r="A31" s="3">
        <v>1.2376625032187E+18</v>
      </c>
      <c r="B31" s="3">
        <v>235.80547000000001</v>
      </c>
      <c r="C31" s="3">
        <v>36.275041000000002</v>
      </c>
      <c r="D31" s="3">
        <v>6.5075030000000006E-2</v>
      </c>
      <c r="E31" s="3">
        <v>1.9735700000000023</v>
      </c>
      <c r="F31" s="3">
        <v>2.8438499999999998</v>
      </c>
      <c r="G31" s="3">
        <v>3.2469600000000014</v>
      </c>
      <c r="H31" s="3">
        <v>3.5362600000000004</v>
      </c>
      <c r="I31" s="3">
        <v>0.8702799999999975</v>
      </c>
      <c r="J31" s="3">
        <v>1.2733899999999991</v>
      </c>
      <c r="K31" s="3">
        <v>1.5626899999999981</v>
      </c>
      <c r="L31" s="3">
        <v>0.40311000000000163</v>
      </c>
      <c r="M31" s="3">
        <v>0.69241000000000064</v>
      </c>
      <c r="N31" s="3">
        <v>0.289299999999999</v>
      </c>
      <c r="O31" s="13">
        <v>2.5877794490788468</v>
      </c>
      <c r="P31" s="13">
        <v>-0.42722914867626671</v>
      </c>
      <c r="Q31" s="13">
        <v>-0.30874607246282881</v>
      </c>
      <c r="R31">
        <v>2.116403719994449</v>
      </c>
      <c r="S31">
        <v>19522.509000000002</v>
      </c>
    </row>
    <row r="32" spans="1:19" x14ac:dyDescent="0.25">
      <c r="A32" s="3">
        <v>1.2376625032188301E+18</v>
      </c>
      <c r="B32" s="3">
        <v>236.25417999999999</v>
      </c>
      <c r="C32" s="3">
        <v>36.106436000000002</v>
      </c>
      <c r="D32" s="3">
        <v>6.5155870000000005E-2</v>
      </c>
      <c r="E32" s="3">
        <v>2.0028100000000002</v>
      </c>
      <c r="F32" s="3">
        <v>2.8889299999999984</v>
      </c>
      <c r="G32" s="3">
        <v>3.3202700000000007</v>
      </c>
      <c r="H32" s="3">
        <v>3.6051699999999993</v>
      </c>
      <c r="I32" s="3">
        <v>0.88611999999999824</v>
      </c>
      <c r="J32" s="3">
        <v>1.3174600000000005</v>
      </c>
      <c r="K32" s="3">
        <v>1.6023599999999991</v>
      </c>
      <c r="L32" s="3">
        <v>0.43134000000000228</v>
      </c>
      <c r="M32" s="3">
        <v>0.71624000000000088</v>
      </c>
      <c r="N32" s="3">
        <v>0.2848999999999986</v>
      </c>
      <c r="O32" s="13">
        <v>2.3910007955127082</v>
      </c>
      <c r="P32" s="13">
        <v>-0.543515885302846</v>
      </c>
      <c r="Q32" s="13">
        <v>0.21260464591319392</v>
      </c>
      <c r="R32">
        <v>3.9299087756555974E-2</v>
      </c>
      <c r="S32">
        <v>19546.761000000002</v>
      </c>
    </row>
    <row r="33" spans="1:19" x14ac:dyDescent="0.25">
      <c r="A33" s="3">
        <v>1.2376625032186399E+18</v>
      </c>
      <c r="B33" s="3">
        <v>235.78666999999999</v>
      </c>
      <c r="C33" s="3">
        <v>36.463444000000003</v>
      </c>
      <c r="D33" s="3">
        <v>6.5224270000000001E-2</v>
      </c>
      <c r="E33" s="3">
        <v>1.7988499999999981</v>
      </c>
      <c r="F33" s="3">
        <v>2.6358099999999993</v>
      </c>
      <c r="G33" s="3">
        <v>3.0162899999999979</v>
      </c>
      <c r="H33" s="3">
        <v>3.288450000000001</v>
      </c>
      <c r="I33" s="3">
        <v>0.83696000000000126</v>
      </c>
      <c r="J33" s="3">
        <v>1.2174399999999999</v>
      </c>
      <c r="K33" s="3">
        <v>1.4896000000000029</v>
      </c>
      <c r="L33" s="3">
        <v>0.3804799999999986</v>
      </c>
      <c r="M33" s="3">
        <v>0.65264000000000166</v>
      </c>
      <c r="N33" s="3">
        <v>0.27216000000000307</v>
      </c>
      <c r="O33" s="13">
        <v>2.883856162641139</v>
      </c>
      <c r="P33" s="13">
        <v>-0.10937421919475099</v>
      </c>
      <c r="Q33" s="13">
        <v>0.12109561799365488</v>
      </c>
      <c r="R33">
        <v>2.764288980255472</v>
      </c>
      <c r="S33">
        <v>19567.280999999999</v>
      </c>
    </row>
    <row r="34" spans="1:19" x14ac:dyDescent="0.25">
      <c r="A34" s="3">
        <v>1.2376625032186399E+18</v>
      </c>
      <c r="B34" s="3">
        <v>235.81009</v>
      </c>
      <c r="C34" s="3">
        <v>36.410902999999998</v>
      </c>
      <c r="D34" s="3">
        <v>6.5315159999999997E-2</v>
      </c>
      <c r="E34" s="3">
        <v>1.9369399999999999</v>
      </c>
      <c r="F34" s="3">
        <v>2.8146200000000015</v>
      </c>
      <c r="G34" s="3">
        <v>3.2293200000000013</v>
      </c>
      <c r="H34" s="3">
        <v>3.5403200000000012</v>
      </c>
      <c r="I34" s="3">
        <v>0.87768000000000157</v>
      </c>
      <c r="J34" s="3">
        <v>1.2923800000000014</v>
      </c>
      <c r="K34" s="3">
        <v>1.6033800000000014</v>
      </c>
      <c r="L34" s="3">
        <v>0.41469999999999985</v>
      </c>
      <c r="M34" s="3">
        <v>0.72569999999999979</v>
      </c>
      <c r="N34" s="3">
        <v>0.31099999999999994</v>
      </c>
      <c r="O34" s="13">
        <v>2.4853296581453819</v>
      </c>
      <c r="P34" s="13">
        <v>-0.29813953863885428</v>
      </c>
      <c r="Q34" s="13">
        <v>4.0516124008788929E-2</v>
      </c>
      <c r="R34">
        <v>2.4988050869590781</v>
      </c>
      <c r="S34">
        <v>19594.547999999999</v>
      </c>
    </row>
    <row r="35" spans="1:19" x14ac:dyDescent="0.25">
      <c r="A35" s="3">
        <v>1.23766247369074E+18</v>
      </c>
      <c r="B35" s="3">
        <v>235.81360000000001</v>
      </c>
      <c r="C35" s="3">
        <v>36.473101</v>
      </c>
      <c r="D35" s="3">
        <v>6.5316739999999998E-2</v>
      </c>
      <c r="E35" s="3">
        <v>1.7890300000000003</v>
      </c>
      <c r="F35" s="3">
        <v>2.5791599999999981</v>
      </c>
      <c r="G35" s="3">
        <v>2.9582799999999985</v>
      </c>
      <c r="H35" s="3">
        <v>3.2732599999999969</v>
      </c>
      <c r="I35" s="3">
        <v>0.79012999999999778</v>
      </c>
      <c r="J35" s="3">
        <v>1.1692499999999981</v>
      </c>
      <c r="K35" s="3">
        <v>1.4842299999999966</v>
      </c>
      <c r="L35" s="3">
        <v>0.37912000000000035</v>
      </c>
      <c r="M35" s="3">
        <v>0.69409999999999883</v>
      </c>
      <c r="N35" s="3">
        <v>0.31497999999999848</v>
      </c>
      <c r="O35" s="13">
        <v>2.8610426301371494</v>
      </c>
      <c r="P35" s="13">
        <v>-4.1006311293613415E-3</v>
      </c>
      <c r="Q35" s="13">
        <v>0.22797512939110195</v>
      </c>
      <c r="R35">
        <v>2.7181387219509543</v>
      </c>
      <c r="S35">
        <v>19595.022000000001</v>
      </c>
    </row>
    <row r="36" spans="1:19" x14ac:dyDescent="0.25">
      <c r="A36" s="3">
        <v>1.2376625032187699E+18</v>
      </c>
      <c r="B36" s="3">
        <v>236.01967999999999</v>
      </c>
      <c r="C36" s="3">
        <v>36.125104999999998</v>
      </c>
      <c r="D36" s="3">
        <v>6.5348059999999999E-2</v>
      </c>
      <c r="E36" s="3">
        <v>1.9589399999999983</v>
      </c>
      <c r="F36" s="3">
        <v>2.8948599999999978</v>
      </c>
      <c r="G36" s="3">
        <v>3.3355999999999995</v>
      </c>
      <c r="H36" s="3">
        <v>3.6846099999999993</v>
      </c>
      <c r="I36" s="3">
        <v>0.93591999999999942</v>
      </c>
      <c r="J36" s="3">
        <v>1.3766600000000011</v>
      </c>
      <c r="K36" s="3">
        <v>1.7256700000000009</v>
      </c>
      <c r="L36" s="3">
        <v>0.44074000000000169</v>
      </c>
      <c r="M36" s="3">
        <v>0.78975000000000151</v>
      </c>
      <c r="N36" s="3">
        <v>0.34900999999999982</v>
      </c>
      <c r="O36" s="13">
        <v>2.1401230080834477</v>
      </c>
      <c r="P36" s="13">
        <v>-0.40155631459317953</v>
      </c>
      <c r="Q36" s="13">
        <v>-0.24342983444730806</v>
      </c>
      <c r="R36">
        <v>0.99012406777551543</v>
      </c>
      <c r="S36">
        <v>19604.418000000001</v>
      </c>
    </row>
    <row r="37" spans="1:19" x14ac:dyDescent="0.25">
      <c r="A37" s="3">
        <v>1.2376624736910001E+18</v>
      </c>
      <c r="B37" s="3">
        <v>236.37001000000001</v>
      </c>
      <c r="C37" s="3">
        <v>36.133343000000004</v>
      </c>
      <c r="D37" s="3">
        <v>6.5348920000000005E-2</v>
      </c>
      <c r="E37" s="3">
        <v>1.7693000000000012</v>
      </c>
      <c r="F37" s="3">
        <v>2.6161600000000007</v>
      </c>
      <c r="G37" s="3">
        <v>2.9935100000000006</v>
      </c>
      <c r="H37" s="3">
        <v>3.2851400000000019</v>
      </c>
      <c r="I37" s="3">
        <v>0.8468599999999995</v>
      </c>
      <c r="J37" s="3">
        <v>1.2242099999999994</v>
      </c>
      <c r="K37" s="3">
        <v>1.5158400000000007</v>
      </c>
      <c r="L37" s="3">
        <v>0.37734999999999985</v>
      </c>
      <c r="M37" s="3">
        <v>0.66898000000000124</v>
      </c>
      <c r="N37" s="3">
        <v>0.29163000000000139</v>
      </c>
      <c r="O37" s="13">
        <v>2.7513482914334424</v>
      </c>
      <c r="P37" s="13">
        <v>-0.17141916392637349</v>
      </c>
      <c r="Q37" s="13">
        <v>0.53057485435973439</v>
      </c>
      <c r="R37">
        <v>0.55580856305996929</v>
      </c>
      <c r="S37">
        <v>19604.676000000003</v>
      </c>
    </row>
    <row r="38" spans="1:19" x14ac:dyDescent="0.25">
      <c r="A38" s="3">
        <v>1.23766250321903E+18</v>
      </c>
      <c r="B38" s="3">
        <v>236.63884999999999</v>
      </c>
      <c r="C38" s="3">
        <v>35.784723999999997</v>
      </c>
      <c r="D38" s="3">
        <v>6.5432879999999999E-2</v>
      </c>
      <c r="E38" s="3">
        <v>1.8967999999999989</v>
      </c>
      <c r="F38" s="3">
        <v>2.7572599999999987</v>
      </c>
      <c r="G38" s="3">
        <v>3.1620599999999985</v>
      </c>
      <c r="H38" s="3">
        <v>3.4725699999999993</v>
      </c>
      <c r="I38" s="3">
        <v>0.86045999999999978</v>
      </c>
      <c r="J38" s="3">
        <v>1.2652599999999996</v>
      </c>
      <c r="K38" s="3">
        <v>1.5757700000000003</v>
      </c>
      <c r="L38" s="3">
        <v>0.40479999999999983</v>
      </c>
      <c r="M38" s="3">
        <v>0.71531000000000056</v>
      </c>
      <c r="N38" s="3">
        <v>0.31051000000000073</v>
      </c>
      <c r="O38" s="13">
        <v>2.4751515640258184</v>
      </c>
      <c r="P38" s="13">
        <v>-0.45579974805979923</v>
      </c>
      <c r="Q38" s="13">
        <v>0.23240270311758776</v>
      </c>
      <c r="R38">
        <v>2.4529736856273168</v>
      </c>
      <c r="S38">
        <v>19629.864000000001</v>
      </c>
    </row>
    <row r="39" spans="1:19" x14ac:dyDescent="0.25">
      <c r="A39" s="3">
        <v>1.2376625032188301E+18</v>
      </c>
      <c r="B39" s="3">
        <v>236.23173</v>
      </c>
      <c r="C39" s="3">
        <v>36.092804000000001</v>
      </c>
      <c r="D39" s="3">
        <v>6.5570669999999998E-2</v>
      </c>
      <c r="E39" s="3">
        <v>1.882950000000001</v>
      </c>
      <c r="F39" s="3">
        <v>2.75929</v>
      </c>
      <c r="G39" s="3">
        <v>3.2014600000000009</v>
      </c>
      <c r="H39" s="3">
        <v>3.5233600000000003</v>
      </c>
      <c r="I39" s="3">
        <v>0.87633999999999901</v>
      </c>
      <c r="J39" s="3">
        <v>1.3185099999999998</v>
      </c>
      <c r="K39" s="3">
        <v>1.6404099999999993</v>
      </c>
      <c r="L39" s="3">
        <v>0.44217000000000084</v>
      </c>
      <c r="M39" s="3">
        <v>0.76407000000000025</v>
      </c>
      <c r="N39" s="3">
        <v>0.32189999999999941</v>
      </c>
      <c r="O39" s="13">
        <v>2.3561677545823416</v>
      </c>
      <c r="P39" s="13">
        <v>-0.29589317450525482</v>
      </c>
      <c r="Q39" s="13">
        <v>0.13306591466100132</v>
      </c>
      <c r="R39">
        <v>0.10926823880486437</v>
      </c>
      <c r="S39">
        <v>19671.201000000001</v>
      </c>
    </row>
    <row r="40" spans="1:19" x14ac:dyDescent="0.25">
      <c r="A40" s="3">
        <v>1.2376625032188301E+18</v>
      </c>
      <c r="B40" s="3">
        <v>236.15736000000001</v>
      </c>
      <c r="C40" s="3">
        <v>36.030281000000002</v>
      </c>
      <c r="D40" s="3">
        <v>6.5647179999999999E-2</v>
      </c>
      <c r="E40" s="3">
        <v>2.1199899999999978</v>
      </c>
      <c r="F40" s="3">
        <v>2.9894499999999979</v>
      </c>
      <c r="G40" s="3">
        <v>3.3914200000000001</v>
      </c>
      <c r="H40" s="3">
        <v>3.6735599999999984</v>
      </c>
      <c r="I40" s="3">
        <v>0.86946000000000012</v>
      </c>
      <c r="J40" s="3">
        <v>1.2714300000000023</v>
      </c>
      <c r="K40" s="3">
        <v>1.5535700000000006</v>
      </c>
      <c r="L40" s="3">
        <v>0.40197000000000216</v>
      </c>
      <c r="M40" s="3">
        <v>0.68411000000000044</v>
      </c>
      <c r="N40" s="3">
        <v>0.28213999999999828</v>
      </c>
      <c r="O40" s="13">
        <v>2.4672212310556993</v>
      </c>
      <c r="P40" s="13">
        <v>-0.75557517236359339</v>
      </c>
      <c r="Q40" s="13">
        <v>-0.16686503041913486</v>
      </c>
      <c r="R40">
        <v>0.57619427113181465</v>
      </c>
      <c r="S40">
        <v>19694.153999999999</v>
      </c>
    </row>
    <row r="41" spans="1:19" x14ac:dyDescent="0.25">
      <c r="A41" s="3">
        <v>1.2376625032188301E+18</v>
      </c>
      <c r="B41" s="3">
        <v>236.26403999999999</v>
      </c>
      <c r="C41" s="3">
        <v>36.182251999999998</v>
      </c>
      <c r="D41" s="3">
        <v>6.5654039999999997E-2</v>
      </c>
      <c r="E41" s="3">
        <v>1.9060499999999969</v>
      </c>
      <c r="F41" s="3">
        <v>2.839109999999998</v>
      </c>
      <c r="G41" s="3">
        <v>3.2886299999999977</v>
      </c>
      <c r="H41" s="3">
        <v>3.6416599999999981</v>
      </c>
      <c r="I41" s="3">
        <v>0.93306000000000111</v>
      </c>
      <c r="J41" s="3">
        <v>1.3825800000000008</v>
      </c>
      <c r="K41" s="3">
        <v>1.7356100000000012</v>
      </c>
      <c r="L41" s="3">
        <v>0.4495199999999997</v>
      </c>
      <c r="M41" s="3">
        <v>0.8025500000000001</v>
      </c>
      <c r="N41" s="3">
        <v>0.3530300000000004</v>
      </c>
      <c r="O41" s="13">
        <v>2.0921880762713423</v>
      </c>
      <c r="P41" s="13">
        <v>-0.29961222243984115</v>
      </c>
      <c r="Q41" s="13">
        <v>0.41535764944288167</v>
      </c>
      <c r="R41">
        <v>0.40062530347012143</v>
      </c>
      <c r="S41">
        <v>19696.212</v>
      </c>
    </row>
    <row r="42" spans="1:19" x14ac:dyDescent="0.25">
      <c r="A42" s="3">
        <v>1.2376625032189E+18</v>
      </c>
      <c r="B42" s="3">
        <v>236.21476999999999</v>
      </c>
      <c r="C42" s="3">
        <v>36.019869999999997</v>
      </c>
      <c r="D42" s="3">
        <v>6.5661650000000002E-2</v>
      </c>
      <c r="E42" s="3">
        <v>1.6394300000000008</v>
      </c>
      <c r="F42" s="3">
        <v>2.4712800000000001</v>
      </c>
      <c r="G42" s="3">
        <v>2.8665699999999994</v>
      </c>
      <c r="H42" s="3">
        <v>3.1563500000000015</v>
      </c>
      <c r="I42" s="3">
        <v>0.83184999999999931</v>
      </c>
      <c r="J42" s="3">
        <v>1.2271399999999986</v>
      </c>
      <c r="K42" s="3">
        <v>1.5169200000000007</v>
      </c>
      <c r="L42" s="3">
        <v>0.39528999999999925</v>
      </c>
      <c r="M42" s="3">
        <v>0.6850700000000014</v>
      </c>
      <c r="N42" s="3">
        <v>0.28978000000000215</v>
      </c>
      <c r="O42" s="13">
        <v>2.8618345445428215</v>
      </c>
      <c r="P42" s="13">
        <v>2.4101626728006573E-2</v>
      </c>
      <c r="Q42" s="13">
        <v>-9.0441022412573902E-2</v>
      </c>
      <c r="R42">
        <v>0.50227270891968478</v>
      </c>
      <c r="S42">
        <v>19698.494999999999</v>
      </c>
    </row>
    <row r="43" spans="1:19" x14ac:dyDescent="0.25">
      <c r="A43" s="3">
        <v>1.2376624731539999E+18</v>
      </c>
      <c r="B43" s="3">
        <v>235.99902</v>
      </c>
      <c r="C43" s="3">
        <v>36.086818000000001</v>
      </c>
      <c r="D43" s="3">
        <v>6.5674079999999996E-2</v>
      </c>
      <c r="E43" s="3">
        <v>1.7484500000000018</v>
      </c>
      <c r="F43" s="3">
        <v>2.6404100000000028</v>
      </c>
      <c r="G43" s="3">
        <v>3.0121099999999998</v>
      </c>
      <c r="H43" s="3">
        <v>3.3375500000000002</v>
      </c>
      <c r="I43" s="3">
        <v>0.89196000000000097</v>
      </c>
      <c r="J43" s="3">
        <v>1.263659999999998</v>
      </c>
      <c r="K43" s="3">
        <v>1.5890999999999984</v>
      </c>
      <c r="L43" s="3">
        <v>0.37169999999999703</v>
      </c>
      <c r="M43" s="3">
        <v>0.69713999999999743</v>
      </c>
      <c r="N43" s="3">
        <v>0.3254400000000004</v>
      </c>
      <c r="O43" s="13">
        <v>2.6610364467929633</v>
      </c>
      <c r="P43" s="13">
        <v>-0.12509572496935817</v>
      </c>
      <c r="Q43" s="13">
        <v>-0.38084605894503298</v>
      </c>
      <c r="R43">
        <v>1.0837548696002517</v>
      </c>
      <c r="S43">
        <v>19702.223999999998</v>
      </c>
    </row>
    <row r="44" spans="1:19" x14ac:dyDescent="0.25">
      <c r="A44" s="3">
        <v>1.2376625032188301E+18</v>
      </c>
      <c r="B44" s="3">
        <v>236.27367000000001</v>
      </c>
      <c r="C44" s="3">
        <v>36.115484000000002</v>
      </c>
      <c r="D44" s="3">
        <v>6.5750260000000005E-2</v>
      </c>
      <c r="E44" s="3">
        <v>1.8521899999999967</v>
      </c>
      <c r="F44" s="3">
        <v>2.7235799999999983</v>
      </c>
      <c r="G44" s="3">
        <v>3.1620699999999999</v>
      </c>
      <c r="H44" s="3">
        <v>3.4625199999999978</v>
      </c>
      <c r="I44" s="3">
        <v>0.87139000000000166</v>
      </c>
      <c r="J44" s="3">
        <v>1.3098800000000033</v>
      </c>
      <c r="K44" s="3">
        <v>1.6103300000000011</v>
      </c>
      <c r="L44" s="3">
        <v>0.4384900000000016</v>
      </c>
      <c r="M44" s="3">
        <v>0.73893999999999949</v>
      </c>
      <c r="N44" s="3">
        <v>0.30044999999999789</v>
      </c>
      <c r="O44" s="13">
        <v>2.4520778333239628</v>
      </c>
      <c r="P44" s="13">
        <v>-0.26995148668186125</v>
      </c>
      <c r="Q44" s="13">
        <v>0.27358760805586424</v>
      </c>
      <c r="R44">
        <v>0.12501757254691803</v>
      </c>
      <c r="S44">
        <v>19725.078000000001</v>
      </c>
    </row>
    <row r="45" spans="1:19" x14ac:dyDescent="0.25">
      <c r="A45" s="3">
        <v>1.2376625032188301E+18</v>
      </c>
      <c r="B45" s="3">
        <v>236.05607000000001</v>
      </c>
      <c r="C45" s="3">
        <v>36.111181999999999</v>
      </c>
      <c r="D45" s="3">
        <v>6.5796610000000005E-2</v>
      </c>
      <c r="E45" s="3">
        <v>1.8721599999999974</v>
      </c>
      <c r="F45" s="3">
        <v>2.7383299999999977</v>
      </c>
      <c r="G45" s="3">
        <v>3.1506199999999982</v>
      </c>
      <c r="H45" s="3">
        <v>3.4721099999999989</v>
      </c>
      <c r="I45" s="3">
        <v>0.86617000000000033</v>
      </c>
      <c r="J45" s="3">
        <v>1.2784600000000008</v>
      </c>
      <c r="K45" s="3">
        <v>1.5999500000000015</v>
      </c>
      <c r="L45" s="3">
        <v>0.41229000000000049</v>
      </c>
      <c r="M45" s="3">
        <v>0.73378000000000121</v>
      </c>
      <c r="N45" s="3">
        <v>0.32149000000000072</v>
      </c>
      <c r="O45" s="13">
        <v>2.5078264440180091</v>
      </c>
      <c r="P45" s="13">
        <v>-0.27711605302171782</v>
      </c>
      <c r="Q45" s="13">
        <v>-0.18728529113086204</v>
      </c>
      <c r="R45">
        <v>0.82800640368256817</v>
      </c>
      <c r="S45">
        <v>19738.983</v>
      </c>
    </row>
    <row r="46" spans="1:19" x14ac:dyDescent="0.25">
      <c r="A46" s="3">
        <v>1.2376625032189E+18</v>
      </c>
      <c r="B46" s="3">
        <v>236.24889999999999</v>
      </c>
      <c r="C46" s="3">
        <v>35.988132999999998</v>
      </c>
      <c r="D46" s="3">
        <v>6.5869510000000006E-2</v>
      </c>
      <c r="E46" s="3">
        <v>1.8909200000000013</v>
      </c>
      <c r="F46" s="3">
        <v>2.7892299999999999</v>
      </c>
      <c r="G46" s="3">
        <v>3.2072099999999999</v>
      </c>
      <c r="H46" s="3">
        <v>3.5671299999999988</v>
      </c>
      <c r="I46" s="3">
        <v>0.89830999999999861</v>
      </c>
      <c r="J46" s="3">
        <v>1.3162899999999986</v>
      </c>
      <c r="K46" s="3">
        <v>1.6762099999999975</v>
      </c>
      <c r="L46" s="3">
        <v>0.41798000000000002</v>
      </c>
      <c r="M46" s="3">
        <v>0.77789999999999893</v>
      </c>
      <c r="N46" s="3">
        <v>0.35991999999999891</v>
      </c>
      <c r="O46" s="13">
        <v>2.2695921181219449</v>
      </c>
      <c r="P46" s="13">
        <v>-0.31968820591751435</v>
      </c>
      <c r="Q46" s="13">
        <v>-8.7486577022213977E-2</v>
      </c>
      <c r="R46">
        <v>0.65486079174816869</v>
      </c>
      <c r="S46">
        <v>19760.853000000003</v>
      </c>
    </row>
    <row r="47" spans="1:19" x14ac:dyDescent="0.25">
      <c r="A47" s="3">
        <v>1.2376625032189701E+18</v>
      </c>
      <c r="B47" s="3">
        <v>236.45294999999999</v>
      </c>
      <c r="C47" s="3">
        <v>35.954416000000002</v>
      </c>
      <c r="D47" s="3">
        <v>6.5956790000000001E-2</v>
      </c>
      <c r="E47" s="3">
        <v>1.9209500000000013</v>
      </c>
      <c r="F47" s="3">
        <v>2.8317699999999988</v>
      </c>
      <c r="G47" s="3">
        <v>3.2589800000000011</v>
      </c>
      <c r="H47" s="3">
        <v>3.6038700000000006</v>
      </c>
      <c r="I47" s="3">
        <v>0.91081999999999752</v>
      </c>
      <c r="J47" s="3">
        <v>1.3380299999999998</v>
      </c>
      <c r="K47" s="3">
        <v>1.6829199999999993</v>
      </c>
      <c r="L47" s="3">
        <v>0.42721000000000231</v>
      </c>
      <c r="M47" s="3">
        <v>0.77210000000000178</v>
      </c>
      <c r="N47" s="3">
        <v>0.34488999999999947</v>
      </c>
      <c r="O47" s="13">
        <v>2.2032138171220796</v>
      </c>
      <c r="P47" s="13">
        <v>-0.40899281052803055</v>
      </c>
      <c r="Q47" s="13">
        <v>0.25403270007385603</v>
      </c>
      <c r="R47">
        <v>1.2312122679418309</v>
      </c>
      <c r="S47">
        <v>19787.037</v>
      </c>
    </row>
    <row r="48" spans="1:19" x14ac:dyDescent="0.25">
      <c r="A48" s="3">
        <v>1.2376625032187E+18</v>
      </c>
      <c r="B48" s="3">
        <v>235.78942000000001</v>
      </c>
      <c r="C48" s="3">
        <v>36.296126999999998</v>
      </c>
      <c r="D48" s="3">
        <v>6.6005069999999999E-2</v>
      </c>
      <c r="E48" s="3">
        <v>1.7686500000000009</v>
      </c>
      <c r="F48" s="3">
        <v>2.56616</v>
      </c>
      <c r="G48" s="3">
        <v>2.9246000000000016</v>
      </c>
      <c r="H48" s="3">
        <v>3.1822499999999998</v>
      </c>
      <c r="I48" s="3">
        <v>0.79750999999999905</v>
      </c>
      <c r="J48" s="3">
        <v>1.1559500000000007</v>
      </c>
      <c r="K48" s="3">
        <v>1.4135999999999989</v>
      </c>
      <c r="L48" s="3">
        <v>0.35844000000000165</v>
      </c>
      <c r="M48" s="3">
        <v>0.6160899999999998</v>
      </c>
      <c r="N48" s="3">
        <v>0.25764999999999816</v>
      </c>
      <c r="O48" s="13">
        <v>3.1098701790526637</v>
      </c>
      <c r="P48" s="13">
        <v>-0.11757591982592901</v>
      </c>
      <c r="Q48" s="13">
        <v>-0.28254855863339101</v>
      </c>
      <c r="R48">
        <v>2.2287939765540172</v>
      </c>
      <c r="S48">
        <v>19801.521000000001</v>
      </c>
    </row>
    <row r="49" spans="1:19" x14ac:dyDescent="0.25">
      <c r="A49" s="3">
        <v>1.2376625032189701E+18</v>
      </c>
      <c r="B49" s="3">
        <v>236.43817000000001</v>
      </c>
      <c r="C49" s="3">
        <v>35.865676000000001</v>
      </c>
      <c r="D49" s="3">
        <v>6.6037529999999997E-2</v>
      </c>
      <c r="E49" s="3">
        <v>1.9364699999999999</v>
      </c>
      <c r="F49" s="3">
        <v>2.8178699999999992</v>
      </c>
      <c r="G49" s="3">
        <v>3.2472699999999985</v>
      </c>
      <c r="H49" s="3">
        <v>3.5849499999999992</v>
      </c>
      <c r="I49" s="3">
        <v>0.8813999999999993</v>
      </c>
      <c r="J49" s="3">
        <v>1.3107999999999986</v>
      </c>
      <c r="K49" s="3">
        <v>1.6484799999999993</v>
      </c>
      <c r="L49" s="3">
        <v>0.42939999999999934</v>
      </c>
      <c r="M49" s="3">
        <v>0.76707999999999998</v>
      </c>
      <c r="N49" s="3">
        <v>0.33768000000000065</v>
      </c>
      <c r="O49" s="13">
        <v>2.2798967762838962</v>
      </c>
      <c r="P49" s="13">
        <v>-0.44739252621101139</v>
      </c>
      <c r="Q49" s="13">
        <v>9.0004704615341737E-3</v>
      </c>
      <c r="R49">
        <v>1.5604547415987065</v>
      </c>
      <c r="S49">
        <v>19811.258999999998</v>
      </c>
    </row>
    <row r="50" spans="1:19" x14ac:dyDescent="0.25">
      <c r="A50" s="3">
        <v>1.2376624736909299E+18</v>
      </c>
      <c r="B50" s="3">
        <v>236.33320000000001</v>
      </c>
      <c r="C50" s="3">
        <v>36.342984999999999</v>
      </c>
      <c r="D50" s="3">
        <v>6.6088040000000001E-2</v>
      </c>
      <c r="E50" s="3">
        <v>1.9434199999999997</v>
      </c>
      <c r="F50" s="3">
        <v>2.8417899999999996</v>
      </c>
      <c r="G50" s="3">
        <v>3.2593700000000005</v>
      </c>
      <c r="H50" s="3">
        <v>3.6097599999999979</v>
      </c>
      <c r="I50" s="3">
        <v>0.89836999999999989</v>
      </c>
      <c r="J50" s="3">
        <v>1.3159500000000008</v>
      </c>
      <c r="K50" s="3">
        <v>1.6663399999999982</v>
      </c>
      <c r="L50" s="3">
        <v>0.41758000000000095</v>
      </c>
      <c r="M50" s="3">
        <v>0.76796999999999827</v>
      </c>
      <c r="N50" s="3">
        <v>0.35038999999999731</v>
      </c>
      <c r="O50" s="13">
        <v>2.2169403602043247</v>
      </c>
      <c r="P50" s="13">
        <v>-0.31189223011326761</v>
      </c>
      <c r="Q50" s="13">
        <v>0.98280048714926815</v>
      </c>
      <c r="R50">
        <v>1.31617220983831</v>
      </c>
      <c r="S50">
        <v>19826.412</v>
      </c>
    </row>
    <row r="51" spans="1:19" x14ac:dyDescent="0.25">
      <c r="A51" s="3">
        <v>1.2376625037557701E+18</v>
      </c>
      <c r="B51" s="3">
        <v>236.55311</v>
      </c>
      <c r="C51" s="3">
        <v>36.306319999999999</v>
      </c>
      <c r="D51" s="3">
        <v>6.6127720000000001E-2</v>
      </c>
      <c r="E51" s="3">
        <v>1.6878100000000025</v>
      </c>
      <c r="F51" s="3">
        <v>2.5025500000000029</v>
      </c>
      <c r="G51" s="3">
        <v>2.8564700000000016</v>
      </c>
      <c r="H51" s="3">
        <v>3.0897100000000002</v>
      </c>
      <c r="I51" s="3">
        <v>0.81474000000000046</v>
      </c>
      <c r="J51" s="3">
        <v>1.1686599999999991</v>
      </c>
      <c r="K51" s="3">
        <v>1.4018999999999977</v>
      </c>
      <c r="L51" s="3">
        <v>0.35391999999999868</v>
      </c>
      <c r="M51" s="3">
        <v>0.58715999999999724</v>
      </c>
      <c r="N51" s="3">
        <v>0.23323999999999856</v>
      </c>
      <c r="O51" s="13">
        <v>3.0679323176435664</v>
      </c>
      <c r="P51" s="13">
        <v>-6.9173360102067927E-2</v>
      </c>
      <c r="Q51" s="13">
        <v>1.3463785765694194</v>
      </c>
      <c r="R51">
        <v>1.7079492580961837</v>
      </c>
      <c r="S51">
        <v>19838.315999999999</v>
      </c>
    </row>
    <row r="52" spans="1:19" x14ac:dyDescent="0.25">
      <c r="A52" s="3">
        <v>1.23766146598626E+18</v>
      </c>
      <c r="B52" s="3">
        <v>236.36339000000001</v>
      </c>
      <c r="C52" s="3">
        <v>35.81127</v>
      </c>
      <c r="D52" s="3">
        <v>6.6331390000000004E-2</v>
      </c>
      <c r="E52" s="3">
        <v>1.9531499999999973</v>
      </c>
      <c r="F52" s="3">
        <v>2.8321899999999971</v>
      </c>
      <c r="G52" s="3">
        <v>3.2434999999999974</v>
      </c>
      <c r="H52" s="3">
        <v>3.5411999999999999</v>
      </c>
      <c r="I52" s="3">
        <v>0.87903999999999982</v>
      </c>
      <c r="J52" s="3">
        <v>1.2903500000000001</v>
      </c>
      <c r="K52" s="3">
        <v>1.5880500000000026</v>
      </c>
      <c r="L52" s="3">
        <v>0.41131000000000029</v>
      </c>
      <c r="M52" s="3">
        <v>0.7090100000000028</v>
      </c>
      <c r="N52" s="3">
        <v>0.29770000000000252</v>
      </c>
      <c r="O52" s="13">
        <v>2.4647735827827049</v>
      </c>
      <c r="P52" s="13">
        <v>-0.54882830971976293</v>
      </c>
      <c r="Q52" s="13">
        <v>-0.29162885926855969</v>
      </c>
      <c r="R52">
        <v>1.6889331721481895</v>
      </c>
      <c r="S52">
        <v>19899.417000000001</v>
      </c>
    </row>
    <row r="53" spans="1:19" x14ac:dyDescent="0.25">
      <c r="A53" s="3">
        <v>1.2376624736908001E+18</v>
      </c>
      <c r="B53" s="3">
        <v>236.01835</v>
      </c>
      <c r="C53" s="3">
        <v>36.347510999999997</v>
      </c>
      <c r="D53" s="3">
        <v>6.6398659999999998E-2</v>
      </c>
      <c r="E53" s="3">
        <v>1.869130000000002</v>
      </c>
      <c r="F53" s="3">
        <v>2.7234100000000012</v>
      </c>
      <c r="G53" s="3">
        <v>3.1403800000000004</v>
      </c>
      <c r="H53" s="3">
        <v>3.4681500000000014</v>
      </c>
      <c r="I53" s="3">
        <v>0.85427999999999926</v>
      </c>
      <c r="J53" s="3">
        <v>1.2712499999999984</v>
      </c>
      <c r="K53" s="3">
        <v>1.5990199999999994</v>
      </c>
      <c r="L53" s="3">
        <v>0.41696999999999917</v>
      </c>
      <c r="M53" s="3">
        <v>0.74474000000000018</v>
      </c>
      <c r="N53" s="3">
        <v>0.327770000000001</v>
      </c>
      <c r="O53" s="13">
        <v>2.4889501480455922</v>
      </c>
      <c r="P53" s="13">
        <v>-0.1798059466270632</v>
      </c>
      <c r="Q53" s="13">
        <v>0.33003994932580938</v>
      </c>
      <c r="R53">
        <v>1.6224108235642953</v>
      </c>
      <c r="S53">
        <v>19919.597999999998</v>
      </c>
    </row>
    <row r="54" spans="1:19" x14ac:dyDescent="0.25">
      <c r="A54" s="3">
        <v>1.2376625032189E+18</v>
      </c>
      <c r="B54" s="3">
        <v>236.35445999999999</v>
      </c>
      <c r="C54" s="3">
        <v>36.020178999999999</v>
      </c>
      <c r="D54" s="3">
        <v>6.6449170000000002E-2</v>
      </c>
      <c r="E54" s="3">
        <v>2.0114400000000003</v>
      </c>
      <c r="F54" s="3">
        <v>2.9162999999999997</v>
      </c>
      <c r="G54" s="3">
        <v>3.3345599999999997</v>
      </c>
      <c r="H54" s="3">
        <v>3.6760200000000012</v>
      </c>
      <c r="I54" s="3">
        <v>0.90485999999999933</v>
      </c>
      <c r="J54" s="3">
        <v>1.3231199999999994</v>
      </c>
      <c r="K54" s="3">
        <v>1.6645800000000008</v>
      </c>
      <c r="L54" s="3">
        <v>0.41826000000000008</v>
      </c>
      <c r="M54" s="3">
        <v>0.75972000000000151</v>
      </c>
      <c r="N54" s="3">
        <v>0.34146000000000143</v>
      </c>
      <c r="O54" s="13">
        <v>2.2038580490172053</v>
      </c>
      <c r="P54" s="13">
        <v>-0.53222112923618303</v>
      </c>
      <c r="Q54" s="13">
        <v>0.21873537093130935</v>
      </c>
      <c r="R54">
        <v>0.67532664689993915</v>
      </c>
      <c r="S54">
        <v>19934.751</v>
      </c>
    </row>
    <row r="55" spans="1:19" x14ac:dyDescent="0.25">
      <c r="A55" s="3">
        <v>1.2376614659861299E+18</v>
      </c>
      <c r="B55" s="3">
        <v>235.9846</v>
      </c>
      <c r="C55" s="3">
        <v>35.897812000000002</v>
      </c>
      <c r="D55" s="3">
        <v>6.6573939999999998E-2</v>
      </c>
      <c r="E55" s="3">
        <v>1.8771599999999999</v>
      </c>
      <c r="F55" s="3">
        <v>2.7173900000000017</v>
      </c>
      <c r="G55" s="3">
        <v>3.1031900000000014</v>
      </c>
      <c r="H55" s="3">
        <v>3.3945299999999996</v>
      </c>
      <c r="I55" s="3">
        <v>0.84023000000000181</v>
      </c>
      <c r="J55" s="3">
        <v>1.2260300000000015</v>
      </c>
      <c r="K55" s="3">
        <v>1.5173699999999997</v>
      </c>
      <c r="L55" s="3">
        <v>0.3857999999999997</v>
      </c>
      <c r="M55" s="3">
        <v>0.67713999999999785</v>
      </c>
      <c r="N55" s="3">
        <v>0.29133999999999816</v>
      </c>
      <c r="O55" s="13">
        <v>2.7589272945324352</v>
      </c>
      <c r="P55" s="13">
        <v>-0.38374829955667022</v>
      </c>
      <c r="Q55" s="13">
        <v>-0.86913584162277047</v>
      </c>
      <c r="R55">
        <v>1.6145050256873967</v>
      </c>
      <c r="S55">
        <v>19972.182000000001</v>
      </c>
    </row>
    <row r="56" spans="1:19" x14ac:dyDescent="0.25">
      <c r="A56" s="3">
        <v>1.2376625032188301E+18</v>
      </c>
      <c r="B56" s="3">
        <v>236.21942000000001</v>
      </c>
      <c r="C56" s="3">
        <v>36.215575000000001</v>
      </c>
      <c r="D56" s="3">
        <v>6.6674170000000005E-2</v>
      </c>
      <c r="E56" s="3">
        <v>2.0042399999999994</v>
      </c>
      <c r="F56" s="3">
        <v>2.8588200000000015</v>
      </c>
      <c r="G56" s="3">
        <v>3.2528900000000007</v>
      </c>
      <c r="H56" s="3">
        <v>3.5459300000000002</v>
      </c>
      <c r="I56" s="3">
        <v>0.85458000000000212</v>
      </c>
      <c r="J56" s="3">
        <v>1.2486500000000014</v>
      </c>
      <c r="K56" s="3">
        <v>1.5416900000000009</v>
      </c>
      <c r="L56" s="3">
        <v>0.39406999999999925</v>
      </c>
      <c r="M56" s="3">
        <v>0.68710999999999878</v>
      </c>
      <c r="N56" s="3">
        <v>0.29303999999999952</v>
      </c>
      <c r="O56" s="13">
        <v>2.5404438566197016</v>
      </c>
      <c r="P56" s="13">
        <v>-0.50053306497752681</v>
      </c>
      <c r="Q56" s="13">
        <v>0.42973912218099375</v>
      </c>
      <c r="R56">
        <v>0.58422039092362565</v>
      </c>
      <c r="S56">
        <v>20002.251</v>
      </c>
    </row>
    <row r="57" spans="1:19" x14ac:dyDescent="0.25">
      <c r="A57" s="3">
        <v>1.23766247369087E+18</v>
      </c>
      <c r="B57" s="3">
        <v>236.14635000000001</v>
      </c>
      <c r="C57" s="3">
        <v>36.440747000000002</v>
      </c>
      <c r="D57" s="3">
        <v>6.6768380000000002E-2</v>
      </c>
      <c r="E57" s="3">
        <v>1.9153699999999994</v>
      </c>
      <c r="F57" s="3">
        <v>2.8350299999999997</v>
      </c>
      <c r="G57" s="3">
        <v>3.2627900000000007</v>
      </c>
      <c r="H57" s="3">
        <v>3.6264800000000008</v>
      </c>
      <c r="I57" s="3">
        <v>0.91966000000000037</v>
      </c>
      <c r="J57" s="3">
        <v>1.3474200000000014</v>
      </c>
      <c r="K57" s="3">
        <v>1.7111100000000015</v>
      </c>
      <c r="L57" s="3">
        <v>0.42776000000000103</v>
      </c>
      <c r="M57" s="3">
        <v>0.7914500000000011</v>
      </c>
      <c r="N57" s="3">
        <v>0.36369000000000007</v>
      </c>
      <c r="O57" s="13">
        <v>2.1474180502460527</v>
      </c>
      <c r="P57" s="13">
        <v>-0.22025708551375422</v>
      </c>
      <c r="Q57" s="13">
        <v>0.82434213614018437</v>
      </c>
      <c r="R57">
        <v>1.8395910870557817</v>
      </c>
      <c r="S57">
        <v>20030.513999999999</v>
      </c>
    </row>
    <row r="58" spans="1:19" x14ac:dyDescent="0.25">
      <c r="A58" s="3">
        <v>1.2376625032189E+18</v>
      </c>
      <c r="B58" s="3">
        <v>236.31521000000001</v>
      </c>
      <c r="C58" s="3">
        <v>36.017164000000001</v>
      </c>
      <c r="D58" s="3">
        <v>6.683443E-2</v>
      </c>
      <c r="E58" s="3">
        <v>1.9855599999999995</v>
      </c>
      <c r="F58" s="3">
        <v>2.8892299999999977</v>
      </c>
      <c r="G58" s="3">
        <v>3.304829999999999</v>
      </c>
      <c r="H58" s="3">
        <v>3.6335699999999989</v>
      </c>
      <c r="I58" s="3">
        <v>0.9036699999999982</v>
      </c>
      <c r="J58" s="3">
        <v>1.3192699999999995</v>
      </c>
      <c r="K58" s="3">
        <v>1.6480099999999993</v>
      </c>
      <c r="L58" s="3">
        <v>0.4156000000000013</v>
      </c>
      <c r="M58" s="3">
        <v>0.74434000000000111</v>
      </c>
      <c r="N58" s="3">
        <v>0.32873999999999981</v>
      </c>
      <c r="O58" s="13">
        <v>2.2769156827393608</v>
      </c>
      <c r="P58" s="13">
        <v>-0.50818958168529682</v>
      </c>
      <c r="Q58" s="13">
        <v>0.12363429411702902</v>
      </c>
      <c r="R58">
        <v>0.58247897651460845</v>
      </c>
      <c r="S58">
        <v>20050.329000000002</v>
      </c>
    </row>
    <row r="59" spans="1:19" x14ac:dyDescent="0.25">
      <c r="A59" s="3">
        <v>1.2376624736908001E+18</v>
      </c>
      <c r="B59" s="3">
        <v>236.14118999999999</v>
      </c>
      <c r="C59" s="3">
        <v>36.477392999999999</v>
      </c>
      <c r="D59" s="3">
        <v>6.6917630000000006E-2</v>
      </c>
      <c r="E59" s="3">
        <v>1.8567400000000021</v>
      </c>
      <c r="F59" s="3">
        <v>2.7475900000000006</v>
      </c>
      <c r="G59" s="3">
        <v>3.165140000000001</v>
      </c>
      <c r="H59" s="3">
        <v>3.5187400000000011</v>
      </c>
      <c r="I59" s="3">
        <v>0.89084999999999859</v>
      </c>
      <c r="J59" s="3">
        <v>1.3083999999999989</v>
      </c>
      <c r="K59" s="3">
        <v>1.661999999999999</v>
      </c>
      <c r="L59" s="3">
        <v>0.41755000000000031</v>
      </c>
      <c r="M59" s="3">
        <v>0.77115000000000045</v>
      </c>
      <c r="N59" s="3">
        <v>0.35360000000000014</v>
      </c>
      <c r="O59" s="13">
        <v>2.306730892062955</v>
      </c>
      <c r="P59" s="13">
        <v>-0.11685495710593737</v>
      </c>
      <c r="Q59" s="13">
        <v>0.9095096431358205</v>
      </c>
      <c r="R59">
        <v>2.0372055541738385</v>
      </c>
      <c r="S59">
        <v>20075.289000000001</v>
      </c>
    </row>
    <row r="60" spans="1:19" x14ac:dyDescent="0.25">
      <c r="A60" s="3">
        <v>1.2376625032189E+18</v>
      </c>
      <c r="B60" s="3">
        <v>236.36476999999999</v>
      </c>
      <c r="C60" s="3">
        <v>36.013185</v>
      </c>
      <c r="D60" s="3">
        <v>6.6954180000000002E-2</v>
      </c>
      <c r="E60" s="3">
        <v>1.9879899999999999</v>
      </c>
      <c r="F60" s="3">
        <v>2.9320899999999988</v>
      </c>
      <c r="G60" s="3">
        <v>3.3717400000000008</v>
      </c>
      <c r="H60" s="3">
        <v>3.7352000000000007</v>
      </c>
      <c r="I60" s="3">
        <v>0.94409999999999883</v>
      </c>
      <c r="J60" s="3">
        <v>1.3837500000000009</v>
      </c>
      <c r="K60" s="3">
        <v>1.7472100000000008</v>
      </c>
      <c r="L60" s="3">
        <v>0.43965000000000209</v>
      </c>
      <c r="M60" s="3">
        <v>0.80311000000000199</v>
      </c>
      <c r="N60" s="3">
        <v>0.36345999999999989</v>
      </c>
      <c r="O60" s="13">
        <v>2.0051698550465407</v>
      </c>
      <c r="P60" s="13">
        <v>-0.48225292735446212</v>
      </c>
      <c r="Q60" s="13">
        <v>0.21093258571496962</v>
      </c>
      <c r="R60">
        <v>0.73380658689833778</v>
      </c>
      <c r="S60">
        <v>20086.254000000001</v>
      </c>
    </row>
    <row r="61" spans="1:19" x14ac:dyDescent="0.25">
      <c r="A61" s="3">
        <v>1.23766250321903E+18</v>
      </c>
      <c r="B61" s="3">
        <v>236.59724</v>
      </c>
      <c r="C61" s="3">
        <v>35.946224000000001</v>
      </c>
      <c r="D61" s="3">
        <v>6.7003170000000001E-2</v>
      </c>
      <c r="E61" s="3">
        <v>1.8468900000000019</v>
      </c>
      <c r="F61" s="3">
        <v>2.6915700000000022</v>
      </c>
      <c r="G61" s="3">
        <v>3.0783799999999992</v>
      </c>
      <c r="H61" s="3">
        <v>3.3844700000000003</v>
      </c>
      <c r="I61" s="3">
        <v>0.84468000000000032</v>
      </c>
      <c r="J61" s="3">
        <v>1.2314899999999973</v>
      </c>
      <c r="K61" s="3">
        <v>1.5375799999999984</v>
      </c>
      <c r="L61" s="3">
        <v>0.38680999999999699</v>
      </c>
      <c r="M61" s="3">
        <v>0.69289999999999807</v>
      </c>
      <c r="N61" s="3">
        <v>0.30609000000000108</v>
      </c>
      <c r="O61" s="13">
        <v>2.6021790496031589</v>
      </c>
      <c r="P61" s="13">
        <v>-0.33194848226247059</v>
      </c>
      <c r="Q61" s="13">
        <v>0.55189009641868836</v>
      </c>
      <c r="R61">
        <v>1.768084354335518</v>
      </c>
      <c r="S61">
        <v>20100.951000000001</v>
      </c>
    </row>
    <row r="62" spans="1:19" x14ac:dyDescent="0.25">
      <c r="A62" s="3">
        <v>1.2376625032188301E+18</v>
      </c>
      <c r="B62" s="3">
        <v>236.08357000000001</v>
      </c>
      <c r="C62" s="3">
        <v>36.118487999999999</v>
      </c>
      <c r="D62" s="3">
        <v>6.7073629999999995E-2</v>
      </c>
      <c r="E62" s="3">
        <v>1.8969799999999992</v>
      </c>
      <c r="F62" s="3">
        <v>2.7920300000000005</v>
      </c>
      <c r="G62" s="3">
        <v>3.2015000000000011</v>
      </c>
      <c r="H62" s="3">
        <v>3.5157300000000014</v>
      </c>
      <c r="I62" s="3">
        <v>0.89505000000000123</v>
      </c>
      <c r="J62" s="3">
        <v>1.3045200000000019</v>
      </c>
      <c r="K62" s="3">
        <v>1.6187500000000021</v>
      </c>
      <c r="L62" s="3">
        <v>0.40947000000000067</v>
      </c>
      <c r="M62" s="3">
        <v>0.7237000000000009</v>
      </c>
      <c r="N62" s="3">
        <v>0.31423000000000023</v>
      </c>
      <c r="O62" s="13">
        <v>2.4522280139287012</v>
      </c>
      <c r="P62" s="13">
        <v>-0.34527147801880631</v>
      </c>
      <c r="Q62" s="13">
        <v>-0.11998963621329865</v>
      </c>
      <c r="R62">
        <v>0.70970282895518888</v>
      </c>
      <c r="S62">
        <v>20122.089</v>
      </c>
    </row>
    <row r="63" spans="1:19" x14ac:dyDescent="0.25">
      <c r="A63" s="3">
        <v>1.2376624736910001E+18</v>
      </c>
      <c r="B63" s="3">
        <v>236.43284</v>
      </c>
      <c r="C63" s="3">
        <v>36.130147999999998</v>
      </c>
      <c r="D63" s="3">
        <v>6.7119040000000005E-2</v>
      </c>
      <c r="E63" s="3">
        <v>1.8868599999999986</v>
      </c>
      <c r="F63" s="3">
        <v>2.7563899999999997</v>
      </c>
      <c r="G63" s="3">
        <v>3.1540900000000001</v>
      </c>
      <c r="H63" s="3">
        <v>3.4734300000000005</v>
      </c>
      <c r="I63" s="3">
        <v>0.86953000000000102</v>
      </c>
      <c r="J63" s="3">
        <v>1.2672300000000014</v>
      </c>
      <c r="K63" s="3">
        <v>1.5865700000000018</v>
      </c>
      <c r="L63" s="3">
        <v>0.39770000000000039</v>
      </c>
      <c r="M63" s="3">
        <v>0.71704000000000079</v>
      </c>
      <c r="N63" s="3">
        <v>0.3193400000000004</v>
      </c>
      <c r="O63" s="13">
        <v>2.4659676790274045</v>
      </c>
      <c r="P63" s="13">
        <v>-0.32456755308667434</v>
      </c>
      <c r="Q63" s="13">
        <v>0.6608029969672734</v>
      </c>
      <c r="R63">
        <v>0.82217386121224878</v>
      </c>
      <c r="S63">
        <v>20135.712000000003</v>
      </c>
    </row>
    <row r="64" spans="1:19" x14ac:dyDescent="0.25">
      <c r="A64" s="3">
        <v>1.2376625037557701E+18</v>
      </c>
      <c r="B64" s="3">
        <v>236.58447000000001</v>
      </c>
      <c r="C64" s="3">
        <v>36.317391000000001</v>
      </c>
      <c r="D64" s="3">
        <v>6.7139190000000001E-2</v>
      </c>
      <c r="E64" s="3">
        <v>1.813209999999998</v>
      </c>
      <c r="F64" s="3">
        <v>2.6355199999999996</v>
      </c>
      <c r="G64" s="3">
        <v>3.0365199999999994</v>
      </c>
      <c r="H64" s="3">
        <v>3.3049299999999988</v>
      </c>
      <c r="I64" s="3">
        <v>0.82231000000000165</v>
      </c>
      <c r="J64" s="3">
        <v>1.2233100000000015</v>
      </c>
      <c r="K64" s="3">
        <v>1.4917200000000008</v>
      </c>
      <c r="L64" s="3">
        <v>0.4009999999999998</v>
      </c>
      <c r="M64" s="3">
        <v>0.66940999999999917</v>
      </c>
      <c r="N64" s="3">
        <v>0.26840999999999937</v>
      </c>
      <c r="O64" s="13">
        <v>2.7124186957461247</v>
      </c>
      <c r="P64" s="13">
        <v>-0.19293443376184732</v>
      </c>
      <c r="Q64" s="13">
        <v>1.4497408242898862</v>
      </c>
      <c r="R64">
        <v>1.852345487697002</v>
      </c>
      <c r="S64">
        <v>20141.757000000001</v>
      </c>
    </row>
    <row r="65" spans="1:19" x14ac:dyDescent="0.25">
      <c r="A65" s="3">
        <v>1.2376625032189701E+18</v>
      </c>
      <c r="B65" s="3">
        <v>236.51518999999999</v>
      </c>
      <c r="C65" s="3">
        <v>35.948939000000003</v>
      </c>
      <c r="D65" s="3">
        <v>6.7181210000000005E-2</v>
      </c>
      <c r="E65" s="3">
        <v>1.9525100000000002</v>
      </c>
      <c r="F65" s="3">
        <v>2.8408200000000008</v>
      </c>
      <c r="G65" s="3">
        <v>3.2486800000000002</v>
      </c>
      <c r="H65" s="3">
        <v>3.5651400000000013</v>
      </c>
      <c r="I65" s="3">
        <v>0.8883100000000006</v>
      </c>
      <c r="J65" s="3">
        <v>1.29617</v>
      </c>
      <c r="K65" s="3">
        <v>1.6126300000000011</v>
      </c>
      <c r="L65" s="3">
        <v>0.40785999999999945</v>
      </c>
      <c r="M65" s="3">
        <v>0.72432000000000052</v>
      </c>
      <c r="N65" s="3">
        <v>0.31646000000000107</v>
      </c>
      <c r="O65" s="13">
        <v>2.3588611714367991</v>
      </c>
      <c r="P65" s="13">
        <v>-0.49618287623231955</v>
      </c>
      <c r="Q65" s="13">
        <v>0.37751824357513813</v>
      </c>
      <c r="R65">
        <v>1.4597160279211154</v>
      </c>
      <c r="S65">
        <v>20154.363000000001</v>
      </c>
    </row>
    <row r="66" spans="1:19" x14ac:dyDescent="0.25">
      <c r="A66" s="3">
        <v>1.23766247369074E+18</v>
      </c>
      <c r="B66" s="3">
        <v>235.96593999999999</v>
      </c>
      <c r="C66" s="3">
        <v>36.560442999999999</v>
      </c>
      <c r="D66" s="3">
        <v>6.7340609999999995E-2</v>
      </c>
      <c r="E66" s="3">
        <v>1.8488100000000003</v>
      </c>
      <c r="F66" s="3">
        <v>2.7378399999999985</v>
      </c>
      <c r="G66" s="3">
        <v>3.1393899999999988</v>
      </c>
      <c r="H66" s="3">
        <v>3.4502999999999986</v>
      </c>
      <c r="I66" s="3">
        <v>0.88902999999999821</v>
      </c>
      <c r="J66" s="3">
        <v>1.2905799999999985</v>
      </c>
      <c r="K66" s="3">
        <v>1.6014899999999983</v>
      </c>
      <c r="L66" s="3">
        <v>0.4015500000000003</v>
      </c>
      <c r="M66" s="3">
        <v>0.71246000000000009</v>
      </c>
      <c r="N66" s="3">
        <v>0.3109099999999998</v>
      </c>
      <c r="O66" s="13">
        <v>2.5163722852844796</v>
      </c>
      <c r="P66" s="13">
        <v>-0.13641904962855592</v>
      </c>
      <c r="Q66" s="13">
        <v>0.73757206588677626</v>
      </c>
      <c r="R66">
        <v>2.7212771313963042</v>
      </c>
      <c r="S66">
        <v>20202.182999999997</v>
      </c>
    </row>
    <row r="67" spans="1:19" x14ac:dyDescent="0.25">
      <c r="A67" s="3">
        <v>1.2376624736909299E+18</v>
      </c>
      <c r="B67" s="3">
        <v>236.32599999999999</v>
      </c>
      <c r="C67" s="3">
        <v>36.213644000000002</v>
      </c>
      <c r="D67" s="3">
        <v>6.7534540000000004E-2</v>
      </c>
      <c r="E67" s="3">
        <v>1.9074799999999996</v>
      </c>
      <c r="F67" s="3">
        <v>2.7887000000000022</v>
      </c>
      <c r="G67" s="3">
        <v>3.2061600000000006</v>
      </c>
      <c r="H67" s="3">
        <v>3.5120100000000001</v>
      </c>
      <c r="I67" s="3">
        <v>0.88122000000000256</v>
      </c>
      <c r="J67" s="3">
        <v>1.2986800000000009</v>
      </c>
      <c r="K67" s="3">
        <v>1.6045300000000005</v>
      </c>
      <c r="L67" s="3">
        <v>0.41745999999999839</v>
      </c>
      <c r="M67" s="3">
        <v>0.7233099999999979</v>
      </c>
      <c r="N67" s="3">
        <v>0.30584999999999951</v>
      </c>
      <c r="O67" s="13">
        <v>2.4203967620226825</v>
      </c>
      <c r="P67" s="13">
        <v>-0.34054108055450949</v>
      </c>
      <c r="Q67" s="13">
        <v>0.63530323847568804</v>
      </c>
      <c r="R67">
        <v>0.66154725601913977</v>
      </c>
      <c r="S67">
        <v>20260.362000000001</v>
      </c>
    </row>
    <row r="68" spans="1:19" x14ac:dyDescent="0.25">
      <c r="A68" s="3">
        <v>1.2376625032187699E+18</v>
      </c>
      <c r="B68" s="3">
        <v>236.09370999999999</v>
      </c>
      <c r="C68" s="3">
        <v>36.178286</v>
      </c>
      <c r="D68" s="3">
        <v>6.7626790000000006E-2</v>
      </c>
      <c r="E68" s="3">
        <v>1.7988499999999981</v>
      </c>
      <c r="F68" s="3">
        <v>2.6768399999999986</v>
      </c>
      <c r="G68" s="3">
        <v>3.07789</v>
      </c>
      <c r="H68" s="3">
        <v>3.3715099999999989</v>
      </c>
      <c r="I68" s="3">
        <v>0.87799000000000049</v>
      </c>
      <c r="J68" s="3">
        <v>1.279040000000002</v>
      </c>
      <c r="K68" s="3">
        <v>1.5726600000000008</v>
      </c>
      <c r="L68" s="3">
        <v>0.40105000000000146</v>
      </c>
      <c r="M68" s="3">
        <v>0.69467000000000034</v>
      </c>
      <c r="N68" s="3">
        <v>0.29361999999999888</v>
      </c>
      <c r="O68" s="13">
        <v>2.6339482051371808</v>
      </c>
      <c r="P68" s="13">
        <v>-0.19428994544810682</v>
      </c>
      <c r="Q68" s="13">
        <v>4.6123537837104676E-2</v>
      </c>
      <c r="R68">
        <v>0.76044491802252312</v>
      </c>
      <c r="S68">
        <v>20288.037</v>
      </c>
    </row>
    <row r="69" spans="1:19" x14ac:dyDescent="0.25">
      <c r="A69" s="3">
        <v>1.2376625032188301E+18</v>
      </c>
      <c r="B69" s="3">
        <v>236.11035000000001</v>
      </c>
      <c r="C69" s="3">
        <v>36.119973000000002</v>
      </c>
      <c r="D69" s="3">
        <v>6.7648449999999999E-2</v>
      </c>
      <c r="E69" s="3">
        <v>1.8811199999999992</v>
      </c>
      <c r="F69" s="3">
        <v>2.781369999999999</v>
      </c>
      <c r="G69" s="3">
        <v>3.2020599999999995</v>
      </c>
      <c r="H69" s="3">
        <v>3.5395499999999984</v>
      </c>
      <c r="I69" s="3">
        <v>0.90024999999999977</v>
      </c>
      <c r="J69" s="3">
        <v>1.3209400000000002</v>
      </c>
      <c r="K69" s="3">
        <v>1.6584299999999992</v>
      </c>
      <c r="L69" s="3">
        <v>0.42069000000000045</v>
      </c>
      <c r="M69" s="3">
        <v>0.75817999999999941</v>
      </c>
      <c r="N69" s="3">
        <v>0.33748999999999896</v>
      </c>
      <c r="O69" s="13">
        <v>2.3434342052231609</v>
      </c>
      <c r="P69" s="13">
        <v>-0.28656459642063503</v>
      </c>
      <c r="Q69" s="13">
        <v>-5.8104556039857959E-2</v>
      </c>
      <c r="R69">
        <v>0.59399050664315445</v>
      </c>
      <c r="S69">
        <v>20294.535</v>
      </c>
    </row>
    <row r="70" spans="1:19" x14ac:dyDescent="0.25">
      <c r="A70" s="3">
        <v>1.23766250321903E+18</v>
      </c>
      <c r="B70" s="3">
        <v>236.61057</v>
      </c>
      <c r="C70" s="3">
        <v>35.901086999999997</v>
      </c>
      <c r="D70" s="3">
        <v>6.7894540000000003E-2</v>
      </c>
      <c r="E70" s="3">
        <v>1.6896699999999996</v>
      </c>
      <c r="F70" s="3">
        <v>2.5334800000000008</v>
      </c>
      <c r="G70" s="3">
        <v>2.9314199999999992</v>
      </c>
      <c r="H70" s="3">
        <v>3.2116299999999995</v>
      </c>
      <c r="I70" s="3">
        <v>0.84381000000000128</v>
      </c>
      <c r="J70" s="3">
        <v>1.2417499999999997</v>
      </c>
      <c r="K70" s="3">
        <v>1.52196</v>
      </c>
      <c r="L70" s="3">
        <v>0.39793999999999841</v>
      </c>
      <c r="M70" s="3">
        <v>0.6781499999999987</v>
      </c>
      <c r="N70" s="3">
        <v>0.28021000000000029</v>
      </c>
      <c r="O70" s="13">
        <v>2.7544103213449374</v>
      </c>
      <c r="P70" s="13">
        <v>-0.12593767537940204</v>
      </c>
      <c r="Q70" s="13">
        <v>0.44817890139696653</v>
      </c>
      <c r="R70">
        <v>1.9487999619048335</v>
      </c>
      <c r="S70">
        <v>20368.362000000001</v>
      </c>
    </row>
    <row r="71" spans="1:19" x14ac:dyDescent="0.25">
      <c r="A71" s="3">
        <v>1.2376625037558999E+18</v>
      </c>
      <c r="B71" s="3">
        <v>236.80717999999999</v>
      </c>
      <c r="C71" s="3">
        <v>36.161382000000003</v>
      </c>
      <c r="D71" s="3">
        <v>6.8195469999999994E-2</v>
      </c>
      <c r="E71" s="3">
        <v>1.9433100000000003</v>
      </c>
      <c r="F71" s="3">
        <v>2.7389499999999991</v>
      </c>
      <c r="G71" s="3">
        <v>3.0961700000000008</v>
      </c>
      <c r="H71" s="3">
        <v>3.3600399999999979</v>
      </c>
      <c r="I71" s="3">
        <v>0.79563999999999879</v>
      </c>
      <c r="J71" s="3">
        <v>1.1528600000000004</v>
      </c>
      <c r="K71" s="3">
        <v>1.4167299999999976</v>
      </c>
      <c r="L71" s="3">
        <v>0.35722000000000165</v>
      </c>
      <c r="M71" s="3">
        <v>0.62108999999999881</v>
      </c>
      <c r="N71" s="3">
        <v>0.26386999999999716</v>
      </c>
      <c r="O71" s="13">
        <v>2.7948532211070818</v>
      </c>
      <c r="P71" s="13">
        <v>-0.46759060705650829</v>
      </c>
      <c r="Q71" s="13">
        <v>1.5535360491171384</v>
      </c>
      <c r="R71">
        <v>2.4619321178881228</v>
      </c>
      <c r="S71">
        <v>20458.641</v>
      </c>
    </row>
    <row r="72" spans="1:19" x14ac:dyDescent="0.25">
      <c r="A72" s="3">
        <v>1.2376624736908001E+18</v>
      </c>
      <c r="B72" s="3">
        <v>236.03367</v>
      </c>
      <c r="C72" s="3">
        <v>36.556773</v>
      </c>
      <c r="D72" s="3">
        <v>6.8495280000000006E-2</v>
      </c>
      <c r="E72" s="3">
        <v>1.7509900000000016</v>
      </c>
      <c r="F72" s="3">
        <v>2.5737000000000005</v>
      </c>
      <c r="G72" s="3">
        <v>2.9553600000000007</v>
      </c>
      <c r="H72" s="3">
        <v>3.2679700000000018</v>
      </c>
      <c r="I72" s="3">
        <v>0.82270999999999894</v>
      </c>
      <c r="J72" s="3">
        <v>1.2043699999999991</v>
      </c>
      <c r="K72" s="3">
        <v>1.5169800000000002</v>
      </c>
      <c r="L72" s="3">
        <v>0.38166000000000011</v>
      </c>
      <c r="M72" s="3">
        <v>0.69427000000000127</v>
      </c>
      <c r="N72" s="3">
        <v>0.31261000000000116</v>
      </c>
      <c r="O72" s="13">
        <v>2.7643371058624875</v>
      </c>
      <c r="P72" s="13">
        <v>4.9207450756514379E-2</v>
      </c>
      <c r="Q72" s="13">
        <v>0.88998036736254038</v>
      </c>
      <c r="R72">
        <v>2.5844001972309258</v>
      </c>
      <c r="S72">
        <v>20548.584000000003</v>
      </c>
    </row>
    <row r="73" spans="1:19" x14ac:dyDescent="0.25">
      <c r="A73" s="3">
        <v>1.2376624731539999E+18</v>
      </c>
      <c r="B73" s="3">
        <v>235.94121000000001</v>
      </c>
      <c r="C73" s="3">
        <v>36.107756999999999</v>
      </c>
      <c r="D73" s="3">
        <v>6.8518010000000004E-2</v>
      </c>
      <c r="E73" s="3">
        <v>1.8187500000000014</v>
      </c>
      <c r="F73" s="3">
        <v>2.6358999999999995</v>
      </c>
      <c r="G73" s="3">
        <v>3.0136400000000005</v>
      </c>
      <c r="H73" s="3">
        <v>3.3060799999999997</v>
      </c>
      <c r="I73" s="3">
        <v>0.81714999999999804</v>
      </c>
      <c r="J73" s="3">
        <v>1.1948899999999991</v>
      </c>
      <c r="K73" s="3">
        <v>1.4873299999999983</v>
      </c>
      <c r="L73" s="3">
        <v>0.37774000000000107</v>
      </c>
      <c r="M73" s="3">
        <v>0.67018000000000022</v>
      </c>
      <c r="N73" s="3">
        <v>0.29243999999999915</v>
      </c>
      <c r="O73" s="13">
        <v>2.8567750034698114</v>
      </c>
      <c r="P73" s="13">
        <v>-0.21326224465977367</v>
      </c>
      <c r="Q73" s="13">
        <v>-0.43003333323201809</v>
      </c>
      <c r="R73">
        <v>1.3287770152613074</v>
      </c>
      <c r="S73">
        <v>20555.403000000002</v>
      </c>
    </row>
    <row r="74" spans="1:19" x14ac:dyDescent="0.25">
      <c r="A74" s="3">
        <v>1.2376625032188301E+18</v>
      </c>
      <c r="B74" s="3">
        <v>236.21589</v>
      </c>
      <c r="C74" s="3">
        <v>36.166634999999999</v>
      </c>
      <c r="D74" s="3">
        <v>6.8595450000000002E-2</v>
      </c>
      <c r="E74" s="3">
        <v>1.8478600000000007</v>
      </c>
      <c r="F74" s="3">
        <v>2.7456099999999992</v>
      </c>
      <c r="G74" s="3">
        <v>3.1833299999999998</v>
      </c>
      <c r="H74" s="3">
        <v>3.5115099999999995</v>
      </c>
      <c r="I74" s="3">
        <v>0.89774999999999849</v>
      </c>
      <c r="J74" s="3">
        <v>1.335469999999999</v>
      </c>
      <c r="K74" s="3">
        <v>1.6636499999999987</v>
      </c>
      <c r="L74" s="3">
        <v>0.43772000000000055</v>
      </c>
      <c r="M74" s="3">
        <v>0.76590000000000025</v>
      </c>
      <c r="N74" s="3">
        <v>0.32817999999999969</v>
      </c>
      <c r="O74" s="13">
        <v>2.3224824060832714</v>
      </c>
      <c r="P74" s="13">
        <v>-0.22473323976204082</v>
      </c>
      <c r="Q74" s="13">
        <v>0.27680094150374063</v>
      </c>
      <c r="R74">
        <v>0.33525437214035148</v>
      </c>
      <c r="S74">
        <v>20578.635000000002</v>
      </c>
    </row>
    <row r="75" spans="1:19" x14ac:dyDescent="0.25">
      <c r="A75" s="3">
        <v>1.23766247369074E+18</v>
      </c>
      <c r="B75" s="3">
        <v>236.01264</v>
      </c>
      <c r="C75" s="3">
        <v>36.597296999999998</v>
      </c>
      <c r="D75" s="3">
        <v>6.8684869999999995E-2</v>
      </c>
      <c r="E75" s="3">
        <v>1.8165699999999987</v>
      </c>
      <c r="F75" s="3">
        <v>2.6432899999999986</v>
      </c>
      <c r="G75" s="3">
        <v>3.0209599999999988</v>
      </c>
      <c r="H75" s="3">
        <v>3.3230299999999975</v>
      </c>
      <c r="I75" s="3">
        <v>0.8267199999999999</v>
      </c>
      <c r="J75" s="3">
        <v>1.2043900000000001</v>
      </c>
      <c r="K75" s="3">
        <v>1.5064599999999988</v>
      </c>
      <c r="L75" s="3">
        <v>0.37767000000000017</v>
      </c>
      <c r="M75" s="3">
        <v>0.6797399999999989</v>
      </c>
      <c r="N75" s="3">
        <v>0.30206999999999873</v>
      </c>
      <c r="O75" s="13">
        <v>2.7547145733009573</v>
      </c>
      <c r="P75" s="13">
        <v>-5.9527961586132307E-2</v>
      </c>
      <c r="Q75" s="13">
        <v>0.94828291138221532</v>
      </c>
      <c r="R75">
        <v>2.8212471416323228</v>
      </c>
      <c r="S75">
        <v>20605.460999999999</v>
      </c>
    </row>
    <row r="76" spans="1:19" x14ac:dyDescent="0.25">
      <c r="A76" s="3">
        <v>1.2376614659863301E+18</v>
      </c>
      <c r="B76" s="3">
        <v>236.32719</v>
      </c>
      <c r="C76" s="3">
        <v>35.705584000000002</v>
      </c>
      <c r="D76" s="3">
        <v>6.8698999999999996E-2</v>
      </c>
      <c r="E76" s="3">
        <v>1.5968499999999999</v>
      </c>
      <c r="F76" s="3">
        <v>2.3666499999999999</v>
      </c>
      <c r="G76" s="3">
        <v>2.7378499999999981</v>
      </c>
      <c r="H76" s="3">
        <v>3.0450099999999978</v>
      </c>
      <c r="I76" s="3">
        <v>0.76980000000000004</v>
      </c>
      <c r="J76" s="3">
        <v>1.1409999999999982</v>
      </c>
      <c r="K76" s="3">
        <v>1.4481599999999979</v>
      </c>
      <c r="L76" s="3">
        <v>0.3711999999999982</v>
      </c>
      <c r="M76" s="3">
        <v>0.67835999999999785</v>
      </c>
      <c r="N76" s="3">
        <v>0.30715999999999966</v>
      </c>
      <c r="O76" s="13">
        <v>3.0445421714523073</v>
      </c>
      <c r="P76" s="13">
        <v>4.441549311027107E-2</v>
      </c>
      <c r="Q76" s="13">
        <v>-0.61550366149741131</v>
      </c>
      <c r="R76">
        <v>2.2082528838550757</v>
      </c>
      <c r="S76">
        <v>20609.699999999997</v>
      </c>
    </row>
    <row r="77" spans="1:19" x14ac:dyDescent="0.25">
      <c r="A77" s="3">
        <v>1.2376625032189E+18</v>
      </c>
      <c r="B77" s="3">
        <v>236.34595999999999</v>
      </c>
      <c r="C77" s="3">
        <v>36.106417999999998</v>
      </c>
      <c r="D77" s="3">
        <v>6.8745210000000001E-2</v>
      </c>
      <c r="E77" s="3">
        <v>1.9429799999999986</v>
      </c>
      <c r="F77" s="3">
        <v>2.8477899999999998</v>
      </c>
      <c r="G77" s="3">
        <v>3.2625100000000007</v>
      </c>
      <c r="H77" s="3">
        <v>3.5661400000000008</v>
      </c>
      <c r="I77" s="3">
        <v>0.90481000000000122</v>
      </c>
      <c r="J77" s="3">
        <v>1.3195300000000021</v>
      </c>
      <c r="K77" s="3">
        <v>1.6231600000000022</v>
      </c>
      <c r="L77" s="3">
        <v>0.41472000000000087</v>
      </c>
      <c r="M77" s="3">
        <v>0.71835000000000093</v>
      </c>
      <c r="N77" s="3">
        <v>0.30363000000000007</v>
      </c>
      <c r="O77" s="13">
        <v>2.3647163778553844</v>
      </c>
      <c r="P77" s="13">
        <v>-0.449229862149638</v>
      </c>
      <c r="Q77" s="13">
        <v>0.40311105703620864</v>
      </c>
      <c r="R77">
        <v>0.43620623965546879</v>
      </c>
      <c r="S77">
        <v>20623.563000000002</v>
      </c>
    </row>
    <row r="78" spans="1:19" x14ac:dyDescent="0.25">
      <c r="A78" s="3">
        <v>1.2376624736910001E+18</v>
      </c>
      <c r="B78" s="3">
        <v>236.36196000000001</v>
      </c>
      <c r="C78" s="3">
        <v>36.155037</v>
      </c>
      <c r="D78" s="3">
        <v>6.8889779999999998E-2</v>
      </c>
      <c r="E78" s="3">
        <v>1.8213399999999993</v>
      </c>
      <c r="F78" s="3">
        <v>2.6524799999999971</v>
      </c>
      <c r="G78" s="3">
        <v>3.040619999999997</v>
      </c>
      <c r="H78" s="3">
        <v>3.3378999999999976</v>
      </c>
      <c r="I78" s="3">
        <v>0.83113999999999777</v>
      </c>
      <c r="J78" s="3">
        <v>1.2192799999999977</v>
      </c>
      <c r="K78" s="3">
        <v>1.5165599999999984</v>
      </c>
      <c r="L78" s="3">
        <v>0.38813999999999993</v>
      </c>
      <c r="M78" s="3">
        <v>0.68542000000000058</v>
      </c>
      <c r="N78" s="3">
        <v>0.29728000000000065</v>
      </c>
      <c r="O78" s="13">
        <v>2.6951915732202631</v>
      </c>
      <c r="P78" s="13">
        <v>-0.21867204836572643</v>
      </c>
      <c r="Q78" s="13">
        <v>0.57660830938027496</v>
      </c>
      <c r="R78">
        <v>0.56215857671187697</v>
      </c>
      <c r="S78">
        <v>20666.934000000001</v>
      </c>
    </row>
    <row r="79" spans="1:19" x14ac:dyDescent="0.25">
      <c r="A79" s="3">
        <v>1.23766247315406E+18</v>
      </c>
      <c r="B79" s="3">
        <v>236.03241</v>
      </c>
      <c r="C79" s="3">
        <v>36.017156</v>
      </c>
      <c r="D79" s="3">
        <v>6.8977289999999997E-2</v>
      </c>
      <c r="E79" s="3">
        <v>1.7911199999999994</v>
      </c>
      <c r="F79" s="3">
        <v>2.6652400000000007</v>
      </c>
      <c r="G79" s="3">
        <v>3.1387599999999978</v>
      </c>
      <c r="H79" s="3">
        <v>3.4508799999999979</v>
      </c>
      <c r="I79" s="3">
        <v>0.87412000000000134</v>
      </c>
      <c r="J79" s="3">
        <v>1.3476399999999984</v>
      </c>
      <c r="K79" s="3">
        <v>1.6597599999999986</v>
      </c>
      <c r="L79" s="3">
        <v>0.47351999999999705</v>
      </c>
      <c r="M79" s="3">
        <v>0.78563999999999723</v>
      </c>
      <c r="N79" s="3">
        <v>0.31212000000000018</v>
      </c>
      <c r="O79" s="13">
        <v>2.3980197631992746</v>
      </c>
      <c r="P79" s="13">
        <v>-0.15548624522949289</v>
      </c>
      <c r="Q79" s="13">
        <v>-0.49202323934418224</v>
      </c>
      <c r="R79">
        <v>1.0564641747642374</v>
      </c>
      <c r="S79">
        <v>20693.186999999998</v>
      </c>
    </row>
    <row r="80" spans="1:19" x14ac:dyDescent="0.25">
      <c r="A80" s="3">
        <v>1.2376625032189E+18</v>
      </c>
      <c r="B80" s="3">
        <v>236.28028</v>
      </c>
      <c r="C80" s="3">
        <v>36.090775999999998</v>
      </c>
      <c r="D80" s="3">
        <v>6.9101659999999995E-2</v>
      </c>
      <c r="E80" s="3">
        <v>1.8897899999999979</v>
      </c>
      <c r="F80" s="3">
        <v>2.8221600000000002</v>
      </c>
      <c r="G80" s="3">
        <v>3.2669999999999995</v>
      </c>
      <c r="H80" s="3">
        <v>3.6051099999999998</v>
      </c>
      <c r="I80" s="3">
        <v>0.93237000000000236</v>
      </c>
      <c r="J80" s="3">
        <v>1.3772100000000016</v>
      </c>
      <c r="K80" s="3">
        <v>1.715320000000002</v>
      </c>
      <c r="L80" s="3">
        <v>0.44483999999999924</v>
      </c>
      <c r="M80" s="3">
        <v>0.78294999999999959</v>
      </c>
      <c r="N80" s="3">
        <v>0.33811000000000035</v>
      </c>
      <c r="O80" s="13">
        <v>2.1632030962775097</v>
      </c>
      <c r="P80" s="13">
        <v>-0.322006689850106</v>
      </c>
      <c r="Q80" s="13">
        <v>0.21611123493039933</v>
      </c>
      <c r="R80">
        <v>0.18037073474107862</v>
      </c>
      <c r="S80">
        <v>20730.498</v>
      </c>
    </row>
    <row r="81" spans="1:19" x14ac:dyDescent="0.25">
      <c r="A81" s="3">
        <v>1.2376614659863301E+18</v>
      </c>
      <c r="B81" s="3">
        <v>236.30957000000001</v>
      </c>
      <c r="C81" s="3">
        <v>35.697831999999998</v>
      </c>
      <c r="D81" s="3">
        <v>6.9270659999999998E-2</v>
      </c>
      <c r="E81" s="3">
        <v>1.9167699999999996</v>
      </c>
      <c r="F81" s="3">
        <v>2.8183199999999999</v>
      </c>
      <c r="G81" s="3">
        <v>3.2471199999999989</v>
      </c>
      <c r="H81" s="3">
        <v>3.5528300000000002</v>
      </c>
      <c r="I81" s="3">
        <v>0.9015500000000003</v>
      </c>
      <c r="J81" s="3">
        <v>1.3303499999999993</v>
      </c>
      <c r="K81" s="3">
        <v>1.6360600000000005</v>
      </c>
      <c r="L81" s="3">
        <v>0.42879999999999896</v>
      </c>
      <c r="M81" s="3">
        <v>0.73451000000000022</v>
      </c>
      <c r="N81" s="3">
        <v>0.30571000000000126</v>
      </c>
      <c r="O81" s="13">
        <v>2.3815623613012065</v>
      </c>
      <c r="P81" s="13">
        <v>-0.51540146898437411</v>
      </c>
      <c r="Q81" s="13">
        <v>-0.70093449413551512</v>
      </c>
      <c r="R81">
        <v>2.2386950062963855</v>
      </c>
      <c r="S81">
        <v>20781.198</v>
      </c>
    </row>
    <row r="82" spans="1:19" x14ac:dyDescent="0.25">
      <c r="A82" s="3">
        <v>1.2376624736909299E+18</v>
      </c>
      <c r="B82" s="3">
        <v>236.19955999999999</v>
      </c>
      <c r="C82" s="3">
        <v>36.264617999999999</v>
      </c>
      <c r="D82" s="3">
        <v>6.9475839999999997E-2</v>
      </c>
      <c r="E82" s="3">
        <v>1.72682</v>
      </c>
      <c r="F82" s="3">
        <v>2.5693999999999981</v>
      </c>
      <c r="G82" s="3">
        <v>2.9609699999999997</v>
      </c>
      <c r="H82" s="3">
        <v>3.2605900000000005</v>
      </c>
      <c r="I82" s="3">
        <v>0.84257999999999811</v>
      </c>
      <c r="J82" s="3">
        <v>1.2341499999999996</v>
      </c>
      <c r="K82" s="3">
        <v>1.5337700000000005</v>
      </c>
      <c r="L82" s="3">
        <v>0.39157000000000153</v>
      </c>
      <c r="M82" s="3">
        <v>0.69119000000000241</v>
      </c>
      <c r="N82" s="3">
        <v>0.29962000000000089</v>
      </c>
      <c r="O82" s="13">
        <v>2.7390747016768002</v>
      </c>
      <c r="P82" s="13">
        <v>-3.2355509753253055E-2</v>
      </c>
      <c r="Q82" s="13">
        <v>0.49636100063411981</v>
      </c>
      <c r="R82">
        <v>0.86136950659901601</v>
      </c>
      <c r="S82">
        <v>20842.752</v>
      </c>
    </row>
    <row r="83" spans="1:19" x14ac:dyDescent="0.25">
      <c r="A83" s="3">
        <v>1.2376625032188301E+18</v>
      </c>
      <c r="B83" s="3">
        <v>236.20070000000001</v>
      </c>
      <c r="C83" s="3">
        <v>36.100549000000001</v>
      </c>
      <c r="D83" s="3">
        <v>6.9494669999999995E-2</v>
      </c>
      <c r="E83" s="3">
        <v>1.9367800000000024</v>
      </c>
      <c r="F83" s="3">
        <v>2.839739999999999</v>
      </c>
      <c r="G83" s="3">
        <v>3.282980000000002</v>
      </c>
      <c r="H83" s="3">
        <v>3.5942500000000024</v>
      </c>
      <c r="I83" s="3">
        <v>0.90295999999999665</v>
      </c>
      <c r="J83" s="3">
        <v>1.3461999999999996</v>
      </c>
      <c r="K83" s="3">
        <v>1.65747</v>
      </c>
      <c r="L83" s="3">
        <v>0.44324000000000296</v>
      </c>
      <c r="M83" s="3">
        <v>0.75451000000000334</v>
      </c>
      <c r="N83" s="3">
        <v>0.31127000000000038</v>
      </c>
      <c r="O83" s="13">
        <v>2.2915942037883914</v>
      </c>
      <c r="P83" s="13">
        <v>-0.40536028854461503</v>
      </c>
      <c r="Q83" s="13">
        <v>7.8583135327647186E-2</v>
      </c>
      <c r="R83">
        <v>0.20319326236465482</v>
      </c>
      <c r="S83">
        <v>20848.400999999998</v>
      </c>
    </row>
    <row r="84" spans="1:19" x14ac:dyDescent="0.25">
      <c r="A84" s="3">
        <v>1.2376624736910001E+18</v>
      </c>
      <c r="B84" s="3">
        <v>236.44767999999999</v>
      </c>
      <c r="C84" s="3">
        <v>36.254269000000001</v>
      </c>
      <c r="D84" s="3">
        <v>6.9524959999999997E-2</v>
      </c>
      <c r="E84" s="3">
        <v>1.7307799999999993</v>
      </c>
      <c r="F84" s="3">
        <v>2.5426099999999998</v>
      </c>
      <c r="G84" s="3">
        <v>2.907709999999998</v>
      </c>
      <c r="H84" s="3">
        <v>3.2039099999999987</v>
      </c>
      <c r="I84" s="3">
        <v>0.8118300000000005</v>
      </c>
      <c r="J84" s="3">
        <v>1.1769299999999987</v>
      </c>
      <c r="K84" s="3">
        <v>1.4731299999999994</v>
      </c>
      <c r="L84" s="3">
        <v>0.3650999999999982</v>
      </c>
      <c r="M84" s="3">
        <v>0.66129999999999889</v>
      </c>
      <c r="N84" s="3">
        <v>0.29620000000000068</v>
      </c>
      <c r="O84" s="13">
        <v>2.8448995048026355</v>
      </c>
      <c r="P84" s="13">
        <v>-5.247725449275701E-2</v>
      </c>
      <c r="Q84" s="13">
        <v>1.0098679193796691</v>
      </c>
      <c r="R84">
        <v>1.1758136372182224</v>
      </c>
      <c r="S84">
        <v>20857.487999999998</v>
      </c>
    </row>
    <row r="85" spans="1:19" x14ac:dyDescent="0.25">
      <c r="A85" s="3">
        <v>1.2376625032189701E+18</v>
      </c>
      <c r="B85" s="3">
        <v>236.47274999999999</v>
      </c>
      <c r="C85" s="3">
        <v>35.867583000000003</v>
      </c>
      <c r="D85" s="3">
        <v>6.9827539999999994E-2</v>
      </c>
      <c r="E85" s="3">
        <v>1.9350500000000004</v>
      </c>
      <c r="F85" s="3">
        <v>2.8243800000000014</v>
      </c>
      <c r="G85" s="3">
        <v>3.2430900000000022</v>
      </c>
      <c r="H85" s="3">
        <v>3.5643600000000024</v>
      </c>
      <c r="I85" s="3">
        <v>0.88933000000000106</v>
      </c>
      <c r="J85" s="3">
        <v>1.3080400000000019</v>
      </c>
      <c r="K85" s="3">
        <v>1.629310000000002</v>
      </c>
      <c r="L85" s="3">
        <v>0.4187100000000008</v>
      </c>
      <c r="M85" s="3">
        <v>0.73998000000000097</v>
      </c>
      <c r="N85" s="3">
        <v>0.32127000000000017</v>
      </c>
      <c r="O85" s="13">
        <v>2.3332563017116192</v>
      </c>
      <c r="P85" s="13">
        <v>-0.47709108334815636</v>
      </c>
      <c r="Q85" s="13">
        <v>8.1424525613385271E-2</v>
      </c>
      <c r="R85">
        <v>1.6383709336377279</v>
      </c>
      <c r="S85">
        <v>20948.261999999999</v>
      </c>
    </row>
    <row r="86" spans="1:19" x14ac:dyDescent="0.25">
      <c r="A86" s="3">
        <v>1.2376625032188301E+18</v>
      </c>
      <c r="B86" s="3">
        <v>236.16618</v>
      </c>
      <c r="C86" s="3">
        <v>36.115782000000003</v>
      </c>
      <c r="D86" s="3">
        <v>6.9903430000000003E-2</v>
      </c>
      <c r="E86" s="3">
        <v>1.87941</v>
      </c>
      <c r="F86" s="3">
        <v>2.788219999999999</v>
      </c>
      <c r="G86" s="3">
        <v>3.2105400000000017</v>
      </c>
      <c r="H86" s="3">
        <v>3.5251200000000011</v>
      </c>
      <c r="I86" s="3">
        <v>0.90880999999999901</v>
      </c>
      <c r="J86" s="3">
        <v>1.3311300000000017</v>
      </c>
      <c r="K86" s="3">
        <v>1.6457100000000011</v>
      </c>
      <c r="L86" s="3">
        <v>0.42232000000000269</v>
      </c>
      <c r="M86" s="3">
        <v>0.73690000000000211</v>
      </c>
      <c r="N86" s="3">
        <v>0.31457999999999942</v>
      </c>
      <c r="O86" s="13">
        <v>2.3762369018579386</v>
      </c>
      <c r="P86" s="13">
        <v>-0.32130306735547559</v>
      </c>
      <c r="Q86" s="13">
        <v>4.0876589605983053E-2</v>
      </c>
      <c r="R86">
        <v>0.34956357431281837</v>
      </c>
      <c r="S86">
        <v>20971.029000000002</v>
      </c>
    </row>
    <row r="87" spans="1:19" x14ac:dyDescent="0.25">
      <c r="A87" s="3">
        <v>1.2376625032188301E+18</v>
      </c>
      <c r="B87" s="3">
        <v>236.21960000000001</v>
      </c>
      <c r="C87" s="3">
        <v>36.069102999999998</v>
      </c>
      <c r="D87" s="3">
        <v>7.0070649999999998E-2</v>
      </c>
      <c r="E87" s="3">
        <v>1.9077300000000008</v>
      </c>
      <c r="F87" s="3">
        <v>2.7561300000000024</v>
      </c>
      <c r="G87" s="3">
        <v>3.1597200000000001</v>
      </c>
      <c r="H87" s="3">
        <v>3.4456799999999994</v>
      </c>
      <c r="I87" s="3">
        <v>0.8484000000000016</v>
      </c>
      <c r="J87" s="3">
        <v>1.2519899999999993</v>
      </c>
      <c r="K87" s="3">
        <v>1.5379499999999986</v>
      </c>
      <c r="L87" s="3">
        <v>0.40358999999999767</v>
      </c>
      <c r="M87" s="3">
        <v>0.689549999999997</v>
      </c>
      <c r="N87" s="3">
        <v>0.28595999999999933</v>
      </c>
      <c r="O87" s="13">
        <v>2.6195785363533024</v>
      </c>
      <c r="P87" s="13">
        <v>-0.39011552040903563</v>
      </c>
      <c r="Q87" s="13">
        <v>5.4687453359464573E-2</v>
      </c>
      <c r="R87">
        <v>0.24630149448995659</v>
      </c>
      <c r="S87">
        <v>21021.195</v>
      </c>
    </row>
    <row r="88" spans="1:19" x14ac:dyDescent="0.25">
      <c r="A88" s="3"/>
      <c r="B88" s="3"/>
      <c r="C88" s="3"/>
      <c r="D88" s="3"/>
      <c r="O88" s="13"/>
      <c r="P88" s="13"/>
      <c r="Q88" s="13"/>
    </row>
    <row r="89" spans="1:19" x14ac:dyDescent="0.25">
      <c r="A89" s="3"/>
      <c r="B89" s="3"/>
      <c r="C89" s="3"/>
      <c r="D89" s="3"/>
      <c r="O89" s="13"/>
      <c r="P89" s="13"/>
      <c r="Q89" s="13"/>
    </row>
    <row r="90" spans="1:19" x14ac:dyDescent="0.25">
      <c r="A90" s="3"/>
      <c r="B90" s="3"/>
      <c r="C90" s="3"/>
      <c r="D90" s="3"/>
      <c r="O90" s="13"/>
      <c r="P90" s="13"/>
      <c r="Q90" s="13"/>
    </row>
    <row r="91" spans="1:19" x14ac:dyDescent="0.25">
      <c r="A91" s="3"/>
      <c r="B91" s="3"/>
      <c r="C91" s="3"/>
      <c r="D91" s="3"/>
      <c r="O91" s="13"/>
      <c r="P91" s="13"/>
      <c r="Q91" s="13"/>
    </row>
    <row r="92" spans="1:19" x14ac:dyDescent="0.25">
      <c r="A92" s="3"/>
      <c r="B92" s="3"/>
      <c r="C92" s="3"/>
      <c r="D92" s="3"/>
      <c r="O92" s="13"/>
      <c r="P92" s="13"/>
      <c r="Q92" s="13"/>
    </row>
    <row r="93" spans="1:19" x14ac:dyDescent="0.25">
      <c r="A93" s="3"/>
      <c r="B93" s="3"/>
      <c r="C93" s="3"/>
      <c r="D93" s="3"/>
      <c r="O93" s="13"/>
      <c r="P93" s="13"/>
      <c r="Q93" s="13"/>
    </row>
    <row r="94" spans="1:19" x14ac:dyDescent="0.25">
      <c r="A94" s="3"/>
      <c r="B94" s="3"/>
      <c r="C94" s="3"/>
      <c r="D94" s="3"/>
      <c r="O94" s="13"/>
      <c r="P94" s="13"/>
      <c r="Q94" s="13"/>
    </row>
    <row r="95" spans="1:19" x14ac:dyDescent="0.25">
      <c r="A95" s="3"/>
      <c r="B95" s="3"/>
      <c r="C95" s="3"/>
      <c r="D95" s="3"/>
      <c r="O95" s="13"/>
      <c r="P95" s="13"/>
      <c r="Q95" s="13"/>
    </row>
    <row r="96" spans="1:19" x14ac:dyDescent="0.25">
      <c r="A96" s="3"/>
      <c r="B96" s="3"/>
      <c r="C96" s="3"/>
      <c r="D96" s="3"/>
      <c r="O96" s="13"/>
      <c r="P96" s="13"/>
      <c r="Q96" s="13"/>
    </row>
    <row r="97" spans="1:17" x14ac:dyDescent="0.25">
      <c r="A97" s="3"/>
      <c r="B97" s="3"/>
      <c r="C97" s="3"/>
      <c r="D97" s="3"/>
      <c r="O97" s="13"/>
      <c r="P97" s="13"/>
      <c r="Q97" s="13"/>
    </row>
    <row r="98" spans="1:17" x14ac:dyDescent="0.25">
      <c r="A98" s="3"/>
      <c r="B98" s="3"/>
      <c r="C98" s="3"/>
      <c r="D98" s="3"/>
      <c r="O98" s="13"/>
      <c r="P98" s="13"/>
      <c r="Q98" s="13"/>
    </row>
    <row r="99" spans="1:17" x14ac:dyDescent="0.25">
      <c r="A99" s="3"/>
      <c r="B99" s="3"/>
      <c r="C99" s="3"/>
      <c r="D99" s="3"/>
      <c r="O99" s="13"/>
      <c r="P99" s="13"/>
      <c r="Q99" s="13"/>
    </row>
    <row r="100" spans="1:17" x14ac:dyDescent="0.25">
      <c r="A100" s="3"/>
      <c r="B100" s="3"/>
      <c r="C100" s="3"/>
      <c r="D100" s="3"/>
      <c r="O100" s="13"/>
      <c r="P100" s="13"/>
      <c r="Q100" s="13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sample</vt:lpstr>
      <vt:lpstr>standard</vt:lpstr>
      <vt:lpstr>eigen</vt:lpstr>
      <vt:lpstr>pca</vt:lpstr>
      <vt:lpstr>2 pc</vt:lpstr>
      <vt:lpstr>3 pc</vt:lpstr>
      <vt:lpstr>3 pc plot</vt:lpstr>
      <vt:lpstr>final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Khariza</dc:creator>
  <cp:lastModifiedBy>ASUS</cp:lastModifiedBy>
  <dcterms:created xsi:type="dcterms:W3CDTF">2023-07-15T15:17:14Z</dcterms:created>
  <dcterms:modified xsi:type="dcterms:W3CDTF">2024-10-31T08:36:08Z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2023-07-15T15:32:14Z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2802c834-52d1-4ee0-b27d-598db1b5488b</vt:lpwstr>
  </property>
  <property fmtid="{D5CDD505-2E9C-101B-9397-08002B2CF9AE}" pid="8" name="MSIP_Label_38b525e5-f3da-4501-8f1e-526b6769fc56_ContentBits">
    <vt:lpwstr>0</vt:lpwstr>
  </property>
</Properties>
</file>